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edwinortizNET\public\descargas\presupuesto-limitado-solver\"/>
    </mc:Choice>
  </mc:AlternateContent>
  <xr:revisionPtr revIDLastSave="0" documentId="13_ncr:1_{AAE29B4A-249E-4161-8A71-2B81AB37480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n" sheetId="1" r:id="rId1"/>
    <sheet name="Parametros" sheetId="2" r:id="rId2"/>
    <sheet name="Modelo" sheetId="3" r:id="rId3"/>
    <sheet name="Comparacion" sheetId="4" r:id="rId4"/>
    <sheet name="Sensibilidad" sheetId="5" r:id="rId5"/>
  </sheets>
  <definedNames>
    <definedName name="solver_adj" localSheetId="2" hidden="1">Modelo!$F$4:$F$13</definedName>
    <definedName name="solver_eng" localSheetId="2" hidden="1">2</definedName>
    <definedName name="solver_eng" localSheetId="0" hidden="1">1</definedName>
    <definedName name="solver_lhs1" localSheetId="2" hidden="1">Modelo!$F$4:$F$13</definedName>
    <definedName name="solver_lhs2" localSheetId="2" hidden="1">Modelo!$G$15</definedName>
    <definedName name="solver_lhs3" localSheetId="2" hidden="1">Modelo!$G$17</definedName>
    <definedName name="solver_lhs4" localSheetId="2" hidden="1">Modelo!$G$18</definedName>
    <definedName name="solver_neg" localSheetId="0" hidden="1">1</definedName>
    <definedName name="solver_num" localSheetId="2" hidden="1">4</definedName>
    <definedName name="solver_num" localSheetId="0" hidden="1">0</definedName>
    <definedName name="solver_opt" localSheetId="2" hidden="1">Modelo!$G$16</definedName>
    <definedName name="solver_rel1" localSheetId="2" hidden="1">5</definedName>
    <definedName name="solver_rel2" localSheetId="2" hidden="1">1</definedName>
    <definedName name="solver_rel3" localSheetId="2" hidden="1">3</definedName>
    <definedName name="solver_rel4" localSheetId="2" hidden="1">1</definedName>
    <definedName name="solver_rhs1" localSheetId="2" hidden="1">"binario"</definedName>
    <definedName name="solver_rhs2" localSheetId="2" hidden="1">Parametros!$B$3</definedName>
    <definedName name="solver_rhs3" localSheetId="2" hidden="1">Parametros!$B$4</definedName>
    <definedName name="solver_rhs4" localSheetId="2" hidden="1">Parametros!$B$5</definedName>
    <definedName name="solver_typ" localSheetId="2" hidden="1">1</definedName>
    <definedName name="solver_typ" localSheetId="0" hidden="1">1</definedName>
    <definedName name="solver_val" localSheetId="2" hidden="1">0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E17" i="4"/>
  <c r="F16" i="4"/>
  <c r="E16" i="4"/>
  <c r="F15" i="4"/>
  <c r="F18" i="4" s="1"/>
  <c r="E15" i="4"/>
  <c r="E18" i="4" s="1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G18" i="3"/>
  <c r="I18" i="3" s="1"/>
  <c r="G17" i="3"/>
  <c r="I17" i="3" s="1"/>
  <c r="G16" i="3"/>
  <c r="B8" i="1" s="1"/>
  <c r="G15" i="3"/>
  <c r="I15" i="3" s="1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B6" i="1"/>
  <c r="B5" i="1"/>
  <c r="B4" i="1"/>
  <c r="B3" i="1"/>
  <c r="D15" i="4" l="1"/>
  <c r="D16" i="4"/>
  <c r="D19" i="4" s="1"/>
  <c r="B7" i="1"/>
  <c r="B9" i="1"/>
  <c r="B11" i="1" s="1"/>
  <c r="B10" i="1"/>
  <c r="D17" i="4"/>
  <c r="D18" i="4" s="1"/>
  <c r="G19" i="3"/>
  <c r="F19" i="4" l="1"/>
  <c r="E19" i="4"/>
</calcChain>
</file>

<file path=xl/sharedStrings.xml><?xml version="1.0" encoding="utf-8"?>
<sst xmlns="http://schemas.openxmlformats.org/spreadsheetml/2006/main" count="100" uniqueCount="70">
  <si>
    <t>RESUMEN</t>
  </si>
  <si>
    <t>Proyectos candidatos</t>
  </si>
  <si>
    <t>Costo de todos los proyectos (millones)</t>
  </si>
  <si>
    <t>Presupuesto disponible (millones)</t>
  </si>
  <si>
    <t>Proyectos elegidos (Solver)</t>
  </si>
  <si>
    <t>Costo del plan elegido (millones)</t>
  </si>
  <si>
    <t>Beneficio del plan elegido (puntos)</t>
  </si>
  <si>
    <t>Beneficio del criterio voraz (puntos)</t>
  </si>
  <si>
    <t>Beneficio de baratos primero (puntos)</t>
  </si>
  <si>
    <t>Ventaja del óptimo sobre el voraz (puntos)</t>
  </si>
  <si>
    <t>PARÁMETROS Y RESTRICCIONES (editables; datos ficticios, costos en millones de pesos)</t>
  </si>
  <si>
    <t>Mínimo de proyectos pedagógicos</t>
  </si>
  <si>
    <t>Máximo entre Wi-Fi completo y Wi-Fi básico (son excluyentes)</t>
  </si>
  <si>
    <t>MODELO PARA SOLVER: ¿QUÉ PROYECTOS ELEGIR? (la columna F son las variables de decisión: 1 = sí, 0 = no)</t>
  </si>
  <si>
    <t>ID</t>
  </si>
  <si>
    <t>Proyecto</t>
  </si>
  <si>
    <t>Categoría</t>
  </si>
  <si>
    <t>Costo (millones)</t>
  </si>
  <si>
    <t>Beneficio (puntos de un comité)</t>
  </si>
  <si>
    <t>Seleccionado (1 = sí)</t>
  </si>
  <si>
    <t>Costo elegido</t>
  </si>
  <si>
    <t>Beneficio elegido</t>
  </si>
  <si>
    <t>P1</t>
  </si>
  <si>
    <t>Reparación del techo del patio</t>
  </si>
  <si>
    <t>Infraestructura</t>
  </si>
  <si>
    <t>P2</t>
  </si>
  <si>
    <t>Wi-Fi completo</t>
  </si>
  <si>
    <t>Tecnología</t>
  </si>
  <si>
    <t>P3</t>
  </si>
  <si>
    <t>Wi-Fi básico (excluyente con el completo)</t>
  </si>
  <si>
    <t>P4</t>
  </si>
  <si>
    <t>Renovación de libros de la biblioteca</t>
  </si>
  <si>
    <t>Pedagógico</t>
  </si>
  <si>
    <t>P5</t>
  </si>
  <si>
    <t>Equipos del laboratorio de ciencias</t>
  </si>
  <si>
    <t>P6</t>
  </si>
  <si>
    <t>Capacitación docente en evaluación</t>
  </si>
  <si>
    <t>P7</t>
  </si>
  <si>
    <t>Cámaras de seguridad</t>
  </si>
  <si>
    <t>Seguridad</t>
  </si>
  <si>
    <t>P8</t>
  </si>
  <si>
    <t>Pintura de aulas</t>
  </si>
  <si>
    <t>P9</t>
  </si>
  <si>
    <t>Computadores para el aula</t>
  </si>
  <si>
    <t>P10</t>
  </si>
  <si>
    <t>Material deportivo</t>
  </si>
  <si>
    <t>Bienestar</t>
  </si>
  <si>
    <t>Costo total (millones)</t>
  </si>
  <si>
    <t>Beneficio total (puntos)</t>
  </si>
  <si>
    <t>Proyectos pedagógicos elegidos</t>
  </si>
  <si>
    <t>Wi-Fi completo + Wi-Fi básico elegidos</t>
  </si>
  <si>
    <t>Presupuesto no usado (millones)</t>
  </si>
  <si>
    <t>TRES FORMAS DE ELEGIR CON EL MISMO PRESUPUESTO (1 = proyecto elegido)</t>
  </si>
  <si>
    <t>Relación beneficio por millón</t>
  </si>
  <si>
    <t>Óptimo (Solver)</t>
  </si>
  <si>
    <t>Voraz: mayor relación primero</t>
  </si>
  <si>
    <t>Baratos primero</t>
  </si>
  <si>
    <t>Proyectos pedagógicos</t>
  </si>
  <si>
    <t>Cumple las restricciones</t>
  </si>
  <si>
    <t>Diferencia de beneficio frente al óptimo</t>
  </si>
  <si>
    <t>QUÉ PASA SI CAMBIA EL PRESUPUESTO (valores calculados por enumeración de las 1.024 combinaciones; no se recalculan al editar)</t>
  </si>
  <si>
    <t>Presupuesto (millones)</t>
  </si>
  <si>
    <t>Beneficio óptimo (puntos)</t>
  </si>
  <si>
    <t>Costo del óptimo (millones)</t>
  </si>
  <si>
    <t>Proyectos elegidos</t>
  </si>
  <si>
    <t>P3, P4, P5, P6, P7, P10</t>
  </si>
  <si>
    <t>P1, P3, P4, P6, P7, P8</t>
  </si>
  <si>
    <t>P1, P3, P4, P5, P6, P8</t>
  </si>
  <si>
    <t>P1, P3, P4, P5, P6, P8, P10</t>
  </si>
  <si>
    <t>P1, P3, P4, P5, P6, P7, 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</si>
</sst>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2" fillId="3" borderId="0" xfId="0" applyFont="1" applyFill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.140625" defaultRowHeight="15" x14ac:dyDescent="0.25"/>
  <cols>
    <col min="1" max="1" width="62" customWidth="1"/>
    <col min="2" max="2" width="12" customWidth="1"/>
  </cols>
  <sheetData>
    <row r="1" spans="1:2" ht="15.75" x14ac:dyDescent="0.25">
      <c r="A1" s="1" t="s">
        <v>0</v>
      </c>
    </row>
    <row r="3" spans="1:2" x14ac:dyDescent="0.25">
      <c r="A3" t="s">
        <v>1</v>
      </c>
      <c r="B3" s="2">
        <f>COUNTA(Modelo!A4:A13)</f>
        <v>10</v>
      </c>
    </row>
    <row r="4" spans="1:2" x14ac:dyDescent="0.25">
      <c r="A4" t="s">
        <v>2</v>
      </c>
      <c r="B4" s="2">
        <f>SUM(Modelo!D4:D13)</f>
        <v>214</v>
      </c>
    </row>
    <row r="5" spans="1:2" x14ac:dyDescent="0.25">
      <c r="A5" t="s">
        <v>3</v>
      </c>
      <c r="B5" s="2">
        <f>Parametros!B3</f>
        <v>120</v>
      </c>
    </row>
    <row r="6" spans="1:2" x14ac:dyDescent="0.25">
      <c r="A6" t="s">
        <v>4</v>
      </c>
      <c r="B6" s="2">
        <f>SUM(Modelo!F4:F13)</f>
        <v>6</v>
      </c>
    </row>
    <row r="7" spans="1:2" x14ac:dyDescent="0.25">
      <c r="A7" t="s">
        <v>5</v>
      </c>
      <c r="B7" s="2">
        <f>Modelo!G15</f>
        <v>120</v>
      </c>
    </row>
    <row r="8" spans="1:2" x14ac:dyDescent="0.25">
      <c r="A8" t="s">
        <v>6</v>
      </c>
      <c r="B8" s="2">
        <f>Modelo!G16</f>
        <v>287</v>
      </c>
    </row>
    <row r="9" spans="1:2" x14ac:dyDescent="0.25">
      <c r="A9" t="s">
        <v>7</v>
      </c>
      <c r="B9" s="2">
        <f>Comparacion!E16</f>
        <v>279</v>
      </c>
    </row>
    <row r="10" spans="1:2" x14ac:dyDescent="0.25">
      <c r="A10" t="s">
        <v>8</v>
      </c>
      <c r="B10" s="2">
        <f>Comparacion!F16</f>
        <v>279</v>
      </c>
    </row>
    <row r="11" spans="1:2" x14ac:dyDescent="0.25">
      <c r="A11" t="s">
        <v>9</v>
      </c>
      <c r="B11" s="2">
        <f>B8-B9</f>
        <v>8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cols>
    <col min="1" max="1" width="66" customWidth="1"/>
    <col min="2" max="2" width="12" customWidth="1"/>
  </cols>
  <sheetData>
    <row r="1" spans="1:2" ht="15.75" x14ac:dyDescent="0.25">
      <c r="A1" s="1" t="s">
        <v>10</v>
      </c>
    </row>
    <row r="3" spans="1:2" x14ac:dyDescent="0.25">
      <c r="A3" t="s">
        <v>3</v>
      </c>
      <c r="B3" s="3">
        <v>120</v>
      </c>
    </row>
    <row r="4" spans="1:2" x14ac:dyDescent="0.25">
      <c r="A4" t="s">
        <v>11</v>
      </c>
      <c r="B4" s="3">
        <v>2</v>
      </c>
    </row>
    <row r="5" spans="1:2" x14ac:dyDescent="0.25">
      <c r="A5" t="s">
        <v>12</v>
      </c>
      <c r="B5" s="3">
        <v>1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abSelected="1" workbookViewId="0"/>
  </sheetViews>
  <sheetFormatPr baseColWidth="10" defaultColWidth="9.140625" defaultRowHeight="15" x14ac:dyDescent="0.25"/>
  <cols>
    <col min="1" max="1" width="6" customWidth="1"/>
    <col min="2" max="2" width="44" customWidth="1"/>
    <col min="3" max="3" width="16" customWidth="1"/>
    <col min="4" max="4" width="14" customWidth="1"/>
    <col min="5" max="5" width="18" customWidth="1"/>
    <col min="6" max="6" width="16" customWidth="1"/>
    <col min="7" max="7" width="14" customWidth="1"/>
    <col min="8" max="8" width="16" customWidth="1"/>
    <col min="9" max="9" width="24" customWidth="1"/>
  </cols>
  <sheetData>
    <row r="1" spans="1:9" ht="15.75" x14ac:dyDescent="0.25">
      <c r="A1" s="1" t="s">
        <v>13</v>
      </c>
    </row>
    <row r="3" spans="1:9" ht="48" customHeight="1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9" x14ac:dyDescent="0.25">
      <c r="A4" t="s">
        <v>22</v>
      </c>
      <c r="B4" t="s">
        <v>23</v>
      </c>
      <c r="C4" t="s">
        <v>24</v>
      </c>
      <c r="D4" s="3">
        <v>35</v>
      </c>
      <c r="E4" s="3">
        <v>72</v>
      </c>
      <c r="F4" s="3">
        <v>1</v>
      </c>
      <c r="G4">
        <f t="shared" ref="G4:G13" si="0">F4*D4</f>
        <v>35</v>
      </c>
      <c r="H4">
        <f t="shared" ref="H4:H13" si="1">F4*E4</f>
        <v>72</v>
      </c>
    </row>
    <row r="5" spans="1:9" x14ac:dyDescent="0.25">
      <c r="A5" t="s">
        <v>25</v>
      </c>
      <c r="B5" t="s">
        <v>26</v>
      </c>
      <c r="C5" t="s">
        <v>27</v>
      </c>
      <c r="D5" s="3">
        <v>28</v>
      </c>
      <c r="E5" s="3">
        <v>60</v>
      </c>
      <c r="F5" s="3">
        <v>0</v>
      </c>
      <c r="G5">
        <f t="shared" si="0"/>
        <v>0</v>
      </c>
      <c r="H5">
        <f t="shared" si="1"/>
        <v>0</v>
      </c>
    </row>
    <row r="6" spans="1:9" x14ac:dyDescent="0.25">
      <c r="A6" t="s">
        <v>28</v>
      </c>
      <c r="B6" t="s">
        <v>29</v>
      </c>
      <c r="C6" t="s">
        <v>27</v>
      </c>
      <c r="D6" s="3">
        <v>12</v>
      </c>
      <c r="E6" s="3">
        <v>38</v>
      </c>
      <c r="F6" s="3">
        <v>1</v>
      </c>
      <c r="G6">
        <f t="shared" si="0"/>
        <v>12</v>
      </c>
      <c r="H6">
        <f t="shared" si="1"/>
        <v>38</v>
      </c>
    </row>
    <row r="7" spans="1:9" x14ac:dyDescent="0.25">
      <c r="A7" t="s">
        <v>30</v>
      </c>
      <c r="B7" t="s">
        <v>31</v>
      </c>
      <c r="C7" t="s">
        <v>32</v>
      </c>
      <c r="D7" s="3">
        <v>18</v>
      </c>
      <c r="E7" s="3">
        <v>45</v>
      </c>
      <c r="F7" s="3">
        <v>1</v>
      </c>
      <c r="G7">
        <f t="shared" si="0"/>
        <v>18</v>
      </c>
      <c r="H7">
        <f t="shared" si="1"/>
        <v>45</v>
      </c>
    </row>
    <row r="8" spans="1:9" x14ac:dyDescent="0.25">
      <c r="A8" t="s">
        <v>33</v>
      </c>
      <c r="B8" t="s">
        <v>34</v>
      </c>
      <c r="C8" t="s">
        <v>32</v>
      </c>
      <c r="D8" s="3">
        <v>30</v>
      </c>
      <c r="E8" s="3">
        <v>66</v>
      </c>
      <c r="F8" s="3">
        <v>1</v>
      </c>
      <c r="G8">
        <f t="shared" si="0"/>
        <v>30</v>
      </c>
      <c r="H8">
        <f t="shared" si="1"/>
        <v>66</v>
      </c>
    </row>
    <row r="9" spans="1:9" x14ac:dyDescent="0.25">
      <c r="A9" t="s">
        <v>35</v>
      </c>
      <c r="B9" t="s">
        <v>36</v>
      </c>
      <c r="C9" t="s">
        <v>32</v>
      </c>
      <c r="D9" s="3">
        <v>10</v>
      </c>
      <c r="E9" s="3">
        <v>41</v>
      </c>
      <c r="F9" s="3">
        <v>1</v>
      </c>
      <c r="G9">
        <f t="shared" si="0"/>
        <v>10</v>
      </c>
      <c r="H9">
        <f t="shared" si="1"/>
        <v>41</v>
      </c>
    </row>
    <row r="10" spans="1:9" x14ac:dyDescent="0.25">
      <c r="A10" t="s">
        <v>37</v>
      </c>
      <c r="B10" t="s">
        <v>38</v>
      </c>
      <c r="C10" t="s">
        <v>39</v>
      </c>
      <c r="D10" s="3">
        <v>20</v>
      </c>
      <c r="E10" s="3">
        <v>44</v>
      </c>
      <c r="F10" s="3">
        <v>0</v>
      </c>
      <c r="G10">
        <f t="shared" si="0"/>
        <v>0</v>
      </c>
      <c r="H10">
        <f t="shared" si="1"/>
        <v>0</v>
      </c>
    </row>
    <row r="11" spans="1:9" x14ac:dyDescent="0.25">
      <c r="A11" t="s">
        <v>40</v>
      </c>
      <c r="B11" t="s">
        <v>41</v>
      </c>
      <c r="C11" t="s">
        <v>24</v>
      </c>
      <c r="D11" s="3">
        <v>15</v>
      </c>
      <c r="E11" s="3">
        <v>25</v>
      </c>
      <c r="F11" s="3">
        <v>1</v>
      </c>
      <c r="G11">
        <f t="shared" si="0"/>
        <v>15</v>
      </c>
      <c r="H11">
        <f t="shared" si="1"/>
        <v>25</v>
      </c>
    </row>
    <row r="12" spans="1:9" x14ac:dyDescent="0.25">
      <c r="A12" t="s">
        <v>42</v>
      </c>
      <c r="B12" t="s">
        <v>43</v>
      </c>
      <c r="C12" t="s">
        <v>27</v>
      </c>
      <c r="D12" s="3">
        <v>38</v>
      </c>
      <c r="E12" s="3">
        <v>63</v>
      </c>
      <c r="F12" s="3">
        <v>0</v>
      </c>
      <c r="G12">
        <f t="shared" si="0"/>
        <v>0</v>
      </c>
      <c r="H12">
        <f t="shared" si="1"/>
        <v>0</v>
      </c>
    </row>
    <row r="13" spans="1:9" x14ac:dyDescent="0.25">
      <c r="A13" t="s">
        <v>44</v>
      </c>
      <c r="B13" t="s">
        <v>45</v>
      </c>
      <c r="C13" t="s">
        <v>46</v>
      </c>
      <c r="D13" s="3">
        <v>8</v>
      </c>
      <c r="E13" s="3">
        <v>20</v>
      </c>
      <c r="F13" s="3">
        <v>0</v>
      </c>
      <c r="G13">
        <f t="shared" si="0"/>
        <v>0</v>
      </c>
      <c r="H13">
        <f t="shared" si="1"/>
        <v>0</v>
      </c>
    </row>
    <row r="15" spans="1:9" x14ac:dyDescent="0.25">
      <c r="B15" t="s">
        <v>47</v>
      </c>
      <c r="G15">
        <f>SUMPRODUCT(F4:F13,D4:D13)</f>
        <v>120</v>
      </c>
      <c r="I15" t="str">
        <f>IF(G15&lt;=Parametros!B3,"Cumple","Excede el presupuesto")</f>
        <v>Cumple</v>
      </c>
    </row>
    <row r="16" spans="1:9" x14ac:dyDescent="0.25">
      <c r="B16" t="s">
        <v>48</v>
      </c>
      <c r="G16">
        <f>SUMPRODUCT(F4:F13,E4:E13)</f>
        <v>287</v>
      </c>
    </row>
    <row r="17" spans="2:9" x14ac:dyDescent="0.25">
      <c r="B17" t="s">
        <v>49</v>
      </c>
      <c r="G17">
        <f>SUMPRODUCT((C4:C13="Pedagógico")*F4:F13)</f>
        <v>3</v>
      </c>
      <c r="I17" t="str">
        <f>IF(G17&gt;=Parametros!B4,"Cumple","No cumple el mínimo")</f>
        <v>Cumple</v>
      </c>
    </row>
    <row r="18" spans="2:9" x14ac:dyDescent="0.25">
      <c r="B18" t="s">
        <v>50</v>
      </c>
      <c r="G18">
        <f>F5+F6</f>
        <v>1</v>
      </c>
      <c r="I18" t="str">
        <f>IF(G18&lt;=Parametros!B5,"Cumple","Son excluyentes")</f>
        <v>Cumple</v>
      </c>
    </row>
    <row r="19" spans="2:9" x14ac:dyDescent="0.25">
      <c r="B19" t="s">
        <v>51</v>
      </c>
      <c r="G19">
        <f>Parametros!B3-G15</f>
        <v>0</v>
      </c>
    </row>
  </sheetData>
  <conditionalFormatting sqref="I15:I18">
    <cfRule type="cellIs" dxfId="0" priority="1" operator="notEqual">
      <formula>"Cumple"</formula>
    </cfRule>
  </conditionalFormatting>
  <pageMargins left="0.75" right="0.75" top="1" bottom="1" header="0.5" footer="0.5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baseColWidth="10" defaultColWidth="9.140625" defaultRowHeight="15" x14ac:dyDescent="0.25"/>
  <cols>
    <col min="1" max="1" width="6" customWidth="1"/>
    <col min="2" max="2" width="44" customWidth="1"/>
    <col min="3" max="3" width="18" customWidth="1"/>
    <col min="4" max="4" width="16" customWidth="1"/>
    <col min="5" max="5" width="22" customWidth="1"/>
    <col min="6" max="6" width="16" customWidth="1"/>
  </cols>
  <sheetData>
    <row r="1" spans="1:6" ht="15.75" x14ac:dyDescent="0.25">
      <c r="A1" s="1" t="s">
        <v>52</v>
      </c>
    </row>
    <row r="3" spans="1:6" ht="48" customHeight="1" x14ac:dyDescent="0.25">
      <c r="A3" s="4" t="s">
        <v>14</v>
      </c>
      <c r="B3" s="4" t="s">
        <v>15</v>
      </c>
      <c r="C3" s="4" t="s">
        <v>53</v>
      </c>
      <c r="D3" s="4" t="s">
        <v>54</v>
      </c>
      <c r="E3" s="4" t="s">
        <v>55</v>
      </c>
      <c r="F3" s="4" t="s">
        <v>56</v>
      </c>
    </row>
    <row r="4" spans="1:6" x14ac:dyDescent="0.25">
      <c r="A4" t="s">
        <v>22</v>
      </c>
      <c r="B4" t="s">
        <v>23</v>
      </c>
      <c r="C4" s="5">
        <f>Modelo!E4/Modelo!D4</f>
        <v>2.0571428571428569</v>
      </c>
      <c r="D4">
        <f>Modelo!F4</f>
        <v>1</v>
      </c>
      <c r="E4" s="3">
        <v>0</v>
      </c>
      <c r="F4" s="3">
        <v>0</v>
      </c>
    </row>
    <row r="5" spans="1:6" x14ac:dyDescent="0.25">
      <c r="A5" t="s">
        <v>25</v>
      </c>
      <c r="B5" t="s">
        <v>26</v>
      </c>
      <c r="C5" s="5">
        <f>Modelo!E5/Modelo!D5</f>
        <v>2.1428571428571428</v>
      </c>
      <c r="D5">
        <f>Modelo!F5</f>
        <v>0</v>
      </c>
      <c r="E5" s="3">
        <v>0</v>
      </c>
      <c r="F5" s="3">
        <v>0</v>
      </c>
    </row>
    <row r="6" spans="1:6" x14ac:dyDescent="0.25">
      <c r="A6" t="s">
        <v>28</v>
      </c>
      <c r="B6" t="s">
        <v>29</v>
      </c>
      <c r="C6" s="5">
        <f>Modelo!E6/Modelo!D6</f>
        <v>3.1666666666666665</v>
      </c>
      <c r="D6">
        <f>Modelo!F6</f>
        <v>1</v>
      </c>
      <c r="E6" s="3">
        <v>1</v>
      </c>
      <c r="F6" s="3">
        <v>1</v>
      </c>
    </row>
    <row r="7" spans="1:6" x14ac:dyDescent="0.25">
      <c r="A7" t="s">
        <v>30</v>
      </c>
      <c r="B7" t="s">
        <v>31</v>
      </c>
      <c r="C7" s="5">
        <f>Modelo!E7/Modelo!D7</f>
        <v>2.5</v>
      </c>
      <c r="D7">
        <f>Modelo!F7</f>
        <v>1</v>
      </c>
      <c r="E7" s="3">
        <v>1</v>
      </c>
      <c r="F7" s="3">
        <v>1</v>
      </c>
    </row>
    <row r="8" spans="1:6" x14ac:dyDescent="0.25">
      <c r="A8" t="s">
        <v>33</v>
      </c>
      <c r="B8" t="s">
        <v>34</v>
      </c>
      <c r="C8" s="5">
        <f>Modelo!E8/Modelo!D8</f>
        <v>2.2000000000000002</v>
      </c>
      <c r="D8">
        <f>Modelo!F8</f>
        <v>1</v>
      </c>
      <c r="E8" s="3">
        <v>1</v>
      </c>
      <c r="F8" s="3">
        <v>1</v>
      </c>
    </row>
    <row r="9" spans="1:6" x14ac:dyDescent="0.25">
      <c r="A9" t="s">
        <v>35</v>
      </c>
      <c r="B9" t="s">
        <v>36</v>
      </c>
      <c r="C9" s="5">
        <f>Modelo!E9/Modelo!D9</f>
        <v>4.0999999999999996</v>
      </c>
      <c r="D9">
        <f>Modelo!F9</f>
        <v>1</v>
      </c>
      <c r="E9" s="3">
        <v>1</v>
      </c>
      <c r="F9" s="3">
        <v>1</v>
      </c>
    </row>
    <row r="10" spans="1:6" x14ac:dyDescent="0.25">
      <c r="A10" t="s">
        <v>37</v>
      </c>
      <c r="B10" t="s">
        <v>38</v>
      </c>
      <c r="C10" s="5">
        <f>Modelo!E10/Modelo!D10</f>
        <v>2.2000000000000002</v>
      </c>
      <c r="D10">
        <f>Modelo!F10</f>
        <v>0</v>
      </c>
      <c r="E10" s="3">
        <v>1</v>
      </c>
      <c r="F10" s="3">
        <v>1</v>
      </c>
    </row>
    <row r="11" spans="1:6" x14ac:dyDescent="0.25">
      <c r="A11" t="s">
        <v>40</v>
      </c>
      <c r="B11" t="s">
        <v>41</v>
      </c>
      <c r="C11" s="5">
        <f>Modelo!E11/Modelo!D11</f>
        <v>1.6666666666666667</v>
      </c>
      <c r="D11">
        <f>Modelo!F11</f>
        <v>1</v>
      </c>
      <c r="E11" s="3">
        <v>1</v>
      </c>
      <c r="F11" s="3">
        <v>1</v>
      </c>
    </row>
    <row r="12" spans="1:6" x14ac:dyDescent="0.25">
      <c r="A12" t="s">
        <v>42</v>
      </c>
      <c r="B12" t="s">
        <v>43</v>
      </c>
      <c r="C12" s="5">
        <f>Modelo!E12/Modelo!D12</f>
        <v>1.6578947368421053</v>
      </c>
      <c r="D12">
        <f>Modelo!F12</f>
        <v>0</v>
      </c>
      <c r="E12" s="3">
        <v>0</v>
      </c>
      <c r="F12" s="3">
        <v>0</v>
      </c>
    </row>
    <row r="13" spans="1:6" x14ac:dyDescent="0.25">
      <c r="A13" t="s">
        <v>44</v>
      </c>
      <c r="B13" t="s">
        <v>45</v>
      </c>
      <c r="C13" s="5">
        <f>Modelo!E13/Modelo!D13</f>
        <v>2.5</v>
      </c>
      <c r="D13">
        <f>Modelo!F13</f>
        <v>0</v>
      </c>
      <c r="E13" s="3">
        <v>1</v>
      </c>
      <c r="F13" s="3">
        <v>1</v>
      </c>
    </row>
    <row r="15" spans="1:6" x14ac:dyDescent="0.25">
      <c r="B15" t="s">
        <v>47</v>
      </c>
      <c r="D15">
        <f>SUMPRODUCT(D4:D13,Modelo!$D$4:$D$13)</f>
        <v>120</v>
      </c>
      <c r="E15">
        <f>SUMPRODUCT(E4:E13,Modelo!$D$4:$D$13)</f>
        <v>113</v>
      </c>
      <c r="F15">
        <f>SUMPRODUCT(F4:F13,Modelo!$D$4:$D$13)</f>
        <v>113</v>
      </c>
    </row>
    <row r="16" spans="1:6" x14ac:dyDescent="0.25">
      <c r="B16" t="s">
        <v>48</v>
      </c>
      <c r="D16">
        <f>SUMPRODUCT(D4:D13,Modelo!$E$4:$E$13)</f>
        <v>287</v>
      </c>
      <c r="E16">
        <f>SUMPRODUCT(E4:E13,Modelo!$E$4:$E$13)</f>
        <v>279</v>
      </c>
      <c r="F16">
        <f>SUMPRODUCT(F4:F13,Modelo!$E$4:$E$13)</f>
        <v>279</v>
      </c>
    </row>
    <row r="17" spans="2:6" x14ac:dyDescent="0.25">
      <c r="B17" t="s">
        <v>57</v>
      </c>
      <c r="D17">
        <f>SUMPRODUCT((Modelo!$C$4:$C$13="Pedagógico")*D4:D13)</f>
        <v>3</v>
      </c>
      <c r="E17">
        <f>SUMPRODUCT((Modelo!$C$4:$C$13="Pedagógico")*E4:E13)</f>
        <v>3</v>
      </c>
      <c r="F17">
        <f>SUMPRODUCT((Modelo!$C$4:$C$13="Pedagógico")*F4:F13)</f>
        <v>3</v>
      </c>
    </row>
    <row r="18" spans="2:6" x14ac:dyDescent="0.25">
      <c r="B18" t="s">
        <v>58</v>
      </c>
      <c r="D18" t="str">
        <f>IF(AND(D15&lt;=Parametros!$B$3,D17&gt;=Parametros!$B$4,D5+D6&lt;=Parametros!$B$5),"Sí","No")</f>
        <v>Sí</v>
      </c>
      <c r="E18" t="str">
        <f>IF(AND(E15&lt;=Parametros!$B$3,E17&gt;=Parametros!$B$4,E5+E6&lt;=Parametros!$B$5),"Sí","No")</f>
        <v>Sí</v>
      </c>
      <c r="F18" t="str">
        <f>IF(AND(F15&lt;=Parametros!$B$3,F17&gt;=Parametros!$B$4,F5+F6&lt;=Parametros!$B$5),"Sí","No")</f>
        <v>Sí</v>
      </c>
    </row>
    <row r="19" spans="2:6" x14ac:dyDescent="0.25">
      <c r="B19" t="s">
        <v>59</v>
      </c>
      <c r="D19">
        <f>D16-$D$16</f>
        <v>0</v>
      </c>
      <c r="E19">
        <f>E16-$D$16</f>
        <v>-8</v>
      </c>
      <c r="F19">
        <f>F16-$D$16</f>
        <v>-8</v>
      </c>
    </row>
  </sheetData>
  <pageMargins left="0.75" right="0.75" top="1" bottom="1" header="0.5" footer="0.5"/>
  <headerFooter>
    <oddHeader>&amp;C&amp;G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baseColWidth="10" defaultColWidth="9.140625" defaultRowHeight="15" x14ac:dyDescent="0.25"/>
  <cols>
    <col min="1" max="1" width="22" customWidth="1"/>
    <col min="2" max="3" width="24" customWidth="1"/>
    <col min="4" max="4" width="40" customWidth="1"/>
  </cols>
  <sheetData>
    <row r="1" spans="1:4" ht="15.75" x14ac:dyDescent="0.25">
      <c r="A1" s="1" t="s">
        <v>60</v>
      </c>
    </row>
    <row r="3" spans="1:4" ht="32.1" customHeight="1" x14ac:dyDescent="0.25">
      <c r="A3" s="4" t="s">
        <v>61</v>
      </c>
      <c r="B3" s="4" t="s">
        <v>62</v>
      </c>
      <c r="C3" s="4" t="s">
        <v>63</v>
      </c>
      <c r="D3" s="4" t="s">
        <v>64</v>
      </c>
    </row>
    <row r="4" spans="1:4" x14ac:dyDescent="0.25">
      <c r="A4">
        <v>100</v>
      </c>
      <c r="B4">
        <v>254</v>
      </c>
      <c r="C4">
        <v>98</v>
      </c>
      <c r="D4" t="s">
        <v>65</v>
      </c>
    </row>
    <row r="5" spans="1:4" x14ac:dyDescent="0.25">
      <c r="A5">
        <v>110</v>
      </c>
      <c r="B5">
        <v>265</v>
      </c>
      <c r="C5">
        <v>110</v>
      </c>
      <c r="D5" t="s">
        <v>66</v>
      </c>
    </row>
    <row r="6" spans="1:4" x14ac:dyDescent="0.25">
      <c r="A6">
        <v>120</v>
      </c>
      <c r="B6">
        <v>287</v>
      </c>
      <c r="C6">
        <v>120</v>
      </c>
      <c r="D6" t="s">
        <v>67</v>
      </c>
    </row>
    <row r="7" spans="1:4" x14ac:dyDescent="0.25">
      <c r="A7">
        <v>130</v>
      </c>
      <c r="B7">
        <v>307</v>
      </c>
      <c r="C7">
        <v>128</v>
      </c>
      <c r="D7" t="s">
        <v>68</v>
      </c>
    </row>
    <row r="8" spans="1:4" x14ac:dyDescent="0.25">
      <c r="A8">
        <v>140</v>
      </c>
      <c r="B8">
        <v>331</v>
      </c>
      <c r="C8">
        <v>140</v>
      </c>
      <c r="D8" t="s">
        <v>69</v>
      </c>
    </row>
  </sheetData>
  <pageMargins left="0.75" right="0.75" top="1" bottom="1" header="0.5" footer="0.5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Parametros</vt:lpstr>
      <vt:lpstr>Modelo</vt:lpstr>
      <vt:lpstr>Comparacion</vt:lpstr>
      <vt:lpstr>Sensibilidad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ORTIZ</cp:lastModifiedBy>
  <dcterms:created xsi:type="dcterms:W3CDTF">2026-10-10T18:32:51Z</dcterms:created>
  <dcterms:modified xsi:type="dcterms:W3CDTF">2026-10-10T18:33:02Z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61717-2c60-4f33-889e-461dcad0e5da_Enabled">
    <vt:lpwstr>true</vt:lpwstr>
  </property>
  <property fmtid="{D5CDD505-2E9C-101B-9397-08002B2CF9AE}" pid="3" name="MSIP_Label_4b161717-2c60-4f33-889e-461dcad0e5da_SetDate">
    <vt:lpwstr>2026-10-10T18:33:02Z</vt:lpwstr>
  </property>
  <property fmtid="{D5CDD505-2E9C-101B-9397-08002B2CF9AE}" pid="4" name="MSIP_Label_4b161717-2c60-4f33-889e-461dcad0e5da_Method">
    <vt:lpwstr>Standard</vt:lpwstr>
  </property>
  <property fmtid="{D5CDD505-2E9C-101B-9397-08002B2CF9AE}" pid="5" name="MSIP_Label_4b161717-2c60-4f33-889e-461dcad0e5da_Name">
    <vt:lpwstr>Confidencial</vt:lpwstr>
  </property>
  <property fmtid="{D5CDD505-2E9C-101B-9397-08002B2CF9AE}" pid="6" name="MSIP_Label_4b161717-2c60-4f33-889e-461dcad0e5da_SiteId">
    <vt:lpwstr>d065e67d-8e26-4632-a114-1caaf9422f02</vt:lpwstr>
  </property>
  <property fmtid="{D5CDD505-2E9C-101B-9397-08002B2CF9AE}" pid="7" name="MSIP_Label_4b161717-2c60-4f33-889e-461dcad0e5da_ActionId">
    <vt:lpwstr>13cb00ec-0504-46ad-acb0-a0a9e2b84de9</vt:lpwstr>
  </property>
  <property fmtid="{D5CDD505-2E9C-101B-9397-08002B2CF9AE}" pid="8" name="MSIP_Label_4b161717-2c60-4f33-889e-461dcad0e5da_ContentBits">
    <vt:lpwstr>4</vt:lpwstr>
  </property>
  <property fmtid="{D5CDD505-2E9C-101B-9397-08002B2CF9AE}" pid="9" name="MSIP_Label_4b161717-2c60-4f33-889e-461dcad0e5da_Tag">
    <vt:lpwstr>10, 3, 0, 1</vt:lpwstr>
  </property>
</Properties>
</file>