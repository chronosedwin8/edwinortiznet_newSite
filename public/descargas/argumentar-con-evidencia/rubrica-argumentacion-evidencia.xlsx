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Escala" sheetId="3" state="visible" r:id="rId3"/>
    <sheet xmlns:r="http://schemas.openxmlformats.org/officeDocument/2006/relationships" name="Lectura_A" sheetId="4" state="visible" r:id="rId4"/>
    <sheet xmlns:r="http://schemas.openxmlformats.org/officeDocument/2006/relationships" name="Lectura_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3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  <xf numFmtId="9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6" customWidth="1" min="1" max="1"/>
    <col width="20" customWidth="1" min="2" max="2"/>
  </cols>
  <sheetData>
    <row r="1">
      <c r="A1" s="1" t="inlineStr">
        <is>
          <t>RESUMEN</t>
        </is>
      </c>
    </row>
    <row r="3">
      <c r="A3" s="2" t="inlineStr">
        <is>
          <t>Criterio</t>
        </is>
      </c>
      <c r="B3" s="2" t="inlineStr">
        <is>
          <t>Promedio (lectura A)</t>
        </is>
      </c>
    </row>
    <row r="4">
      <c r="A4" t="inlineStr">
        <is>
          <t>Afirmación</t>
        </is>
      </c>
      <c r="B4" s="3">
        <f>AVERAGE(Lectura_A!B4:B13)</f>
        <v/>
      </c>
    </row>
    <row r="5">
      <c r="A5" t="inlineStr">
        <is>
          <t>Evidencia</t>
        </is>
      </c>
      <c r="B5" s="3">
        <f>AVERAGE(Lectura_A!C4:C13)</f>
        <v/>
      </c>
    </row>
    <row r="6">
      <c r="A6" t="inlineStr">
        <is>
          <t>Razonamiento</t>
        </is>
      </c>
      <c r="B6" s="3">
        <f>AVERAGE(Lectura_A!D4:D13)</f>
        <v/>
      </c>
    </row>
    <row r="7">
      <c r="A7" t="inlineStr">
        <is>
          <t>Contraargumento</t>
        </is>
      </c>
      <c r="B7" s="3">
        <f>AVERAGE(Lectura_A!E4:E13)</f>
        <v/>
      </c>
    </row>
    <row r="8">
      <c r="A8" t="inlineStr">
        <is>
          <t>Fuentes</t>
        </is>
      </c>
      <c r="B8" s="3">
        <f>AVERAGE(Lectura_A!F4:F13)</f>
        <v/>
      </c>
    </row>
    <row r="10">
      <c r="A10" t="inlineStr">
        <is>
          <t>Criterio con el promedio más bajo</t>
        </is>
      </c>
      <c r="B10">
        <f>INDEX(A4:A8,MATCH(MIN(B4:B8),B4:B8,0))</f>
        <v/>
      </c>
    </row>
    <row r="11">
      <c r="A11" t="inlineStr">
        <is>
          <t>Estudiantes en nivel Sólido</t>
        </is>
      </c>
      <c r="B11">
        <f>COUNTIF(Lectura_A!H4:H13,"Sólido")</f>
        <v/>
      </c>
    </row>
    <row r="12">
      <c r="A12" t="inlineStr">
        <is>
          <t>Estudiantes en nivel En desarrollo</t>
        </is>
      </c>
      <c r="B12">
        <f>COUNTIF(Lectura_A!H4:H13,"En desarrollo")</f>
        <v/>
      </c>
    </row>
    <row r="13">
      <c r="A13" t="inlineStr">
        <is>
          <t>Estudiantes en nivel Inicial</t>
        </is>
      </c>
      <c r="B13">
        <f>COUNTIF(Lectura_A!H4:H13,"Inicial")</f>
        <v/>
      </c>
    </row>
    <row r="14">
      <c r="A14" t="inlineStr">
        <is>
          <t>Argumentos sin ningún contraargumento (puntaje 0)</t>
        </is>
      </c>
      <c r="B14">
        <f>COUNTIF(Lectura_A!E4:E13,0)</f>
        <v/>
      </c>
    </row>
    <row r="16">
      <c r="A16" s="4" t="inlineStr">
        <is>
          <t>Acuerdo entre las dos lecturas (50 calificaciones)</t>
        </is>
      </c>
    </row>
    <row r="17">
      <c r="A17" t="inlineStr">
        <is>
          <t>Calificaciones idénticas</t>
        </is>
      </c>
      <c r="B17">
        <f>SUMPRODUCT(--(Lectura_A!B4:F13=Lectura_B!B4:F13))</f>
        <v/>
      </c>
    </row>
    <row r="18">
      <c r="A18" t="inlineStr">
        <is>
          <t>Calificaciones que difieren en 1 punto</t>
        </is>
      </c>
      <c r="B18">
        <f>SUMPRODUCT(--(ABS(Lectura_A!B4:F13-Lectura_B!B4:F13)=1))</f>
        <v/>
      </c>
    </row>
    <row r="19">
      <c r="A19" t="inlineStr">
        <is>
          <t>Calificaciones que difieren en 2 o más puntos</t>
        </is>
      </c>
      <c r="B19">
        <f>SUMPRODUCT(--(ABS(Lectura_A!B4:F13-Lectura_B!B4:F13)&gt;=2))</f>
        <v/>
      </c>
    </row>
    <row r="20">
      <c r="A20" t="inlineStr">
        <is>
          <t>Acuerdo exacto</t>
        </is>
      </c>
      <c r="B20" s="5">
        <f>B17/COUNT(Lectura_A!B4:F13)</f>
        <v/>
      </c>
    </row>
    <row r="21">
      <c r="A21" t="inlineStr">
        <is>
          <t>Acuerdo exacto o adyacente (diferencia de 0 o 1)</t>
        </is>
      </c>
      <c r="B21" s="5">
        <f>(B17+B18)/COUNT(Lectura_A!B4:F13)</f>
        <v/>
      </c>
    </row>
  </sheetData>
  <conditionalFormatting sqref="B19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1" t="inlineStr">
        <is>
          <t>PARÁMETROS (editables; datos ficticios)</t>
        </is>
      </c>
    </row>
    <row r="3">
      <c r="A3" t="inlineStr">
        <is>
          <t>Puntaje total mínimo para "Sólido" (de 15)</t>
        </is>
      </c>
      <c r="B3" s="6" t="n">
        <v>12</v>
      </c>
    </row>
    <row r="4">
      <c r="A4" t="inlineStr">
        <is>
          <t>Puntaje total mínimo para "En desarrollo" (de 15)</t>
        </is>
      </c>
      <c r="B4" s="6" t="n">
        <v>8</v>
      </c>
    </row>
    <row r="6">
      <c r="A6" t="inlineStr">
        <is>
          <t>Cada criterio se califica de 0 a 3. Los puntos de corte son un ejemplo: defínelos con tu SIEE y tus colegas, y úsalos para dar retroalimentación, no para etiquetar.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40" customWidth="1" min="4" max="4"/>
    <col width="46" customWidth="1" min="5" max="5"/>
  </cols>
  <sheetData>
    <row r="1">
      <c r="A1" s="1" t="inlineStr">
        <is>
          <t>ESCALA DE ARGUMENTACIÓN (ejemplo propio, basado en los elementos de afirmación-evidencia-razonamiento y en el modelo de Toulmin)</t>
        </is>
      </c>
    </row>
    <row r="3">
      <c r="A3" s="2" t="inlineStr">
        <is>
          <t>Criterio</t>
        </is>
      </c>
      <c r="B3" s="2" t="inlineStr">
        <is>
          <t>0</t>
        </is>
      </c>
      <c r="C3" s="2" t="inlineStr">
        <is>
          <t>1</t>
        </is>
      </c>
      <c r="D3" s="2" t="inlineStr">
        <is>
          <t>2</t>
        </is>
      </c>
      <c r="E3" s="2" t="inlineStr">
        <is>
          <t>3</t>
        </is>
      </c>
    </row>
    <row r="4">
      <c r="A4" s="7" t="inlineStr">
        <is>
          <t>Afirmación</t>
        </is>
      </c>
      <c r="B4" s="7" t="inlineStr">
        <is>
          <t>No hay afirmación</t>
        </is>
      </c>
      <c r="C4" s="7" t="inlineStr">
        <is>
          <t>Afirmación vaga o que no responde la pregunta</t>
        </is>
      </c>
      <c r="D4" s="7" t="inlineStr">
        <is>
          <t>Afirmación clara pero poco precisa</t>
        </is>
      </c>
      <c r="E4" s="7" t="inlineStr">
        <is>
          <t>Afirmación clara, precisa y que responde la pregunta</t>
        </is>
      </c>
    </row>
    <row r="5">
      <c r="A5" s="7" t="inlineStr">
        <is>
          <t>Evidencia</t>
        </is>
      </c>
      <c r="B5" s="7" t="inlineStr">
        <is>
          <t>No hay evidencia</t>
        </is>
      </c>
      <c r="C5" s="7" t="inlineStr">
        <is>
          <t>Evidencia insuficiente o irrelevante</t>
        </is>
      </c>
      <c r="D5" s="7" t="inlineStr">
        <is>
          <t>Evidencia pertinente pero incompleta</t>
        </is>
      </c>
      <c r="E5" s="7" t="inlineStr">
        <is>
          <t>Evidencia pertinente, suficiente y verificable</t>
        </is>
      </c>
    </row>
    <row r="6">
      <c r="A6" s="7" t="inlineStr">
        <is>
          <t>Razonamiento</t>
        </is>
      </c>
      <c r="B6" s="7" t="inlineStr">
        <is>
          <t>No explica por qué la evidencia apoya la afirmación</t>
        </is>
      </c>
      <c r="C6" s="7" t="inlineStr">
        <is>
          <t>Repite la evidencia sin conectarla</t>
        </is>
      </c>
      <c r="D6" s="7" t="inlineStr">
        <is>
          <t>Conecta evidencia y afirmación con una explicación parcial</t>
        </is>
      </c>
      <c r="E6" s="7" t="inlineStr">
        <is>
          <t>Explica con un principio o criterio por qué la evidencia apoya la afirmación</t>
        </is>
      </c>
    </row>
    <row r="7">
      <c r="A7" s="7" t="inlineStr">
        <is>
          <t>Contraargumento</t>
        </is>
      </c>
      <c r="B7" s="7" t="inlineStr">
        <is>
          <t>No considera otras posturas</t>
        </is>
      </c>
      <c r="C7" s="7" t="inlineStr">
        <is>
          <t>Menciona otra postura sin responderla</t>
        </is>
      </c>
      <c r="D7" s="7" t="inlineStr">
        <is>
          <t>Responde una objeción</t>
        </is>
      </c>
      <c r="E7" s="7" t="inlineStr">
        <is>
          <t>Anticipa objeciones y las refuta o delimita la afirmación</t>
        </is>
      </c>
    </row>
    <row r="8">
      <c r="A8" s="7" t="inlineStr">
        <is>
          <t>Fuentes</t>
        </is>
      </c>
      <c r="B8" s="7" t="inlineStr">
        <is>
          <t>No cita fuentes</t>
        </is>
      </c>
      <c r="C8" s="7" t="inlineStr">
        <is>
          <t>Fuentes sin identificar</t>
        </is>
      </c>
      <c r="D8" s="7" t="inlineStr">
        <is>
          <t>Fuentes identificadas pero no evaluadas</t>
        </is>
      </c>
      <c r="E8" s="7" t="inlineStr">
        <is>
          <t>Fuentes identificadas, fechadas y evaluadas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LECTURA DE LA DOCENTE A (10 argumentos escritos; datos ficticios)</t>
        </is>
      </c>
    </row>
    <row r="3" ht="32" customHeight="1">
      <c r="A3" s="2" t="inlineStr">
        <is>
          <t>Estudiante</t>
        </is>
      </c>
      <c r="B3" s="2" t="inlineStr">
        <is>
          <t>Afirmación</t>
        </is>
      </c>
      <c r="C3" s="2" t="inlineStr">
        <is>
          <t>Evidencia</t>
        </is>
      </c>
      <c r="D3" s="2" t="inlineStr">
        <is>
          <t>Razonamiento</t>
        </is>
      </c>
      <c r="E3" s="2" t="inlineStr">
        <is>
          <t>Contraargumento</t>
        </is>
      </c>
      <c r="F3" s="2" t="inlineStr">
        <is>
          <t>Fuentes</t>
        </is>
      </c>
      <c r="G3" s="2" t="inlineStr">
        <is>
          <t>Total (0 a 15)</t>
        </is>
      </c>
      <c r="H3" s="2" t="inlineStr">
        <is>
          <t>Nivel</t>
        </is>
      </c>
      <c r="I3" s="2" t="inlineStr">
        <is>
          <t>Criterio más débil</t>
        </is>
      </c>
    </row>
    <row r="4">
      <c r="A4" t="inlineStr">
        <is>
          <t>E1</t>
        </is>
      </c>
      <c r="B4" s="6" t="n">
        <v>3</v>
      </c>
      <c r="C4" s="6" t="n">
        <v>3</v>
      </c>
      <c r="D4" s="6" t="n">
        <v>2</v>
      </c>
      <c r="E4" s="6" t="n">
        <v>1</v>
      </c>
      <c r="F4" s="6" t="n">
        <v>2</v>
      </c>
      <c r="G4">
        <f>SUM(B4:F4)</f>
        <v/>
      </c>
      <c r="H4">
        <f>IF(G4&gt;=Parametros!$B$3,"Sólido",IF(G4&gt;=Parametros!$B$4,"En desarrollo","Inicial"))</f>
        <v/>
      </c>
      <c r="I4">
        <f>INDEX($B$3:$F$3,MATCH(MIN(B4:F4),B4:F4,0))</f>
        <v/>
      </c>
    </row>
    <row r="5">
      <c r="A5" t="inlineStr">
        <is>
          <t>E2</t>
        </is>
      </c>
      <c r="B5" s="6" t="n">
        <v>2</v>
      </c>
      <c r="C5" s="6" t="n">
        <v>2</v>
      </c>
      <c r="D5" s="6" t="n">
        <v>1</v>
      </c>
      <c r="E5" s="6" t="n">
        <v>0</v>
      </c>
      <c r="F5" s="6" t="n">
        <v>1</v>
      </c>
      <c r="G5">
        <f>SUM(B5:F5)</f>
        <v/>
      </c>
      <c r="H5">
        <f>IF(G5&gt;=Parametros!$B$3,"Sólido",IF(G5&gt;=Parametros!$B$4,"En desarrollo","Inicial"))</f>
        <v/>
      </c>
      <c r="I5">
        <f>INDEX($B$3:$F$3,MATCH(MIN(B5:F5),B5:F5,0))</f>
        <v/>
      </c>
    </row>
    <row r="6">
      <c r="A6" t="inlineStr">
        <is>
          <t>E3</t>
        </is>
      </c>
      <c r="B6" s="6" t="n">
        <v>3</v>
      </c>
      <c r="C6" s="6" t="n">
        <v>3</v>
      </c>
      <c r="D6" s="6" t="n">
        <v>3</v>
      </c>
      <c r="E6" s="6" t="n">
        <v>2</v>
      </c>
      <c r="F6" s="6" t="n">
        <v>3</v>
      </c>
      <c r="G6">
        <f>SUM(B6:F6)</f>
        <v/>
      </c>
      <c r="H6">
        <f>IF(G6&gt;=Parametros!$B$3,"Sólido",IF(G6&gt;=Parametros!$B$4,"En desarrollo","Inicial"))</f>
        <v/>
      </c>
      <c r="I6">
        <f>INDEX($B$3:$F$3,MATCH(MIN(B6:F6),B6:F6,0))</f>
        <v/>
      </c>
    </row>
    <row r="7">
      <c r="A7" t="inlineStr">
        <is>
          <t>E4</t>
        </is>
      </c>
      <c r="B7" s="6" t="n">
        <v>2</v>
      </c>
      <c r="C7" s="6" t="n">
        <v>1</v>
      </c>
      <c r="D7" s="6" t="n">
        <v>1</v>
      </c>
      <c r="E7" s="6" t="n">
        <v>0</v>
      </c>
      <c r="F7" s="6" t="n">
        <v>0</v>
      </c>
      <c r="G7">
        <f>SUM(B7:F7)</f>
        <v/>
      </c>
      <c r="H7">
        <f>IF(G7&gt;=Parametros!$B$3,"Sólido",IF(G7&gt;=Parametros!$B$4,"En desarrollo","Inicial"))</f>
        <v/>
      </c>
      <c r="I7">
        <f>INDEX($B$3:$F$3,MATCH(MIN(B7:F7),B7:F7,0))</f>
        <v/>
      </c>
    </row>
    <row r="8">
      <c r="A8" t="inlineStr">
        <is>
          <t>E5</t>
        </is>
      </c>
      <c r="B8" s="6" t="n">
        <v>3</v>
      </c>
      <c r="C8" s="6" t="n">
        <v>2</v>
      </c>
      <c r="D8" s="6" t="n">
        <v>2</v>
      </c>
      <c r="E8" s="6" t="n">
        <v>1</v>
      </c>
      <c r="F8" s="6" t="n">
        <v>2</v>
      </c>
      <c r="G8">
        <f>SUM(B8:F8)</f>
        <v/>
      </c>
      <c r="H8">
        <f>IF(G8&gt;=Parametros!$B$3,"Sólido",IF(G8&gt;=Parametros!$B$4,"En desarrollo","Inicial"))</f>
        <v/>
      </c>
      <c r="I8">
        <f>INDEX($B$3:$F$3,MATCH(MIN(B8:F8),B8:F8,0))</f>
        <v/>
      </c>
    </row>
    <row r="9">
      <c r="A9" t="inlineStr">
        <is>
          <t>E6</t>
        </is>
      </c>
      <c r="B9" s="6" t="n">
        <v>2</v>
      </c>
      <c r="C9" s="6" t="n">
        <v>3</v>
      </c>
      <c r="D9" s="6" t="n">
        <v>1</v>
      </c>
      <c r="E9" s="6" t="n">
        <v>1</v>
      </c>
      <c r="F9" s="6" t="n">
        <v>2</v>
      </c>
      <c r="G9">
        <f>SUM(B9:F9)</f>
        <v/>
      </c>
      <c r="H9">
        <f>IF(G9&gt;=Parametros!$B$3,"Sólido",IF(G9&gt;=Parametros!$B$4,"En desarrollo","Inicial"))</f>
        <v/>
      </c>
      <c r="I9">
        <f>INDEX($B$3:$F$3,MATCH(MIN(B9:F9),B9:F9,0))</f>
        <v/>
      </c>
    </row>
    <row r="10">
      <c r="A10" t="inlineStr">
        <is>
          <t>E7</t>
        </is>
      </c>
      <c r="B10" s="6" t="n">
        <v>3</v>
      </c>
      <c r="C10" s="6" t="n">
        <v>3</v>
      </c>
      <c r="D10" s="6" t="n">
        <v>2</v>
      </c>
      <c r="E10" s="6" t="n">
        <v>2</v>
      </c>
      <c r="F10" s="6" t="n">
        <v>3</v>
      </c>
      <c r="G10">
        <f>SUM(B10:F10)</f>
        <v/>
      </c>
      <c r="H10">
        <f>IF(G10&gt;=Parametros!$B$3,"Sólido",IF(G10&gt;=Parametros!$B$4,"En desarrollo","Inicial"))</f>
        <v/>
      </c>
      <c r="I10">
        <f>INDEX($B$3:$F$3,MATCH(MIN(B10:F10),B10:F10,0))</f>
        <v/>
      </c>
    </row>
    <row r="11">
      <c r="A11" t="inlineStr">
        <is>
          <t>E8</t>
        </is>
      </c>
      <c r="B11" s="6" t="n">
        <v>1</v>
      </c>
      <c r="C11" s="6" t="n">
        <v>1</v>
      </c>
      <c r="D11" s="6" t="n">
        <v>0</v>
      </c>
      <c r="E11" s="6" t="n">
        <v>0</v>
      </c>
      <c r="F11" s="6" t="n">
        <v>1</v>
      </c>
      <c r="G11">
        <f>SUM(B11:F11)</f>
        <v/>
      </c>
      <c r="H11">
        <f>IF(G11&gt;=Parametros!$B$3,"Sólido",IF(G11&gt;=Parametros!$B$4,"En desarrollo","Inicial"))</f>
        <v/>
      </c>
      <c r="I11">
        <f>INDEX($B$3:$F$3,MATCH(MIN(B11:F11),B11:F11,0))</f>
        <v/>
      </c>
    </row>
    <row r="12">
      <c r="A12" t="inlineStr">
        <is>
          <t>E9</t>
        </is>
      </c>
      <c r="B12" s="6" t="n">
        <v>2</v>
      </c>
      <c r="C12" s="6" t="n">
        <v>2</v>
      </c>
      <c r="D12" s="6" t="n">
        <v>2</v>
      </c>
      <c r="E12" s="6" t="n">
        <v>1</v>
      </c>
      <c r="F12" s="6" t="n">
        <v>1</v>
      </c>
      <c r="G12">
        <f>SUM(B12:F12)</f>
        <v/>
      </c>
      <c r="H12">
        <f>IF(G12&gt;=Parametros!$B$3,"Sólido",IF(G12&gt;=Parametros!$B$4,"En desarrollo","Inicial"))</f>
        <v/>
      </c>
      <c r="I12">
        <f>INDEX($B$3:$F$3,MATCH(MIN(B12:F12),B12:F12,0))</f>
        <v/>
      </c>
    </row>
    <row r="13">
      <c r="A13" t="inlineStr">
        <is>
          <t>E10</t>
        </is>
      </c>
      <c r="B13" s="6" t="n">
        <v>3</v>
      </c>
      <c r="C13" s="6" t="n">
        <v>2</v>
      </c>
      <c r="D13" s="6" t="n">
        <v>1</v>
      </c>
      <c r="E13" s="6" t="n">
        <v>0</v>
      </c>
      <c r="F13" s="6" t="n">
        <v>2</v>
      </c>
      <c r="G13">
        <f>SUM(B13:F13)</f>
        <v/>
      </c>
      <c r="H13">
        <f>IF(G13&gt;=Parametros!$B$3,"Sólido",IF(G13&gt;=Parametros!$B$4,"En desarrollo","Inicial"))</f>
        <v/>
      </c>
      <c r="I13">
        <f>INDEX($B$3:$F$3,MATCH(MIN(B13:F13),B13:F13,0))</f>
        <v/>
      </c>
    </row>
  </sheetData>
  <dataValidations count="1">
    <dataValidation sqref="B4:F13" showDropDown="0" showInputMessage="0" showErrorMessage="0" allowBlank="0" type="whole" operator="between">
      <formula1>0</formula1>
      <formula2>3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SEGUNDA LECTURA, DE LA DOCENTE B (los mismos 10 argumentos, calificados sin ver la lectura A)</t>
        </is>
      </c>
    </row>
    <row r="3" ht="32" customHeight="1">
      <c r="A3" s="2" t="inlineStr">
        <is>
          <t>Estudiante</t>
        </is>
      </c>
      <c r="B3" s="2" t="inlineStr">
        <is>
          <t>Afirmación</t>
        </is>
      </c>
      <c r="C3" s="2" t="inlineStr">
        <is>
          <t>Evidencia</t>
        </is>
      </c>
      <c r="D3" s="2" t="inlineStr">
        <is>
          <t>Razonamiento</t>
        </is>
      </c>
      <c r="E3" s="2" t="inlineStr">
        <is>
          <t>Contraargumento</t>
        </is>
      </c>
      <c r="F3" s="2" t="inlineStr">
        <is>
          <t>Fuentes</t>
        </is>
      </c>
    </row>
    <row r="4">
      <c r="A4" t="inlineStr">
        <is>
          <t>E1</t>
        </is>
      </c>
      <c r="B4" s="6" t="n">
        <v>3</v>
      </c>
      <c r="C4" s="6" t="n">
        <v>3</v>
      </c>
      <c r="D4" s="6" t="n">
        <v>3</v>
      </c>
      <c r="E4" s="6" t="n">
        <v>1</v>
      </c>
      <c r="F4" s="6" t="n">
        <v>2</v>
      </c>
    </row>
    <row r="5">
      <c r="A5" t="inlineStr">
        <is>
          <t>E2</t>
        </is>
      </c>
      <c r="B5" s="6" t="n">
        <v>2</v>
      </c>
      <c r="C5" s="6" t="n">
        <v>2</v>
      </c>
      <c r="D5" s="6" t="n">
        <v>1</v>
      </c>
      <c r="E5" s="6" t="n">
        <v>1</v>
      </c>
      <c r="F5" s="6" t="n">
        <v>1</v>
      </c>
    </row>
    <row r="6">
      <c r="A6" t="inlineStr">
        <is>
          <t>E3</t>
        </is>
      </c>
      <c r="B6" s="6" t="n">
        <v>3</v>
      </c>
      <c r="C6" s="6" t="n">
        <v>3</v>
      </c>
      <c r="D6" s="6" t="n">
        <v>3</v>
      </c>
      <c r="E6" s="6" t="n">
        <v>2</v>
      </c>
      <c r="F6" s="6" t="n">
        <v>3</v>
      </c>
    </row>
    <row r="7">
      <c r="A7" t="inlineStr">
        <is>
          <t>E4</t>
        </is>
      </c>
      <c r="B7" s="6" t="n">
        <v>2</v>
      </c>
      <c r="C7" s="6" t="n">
        <v>3</v>
      </c>
      <c r="D7" s="6" t="n">
        <v>1</v>
      </c>
      <c r="E7" s="6" t="n">
        <v>0</v>
      </c>
      <c r="F7" s="6" t="n">
        <v>0</v>
      </c>
    </row>
    <row r="8">
      <c r="A8" t="inlineStr">
        <is>
          <t>E5</t>
        </is>
      </c>
      <c r="B8" s="6" t="n">
        <v>3</v>
      </c>
      <c r="C8" s="6" t="n">
        <v>2</v>
      </c>
      <c r="D8" s="6" t="n">
        <v>2</v>
      </c>
      <c r="E8" s="6" t="n">
        <v>1</v>
      </c>
      <c r="F8" s="6" t="n">
        <v>2</v>
      </c>
    </row>
    <row r="9">
      <c r="A9" t="inlineStr">
        <is>
          <t>E6</t>
        </is>
      </c>
      <c r="B9" s="6" t="n">
        <v>2</v>
      </c>
      <c r="C9" s="6" t="n">
        <v>3</v>
      </c>
      <c r="D9" s="6" t="n">
        <v>2</v>
      </c>
      <c r="E9" s="6" t="n">
        <v>1</v>
      </c>
      <c r="F9" s="6" t="n">
        <v>2</v>
      </c>
    </row>
    <row r="10">
      <c r="A10" t="inlineStr">
        <is>
          <t>E7</t>
        </is>
      </c>
      <c r="B10" s="6" t="n">
        <v>3</v>
      </c>
      <c r="C10" s="6" t="n">
        <v>2</v>
      </c>
      <c r="D10" s="6" t="n">
        <v>2</v>
      </c>
      <c r="E10" s="6" t="n">
        <v>2</v>
      </c>
      <c r="F10" s="6" t="n">
        <v>3</v>
      </c>
    </row>
    <row r="11">
      <c r="A11" t="inlineStr">
        <is>
          <t>E8</t>
        </is>
      </c>
      <c r="B11" s="6" t="n">
        <v>1</v>
      </c>
      <c r="C11" s="6" t="n">
        <v>1</v>
      </c>
      <c r="D11" s="6" t="n">
        <v>0</v>
      </c>
      <c r="E11" s="6" t="n">
        <v>0</v>
      </c>
      <c r="F11" s="6" t="n">
        <v>1</v>
      </c>
    </row>
    <row r="12">
      <c r="A12" t="inlineStr">
        <is>
          <t>E9</t>
        </is>
      </c>
      <c r="B12" s="6" t="n">
        <v>2</v>
      </c>
      <c r="C12" s="6" t="n">
        <v>2</v>
      </c>
      <c r="D12" s="6" t="n">
        <v>2</v>
      </c>
      <c r="E12" s="6" t="n">
        <v>1</v>
      </c>
      <c r="F12" s="6" t="n">
        <v>3</v>
      </c>
    </row>
    <row r="13">
      <c r="A13" t="inlineStr">
        <is>
          <t>E10</t>
        </is>
      </c>
      <c r="B13" s="6" t="n">
        <v>3</v>
      </c>
      <c r="C13" s="6" t="n">
        <v>2</v>
      </c>
      <c r="D13" s="6" t="n">
        <v>1</v>
      </c>
      <c r="E13" s="6" t="n">
        <v>0</v>
      </c>
      <c r="F13" s="6" t="n">
        <v>2</v>
      </c>
    </row>
  </sheetData>
  <dataValidations count="1">
    <dataValidation sqref="B4:F13" showDropDown="0" showInputMessage="0" showErrorMessage="0" allowBlank="0" type="whole" operator="between">
      <formula1>0</formula1>
      <formula2>3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2026-10-10T18:09:02Z</dcterms:created>
  <dcterms:modified xmlns:dcterms="http://purl.org/dc/terms/" xmlns:xsi="http://www.w3.org/2001/XMLSchema-instance" xsi:type="dcterms:W3CDTF">2026-10-10T18:09:02Z</dcterms:modified>
</cp:coreProperties>
</file>