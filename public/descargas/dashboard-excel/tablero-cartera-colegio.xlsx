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ro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1B4B6B"/>
      <sz val="16"/>
    </font>
    <font>
      <i val="1"/>
      <color rgb="00536079"/>
    </font>
    <font>
      <b val="1"/>
      <color rgb="00536079"/>
      <sz val="10"/>
    </font>
    <font>
      <b val="1"/>
      <color rgb="001B4B6B"/>
      <sz val="18"/>
    </font>
    <font>
      <b val="1"/>
    </font>
    <font>
      <b val="1"/>
      <color rgb="001B4B6B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3" borderId="0" pivotButton="0" quotePrefix="0" xfId="0"/>
    <xf numFmtId="9" fontId="0" fillId="3" borderId="0" pivotButton="0" quotePrefix="0" xfId="0"/>
    <xf numFmtId="3" fontId="0" fillId="3" borderId="0" pivotButton="0" quotePrefix="0" xfId="0"/>
    <xf numFmtId="9" fontId="0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5" fontId="6" fillId="0" borderId="0" pivotButton="0" quotePrefix="0" xfId="0"/>
    <xf numFmtId="1" fontId="6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9" fontId="8" fillId="0" borderId="0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15803D"/>
      </font>
    </dxf>
    <dxf>
      <font>
        <b val="1"/>
        <color rgb="00B91C1C"/>
      </font>
    </dxf>
    <dxf>
      <font>
        <b val="1"/>
        <color rgb="00B4530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vencido por rango de mora (COP)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'Tablero'!C10</f>
            </strRef>
          </tx>
          <spPr>
            <a:solidFill xmlns:a="http://schemas.openxmlformats.org/drawingml/2006/main">
              <a:srgbClr val="1B4B6B"/>
            </a:solidFill>
            <a:ln xmlns:a="http://schemas.openxmlformats.org/drawingml/2006/main">
              <a:prstDash val="solid"/>
            </a:ln>
          </spPr>
          <cat>
            <numRef>
              <f>'Tablero'!$B$11:$B$14</f>
            </numRef>
          </cat>
          <val>
            <numRef>
              <f>'Tablero'!$C$11:$C$14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de recaudo vs meta</a:t>
            </a:r>
          </a:p>
        </rich>
      </tx>
    </title>
    <plotArea>
      <lineChart>
        <grouping val="standard"/>
        <ser>
          <idx val="0"/>
          <order val="0"/>
          <tx>
            <strRef>
              <f>'Tablero'!N3</f>
            </strRef>
          </tx>
          <spPr>
            <a:ln xmlns:a="http://schemas.openxmlformats.org/drawingml/2006/main">
              <a:solidFill>
                <a:srgbClr val="1B4B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'Tablero'!$M$4:$M$9</f>
            </numRef>
          </cat>
          <val>
            <numRef>
              <f>'Tablero'!$N$4:$N$9</f>
            </numRef>
          </val>
          <smooth val="0"/>
        </ser>
        <ser>
          <idx val="1"/>
          <order val="1"/>
          <tx>
            <strRef>
              <f>'Tablero'!O3</f>
            </strRef>
          </tx>
          <spPr>
            <a:ln xmlns:a="http://schemas.openxmlformats.org/drawingml/2006/main">
              <a:solidFill>
                <a:srgbClr val="B91C1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'Tablero'!$M$4:$M$9</f>
            </numRef>
          </cat>
          <val>
            <numRef>
              <f>'Tablero'!$O$4:$O$9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.7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4" customWidth="1" min="4" max="4"/>
    <col width="18" customWidth="1" min="5" max="5"/>
    <col width="18" customWidth="1" min="6" max="6"/>
    <col width="5" customWidth="1" min="7" max="7"/>
    <col width="16" customWidth="1" min="8" max="8"/>
    <col width="16" customWidth="1" min="9" max="9"/>
    <col width="14" customWidth="1" min="10" max="10"/>
    <col width="36" customWidth="1" min="11" max="11"/>
    <col width="8" customWidth="1" min="13" max="13"/>
    <col width="10" customWidth="1" min="14" max="14"/>
    <col width="8" customWidth="1" min="15" max="15"/>
  </cols>
  <sheetData>
    <row r="1">
      <c r="A1" s="1" t="inlineStr">
        <is>
          <t>TABLERO DE CARTERA: ¿A QUIÉN LLAMO ESTA SEMANA?</t>
        </is>
      </c>
    </row>
    <row r="2">
      <c r="A2" s="2" t="inlineStr">
        <is>
          <t>Datos ficticios. Un tablero sirve si responde una pregunta y propone una acción: aquí, qué familias requieren contacto y de qué tipo.</t>
        </is>
      </c>
    </row>
    <row r="3">
      <c r="B3" t="inlineStr">
        <is>
          <t>Fecha de corte</t>
        </is>
      </c>
      <c r="C3" s="3" t="n">
        <v>46295</v>
      </c>
      <c r="E3" t="inlineStr">
        <is>
          <t>Meta de recaudo del mes</t>
        </is>
      </c>
      <c r="G3" s="4" t="n">
        <v>0.9</v>
      </c>
      <c r="I3" t="inlineStr">
        <is>
          <t>Umbral de saldo para priorizar</t>
        </is>
      </c>
      <c r="K3" s="5" t="n">
        <v>1000000</v>
      </c>
      <c r="M3" t="inlineStr">
        <is>
          <t>Mes</t>
        </is>
      </c>
      <c r="N3" t="inlineStr">
        <is>
          <t>% recaudo</t>
        </is>
      </c>
      <c r="O3" t="inlineStr">
        <is>
          <t>Meta</t>
        </is>
      </c>
    </row>
    <row r="4">
      <c r="M4" t="inlineStr">
        <is>
          <t>Abr</t>
        </is>
      </c>
      <c r="N4" s="6" t="n">
        <v>0.93</v>
      </c>
      <c r="O4" s="6">
        <f>$G$3</f>
        <v/>
      </c>
    </row>
    <row r="5">
      <c r="B5" s="7" t="inlineStr">
        <is>
          <t>Facturado del mes</t>
        </is>
      </c>
      <c r="D5" s="7" t="inlineStr">
        <is>
          <t>Recaudado del mes</t>
        </is>
      </c>
      <c r="F5" s="7" t="inlineStr">
        <is>
          <t>% de recaudo</t>
        </is>
      </c>
      <c r="H5" s="7" t="inlineStr">
        <is>
          <t>Cartera vencida total</t>
        </is>
      </c>
      <c r="J5" s="7" t="inlineStr">
        <is>
          <t>Familias con mora &gt; 60 días</t>
        </is>
      </c>
      <c r="M5" t="inlineStr">
        <is>
          <t>May</t>
        </is>
      </c>
      <c r="N5" s="6" t="n">
        <v>0.91</v>
      </c>
      <c r="O5" s="6">
        <f>$G$3</f>
        <v/>
      </c>
    </row>
    <row r="6">
      <c r="B6" s="8">
        <f>SUM(Datos!C4:C83)</f>
        <v/>
      </c>
      <c r="D6" s="8">
        <f>SUM(Datos!C4:C83)-SUMIFS(Datos!C4:C83,Datos!G4:G83,"&lt;&gt;Al día")</f>
        <v/>
      </c>
      <c r="F6" s="9">
        <f>IF(B6=0,0,D6/B6)</f>
        <v/>
      </c>
      <c r="H6" s="8">
        <f>SUM(Datos!D4:D83)</f>
        <v/>
      </c>
      <c r="J6" s="10">
        <f>COUNTIFS(Datos!F4:F83,"&gt;60")</f>
        <v/>
      </c>
      <c r="M6" t="inlineStr">
        <is>
          <t>Jun</t>
        </is>
      </c>
      <c r="N6" s="6" t="n">
        <v>0.88</v>
      </c>
      <c r="O6" s="6">
        <f>$G$3</f>
        <v/>
      </c>
    </row>
    <row r="7">
      <c r="F7" s="11">
        <f>IF(F6&gt;=G3,"En meta",IF(F6&gt;=G3-0.05,"Cerca de la meta","Por debajo de la meta"))</f>
        <v/>
      </c>
      <c r="M7" t="inlineStr">
        <is>
          <t>Jul</t>
        </is>
      </c>
      <c r="N7" s="6" t="n">
        <v>0.9</v>
      </c>
      <c r="O7" s="6">
        <f>$G$3</f>
        <v/>
      </c>
    </row>
    <row r="8">
      <c r="M8" t="inlineStr">
        <is>
          <t>Ago</t>
        </is>
      </c>
      <c r="N8" s="6" t="n">
        <v>0.86</v>
      </c>
      <c r="O8" s="6">
        <f>$G$3</f>
        <v/>
      </c>
    </row>
    <row r="9">
      <c r="B9" s="12" t="inlineStr">
        <is>
          <t>Cartera por rango de mora</t>
        </is>
      </c>
      <c r="G9" s="12" t="inlineStr">
        <is>
          <t>Diez saldos más altos y qué hacer</t>
        </is>
      </c>
      <c r="M9" t="inlineStr">
        <is>
          <t>Sep</t>
        </is>
      </c>
      <c r="N9" s="6">
        <f>F6</f>
        <v/>
      </c>
      <c r="O9" s="6">
        <f>$G$3</f>
        <v/>
      </c>
    </row>
    <row r="10">
      <c r="B10" s="13" t="inlineStr">
        <is>
          <t>Rango</t>
        </is>
      </c>
      <c r="C10" s="13" t="inlineStr">
        <is>
          <t>Saldo</t>
        </is>
      </c>
      <c r="D10" s="13" t="inlineStr">
        <is>
          <t>Familias</t>
        </is>
      </c>
      <c r="E10" s="13" t="inlineStr">
        <is>
          <t>% del saldo</t>
        </is>
      </c>
      <c r="G10" s="13" t="inlineStr">
        <is>
          <t>#</t>
        </is>
      </c>
      <c r="H10" s="13" t="inlineStr">
        <is>
          <t>Familia</t>
        </is>
      </c>
      <c r="I10" s="13" t="inlineStr">
        <is>
          <t>Saldo</t>
        </is>
      </c>
      <c r="J10" s="13" t="inlineStr">
        <is>
          <t>Días de mora</t>
        </is>
      </c>
      <c r="K10" s="13" t="inlineStr">
        <is>
          <t>Acción sugerida</t>
        </is>
      </c>
    </row>
    <row r="11">
      <c r="B11" t="inlineStr">
        <is>
          <t>1-30 días</t>
        </is>
      </c>
      <c r="C11" s="14">
        <f>SUMIFS(Datos!$D$4:$D$83,Datos!$G$4:$G$83,B11)</f>
        <v/>
      </c>
      <c r="D11">
        <f>COUNTIFS(Datos!$G$4:$G$83,B11)</f>
        <v/>
      </c>
      <c r="E11" s="6">
        <f>IF($C$15=0,0,C11/$C$15)</f>
        <v/>
      </c>
      <c r="G11" t="n">
        <v>1</v>
      </c>
      <c r="H11">
        <f>INDEX(Datos!$A$4:$A$83,MATCH(LARGE(Datos!$I$4:$I$83,G11),Datos!$I$4:$I$83,0))</f>
        <v/>
      </c>
      <c r="I11" s="14">
        <f>INDEX(Datos!$D$4:$D$83,MATCH(LARGE(Datos!$I$4:$I$83,G11),Datos!$I$4:$I$83,0))</f>
        <v/>
      </c>
      <c r="J11">
        <f>INDEX(Datos!$F$4:$F$83,MATCH(LARGE(Datos!$I$4:$I$83,G11),Datos!$I$4:$I$83,0))</f>
        <v/>
      </c>
      <c r="K11">
        <f>INDEX(Datos!$H$4:$H$83,MATCH(LARGE(Datos!$I$4:$I$83,G11),Datos!$I$4:$I$83,0))</f>
        <v/>
      </c>
    </row>
    <row r="12">
      <c r="B12" t="inlineStr">
        <is>
          <t>31-60 días</t>
        </is>
      </c>
      <c r="C12" s="14">
        <f>SUMIFS(Datos!$D$4:$D$83,Datos!$G$4:$G$83,B12)</f>
        <v/>
      </c>
      <c r="D12">
        <f>COUNTIFS(Datos!$G$4:$G$83,B12)</f>
        <v/>
      </c>
      <c r="E12" s="6">
        <f>IF($C$15=0,0,C12/$C$15)</f>
        <v/>
      </c>
      <c r="G12" t="n">
        <v>2</v>
      </c>
      <c r="H12">
        <f>INDEX(Datos!$A$4:$A$83,MATCH(LARGE(Datos!$I$4:$I$83,G12),Datos!$I$4:$I$83,0))</f>
        <v/>
      </c>
      <c r="I12" s="14">
        <f>INDEX(Datos!$D$4:$D$83,MATCH(LARGE(Datos!$I$4:$I$83,G12),Datos!$I$4:$I$83,0))</f>
        <v/>
      </c>
      <c r="J12">
        <f>INDEX(Datos!$F$4:$F$83,MATCH(LARGE(Datos!$I$4:$I$83,G12),Datos!$I$4:$I$83,0))</f>
        <v/>
      </c>
      <c r="K12">
        <f>INDEX(Datos!$H$4:$H$83,MATCH(LARGE(Datos!$I$4:$I$83,G12),Datos!$I$4:$I$83,0))</f>
        <v/>
      </c>
    </row>
    <row r="13">
      <c r="B13" t="inlineStr">
        <is>
          <t>61-90 días</t>
        </is>
      </c>
      <c r="C13" s="14">
        <f>SUMIFS(Datos!$D$4:$D$83,Datos!$G$4:$G$83,B13)</f>
        <v/>
      </c>
      <c r="D13">
        <f>COUNTIFS(Datos!$G$4:$G$83,B13)</f>
        <v/>
      </c>
      <c r="E13" s="6">
        <f>IF($C$15=0,0,C13/$C$15)</f>
        <v/>
      </c>
      <c r="G13" t="n">
        <v>3</v>
      </c>
      <c r="H13">
        <f>INDEX(Datos!$A$4:$A$83,MATCH(LARGE(Datos!$I$4:$I$83,G13),Datos!$I$4:$I$83,0))</f>
        <v/>
      </c>
      <c r="I13" s="14">
        <f>INDEX(Datos!$D$4:$D$83,MATCH(LARGE(Datos!$I$4:$I$83,G13),Datos!$I$4:$I$83,0))</f>
        <v/>
      </c>
      <c r="J13">
        <f>INDEX(Datos!$F$4:$F$83,MATCH(LARGE(Datos!$I$4:$I$83,G13),Datos!$I$4:$I$83,0))</f>
        <v/>
      </c>
      <c r="K13">
        <f>INDEX(Datos!$H$4:$H$83,MATCH(LARGE(Datos!$I$4:$I$83,G13),Datos!$I$4:$I$83,0))</f>
        <v/>
      </c>
    </row>
    <row r="14">
      <c r="B14" t="inlineStr">
        <is>
          <t>Más de 90 días</t>
        </is>
      </c>
      <c r="C14" s="14">
        <f>SUMIFS(Datos!$D$4:$D$83,Datos!$G$4:$G$83,B14)</f>
        <v/>
      </c>
      <c r="D14">
        <f>COUNTIFS(Datos!$G$4:$G$83,B14)</f>
        <v/>
      </c>
      <c r="E14" s="6">
        <f>IF($C$15=0,0,C14/$C$15)</f>
        <v/>
      </c>
      <c r="G14" t="n">
        <v>4</v>
      </c>
      <c r="H14">
        <f>INDEX(Datos!$A$4:$A$83,MATCH(LARGE(Datos!$I$4:$I$83,G14),Datos!$I$4:$I$83,0))</f>
        <v/>
      </c>
      <c r="I14" s="14">
        <f>INDEX(Datos!$D$4:$D$83,MATCH(LARGE(Datos!$I$4:$I$83,G14),Datos!$I$4:$I$83,0))</f>
        <v/>
      </c>
      <c r="J14">
        <f>INDEX(Datos!$F$4:$F$83,MATCH(LARGE(Datos!$I$4:$I$83,G14),Datos!$I$4:$I$83,0))</f>
        <v/>
      </c>
      <c r="K14">
        <f>INDEX(Datos!$H$4:$H$83,MATCH(LARGE(Datos!$I$4:$I$83,G14),Datos!$I$4:$I$83,0))</f>
        <v/>
      </c>
    </row>
    <row r="15">
      <c r="B15" s="11" t="inlineStr">
        <is>
          <t>Total</t>
        </is>
      </c>
      <c r="C15" s="14">
        <f>SUM(C11:C14)</f>
        <v/>
      </c>
      <c r="D15">
        <f>SUM(D11:D14)</f>
        <v/>
      </c>
      <c r="E15" s="6">
        <f>SUM(E11:E14)</f>
        <v/>
      </c>
      <c r="G15" t="n">
        <v>5</v>
      </c>
      <c r="H15">
        <f>INDEX(Datos!$A$4:$A$83,MATCH(LARGE(Datos!$I$4:$I$83,G15),Datos!$I$4:$I$83,0))</f>
        <v/>
      </c>
      <c r="I15" s="14">
        <f>INDEX(Datos!$D$4:$D$83,MATCH(LARGE(Datos!$I$4:$I$83,G15),Datos!$I$4:$I$83,0))</f>
        <v/>
      </c>
      <c r="J15">
        <f>INDEX(Datos!$F$4:$F$83,MATCH(LARGE(Datos!$I$4:$I$83,G15),Datos!$I$4:$I$83,0))</f>
        <v/>
      </c>
      <c r="K15">
        <f>INDEX(Datos!$H$4:$H$83,MATCH(LARGE(Datos!$I$4:$I$83,G15),Datos!$I$4:$I$83,0))</f>
        <v/>
      </c>
    </row>
    <row r="16">
      <c r="G16" t="n">
        <v>6</v>
      </c>
      <c r="H16">
        <f>INDEX(Datos!$A$4:$A$83,MATCH(LARGE(Datos!$I$4:$I$83,G16),Datos!$I$4:$I$83,0))</f>
        <v/>
      </c>
      <c r="I16" s="14">
        <f>INDEX(Datos!$D$4:$D$83,MATCH(LARGE(Datos!$I$4:$I$83,G16),Datos!$I$4:$I$83,0))</f>
        <v/>
      </c>
      <c r="J16">
        <f>INDEX(Datos!$F$4:$F$83,MATCH(LARGE(Datos!$I$4:$I$83,G16),Datos!$I$4:$I$83,0))</f>
        <v/>
      </c>
      <c r="K16">
        <f>INDEX(Datos!$H$4:$H$83,MATCH(LARGE(Datos!$I$4:$I$83,G16),Datos!$I$4:$I$83,0))</f>
        <v/>
      </c>
    </row>
    <row r="17">
      <c r="B17" s="12" t="inlineStr">
        <is>
          <t>Prioridad esta semana</t>
        </is>
      </c>
      <c r="G17" t="n">
        <v>7</v>
      </c>
      <c r="H17">
        <f>INDEX(Datos!$A$4:$A$83,MATCH(LARGE(Datos!$I$4:$I$83,G17),Datos!$I$4:$I$83,0))</f>
        <v/>
      </c>
      <c r="I17" s="14">
        <f>INDEX(Datos!$D$4:$D$83,MATCH(LARGE(Datos!$I$4:$I$83,G17),Datos!$I$4:$I$83,0))</f>
        <v/>
      </c>
      <c r="J17">
        <f>INDEX(Datos!$F$4:$F$83,MATCH(LARGE(Datos!$I$4:$I$83,G17),Datos!$I$4:$I$83,0))</f>
        <v/>
      </c>
      <c r="K17">
        <f>INDEX(Datos!$H$4:$H$83,MATCH(LARGE(Datos!$I$4:$I$83,G17),Datos!$I$4:$I$83,0))</f>
        <v/>
      </c>
    </row>
    <row r="18">
      <c r="B18" t="inlineStr">
        <is>
          <t>Familias con mora de 61 a 90 días y saldo mayor o igual al umbral</t>
        </is>
      </c>
      <c r="G18" t="n">
        <v>8</v>
      </c>
      <c r="H18" s="15">
        <f>COUNTIFS(Datos!F4:F83,"&gt;60",Datos!F4:F83,"&lt;=90",Datos!D4:D83,"&gt;="&amp;K3)</f>
        <v/>
      </c>
      <c r="I18" s="14">
        <f>INDEX(Datos!$D$4:$D$83,MATCH(LARGE(Datos!$I$4:$I$83,G18),Datos!$I$4:$I$83,0))</f>
        <v/>
      </c>
      <c r="J18">
        <f>INDEX(Datos!$F$4:$F$83,MATCH(LARGE(Datos!$I$4:$I$83,G18),Datos!$I$4:$I$83,0))</f>
        <v/>
      </c>
      <c r="K18">
        <f>INDEX(Datos!$H$4:$H$83,MATCH(LARGE(Datos!$I$4:$I$83,G18),Datos!$I$4:$I$83,0))</f>
        <v/>
      </c>
    </row>
    <row r="19">
      <c r="B19" t="inlineStr">
        <is>
          <t>Familias con mora de más de 90 días (reunión para acuerdo de pago)</t>
        </is>
      </c>
      <c r="G19" t="n">
        <v>9</v>
      </c>
      <c r="H19" s="15">
        <f>COUNTIFS(Datos!F4:F83,"&gt;90")</f>
        <v/>
      </c>
      <c r="I19" s="14">
        <f>INDEX(Datos!$D$4:$D$83,MATCH(LARGE(Datos!$I$4:$I$83,G19),Datos!$I$4:$I$83,0))</f>
        <v/>
      </c>
      <c r="J19">
        <f>INDEX(Datos!$F$4:$F$83,MATCH(LARGE(Datos!$I$4:$I$83,G19),Datos!$I$4:$I$83,0))</f>
        <v/>
      </c>
      <c r="K19">
        <f>INDEX(Datos!$H$4:$H$83,MATCH(LARGE(Datos!$I$4:$I$83,G19),Datos!$I$4:$I$83,0))</f>
        <v/>
      </c>
    </row>
    <row r="20">
      <c r="B20" t="inlineStr">
        <is>
          <t>Saldo de las familias con mora de más de 60 días</t>
        </is>
      </c>
      <c r="G20" t="n">
        <v>10</v>
      </c>
      <c r="H20" s="16">
        <f>SUMIFS(Datos!D4:D83,Datos!F4:F83,"&gt;60")</f>
        <v/>
      </c>
      <c r="I20" s="14">
        <f>INDEX(Datos!$D$4:$D$83,MATCH(LARGE(Datos!$I$4:$I$83,G20),Datos!$I$4:$I$83,0))</f>
        <v/>
      </c>
      <c r="J20">
        <f>INDEX(Datos!$F$4:$F$83,MATCH(LARGE(Datos!$I$4:$I$83,G20),Datos!$I$4:$I$83,0))</f>
        <v/>
      </c>
      <c r="K20">
        <f>INDEX(Datos!$H$4:$H$83,MATCH(LARGE(Datos!$I$4:$I$83,G20),Datos!$I$4:$I$83,0))</f>
        <v/>
      </c>
    </row>
    <row r="21">
      <c r="B21" t="inlineStr">
        <is>
          <t>% de la cartera concentrada en mora de más de 60 días</t>
        </is>
      </c>
      <c r="H21" s="17">
        <f>IF(C15=0,0,H20/C15)</f>
        <v/>
      </c>
    </row>
    <row r="23">
      <c r="B23" s="2" t="inlineStr">
        <is>
          <t>Las acciones son sugerencias para empezar una conversación respetuosa con la familia; ninguna reemplaza el criterio de la institución ni sus reglas de cobro.</t>
        </is>
      </c>
    </row>
  </sheetData>
  <conditionalFormatting sqref="F7">
    <cfRule type="expression" priority="1" dxfId="0">
      <formula>$F$6&gt;=$G$3</formula>
    </cfRule>
    <cfRule type="expression" priority="2" dxfId="1">
      <formula>$F$6&lt;$G$3-0.05</formula>
    </cfRule>
    <cfRule type="expression" priority="3" dxfId="2">
      <formula>AND($F$6&lt;$G$3,$F$6&gt;=$G$3-0.05)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6" customWidth="1" min="5" max="5"/>
    <col width="12" customWidth="1" min="6" max="6"/>
    <col width="16" customWidth="1" min="7" max="7"/>
    <col width="34" customWidth="1" min="8" max="8"/>
    <col width="16" customWidth="1" min="9" max="9"/>
  </cols>
  <sheetData>
    <row r="1">
      <c r="A1" s="12" t="inlineStr">
        <is>
          <t>CARTERA DE PENSIONES (datos ficticios de un colegio) · fecha de corte en Tablero!C3</t>
        </is>
      </c>
    </row>
    <row r="3">
      <c r="A3" s="18" t="inlineStr">
        <is>
          <t>Familia</t>
        </is>
      </c>
      <c r="B3" s="18" t="inlineStr">
        <is>
          <t>Estudiantes</t>
        </is>
      </c>
      <c r="C3" s="18" t="inlineStr">
        <is>
          <t>Valor mensual</t>
        </is>
      </c>
      <c r="D3" s="18" t="inlineStr">
        <is>
          <t>Saldo pendiente</t>
        </is>
      </c>
      <c r="E3" s="18" t="inlineStr">
        <is>
          <t>Fecha de vencimiento</t>
        </is>
      </c>
      <c r="F3" s="18" t="inlineStr">
        <is>
          <t>Días de mora</t>
        </is>
      </c>
      <c r="G3" s="18" t="inlineStr">
        <is>
          <t>Rango de mora</t>
        </is>
      </c>
      <c r="H3" s="18" t="inlineStr">
        <is>
          <t>Acción sugerida</t>
        </is>
      </c>
      <c r="I3" s="18" t="inlineStr">
        <is>
          <t>Clave de orden</t>
        </is>
      </c>
    </row>
    <row r="4">
      <c r="A4" t="inlineStr">
        <is>
          <t>Familia 01</t>
        </is>
      </c>
      <c r="B4" t="n">
        <v>1</v>
      </c>
      <c r="C4" s="14" t="n">
        <v>450000</v>
      </c>
      <c r="D4" s="14" t="n">
        <v>0</v>
      </c>
      <c r="E4" s="19" t="n"/>
      <c r="F4">
        <f>IF(D4=0,0,Tablero!$C$3-E4)</f>
        <v/>
      </c>
      <c r="G4">
        <f>IF(D4=0,"Al día",IF(F4&lt;=30,"1-30 días",IF(F4&lt;=60,"31-60 días",IF(F4&lt;=90,"61-90 días","Más de 90 días"))))</f>
        <v/>
      </c>
      <c r="H4">
        <f>IF(D4=0,"Sin acción",IF(F4&lt;=30,"Recordatorio automático",IF(F4&lt;=60,"Recordatorio escrito personalizado",IF(F4&lt;=90,"Llamar esta semana","Reunión para acuerdo de pago"))))</f>
        <v/>
      </c>
      <c r="I4">
        <f>D4+ROW()/1000000</f>
        <v/>
      </c>
    </row>
    <row r="5">
      <c r="A5" t="inlineStr">
        <is>
          <t>Familia 02</t>
        </is>
      </c>
      <c r="B5" t="n">
        <v>1</v>
      </c>
      <c r="C5" s="14" t="n">
        <v>420000</v>
      </c>
      <c r="D5" s="14" t="n">
        <v>0</v>
      </c>
      <c r="E5" s="19" t="n"/>
      <c r="F5">
        <f>IF(D5=0,0,Tablero!$C$3-E5)</f>
        <v/>
      </c>
      <c r="G5">
        <f>IF(D5=0,"Al día",IF(F5&lt;=30,"1-30 días",IF(F5&lt;=60,"31-60 días",IF(F5&lt;=90,"61-90 días","Más de 90 días"))))</f>
        <v/>
      </c>
      <c r="H5">
        <f>IF(D5=0,"Sin acción",IF(F5&lt;=30,"Recordatorio automático",IF(F5&lt;=60,"Recordatorio escrito personalizado",IF(F5&lt;=90,"Llamar esta semana","Reunión para acuerdo de pago"))))</f>
        <v/>
      </c>
      <c r="I5">
        <f>D5+ROW()/1000000</f>
        <v/>
      </c>
    </row>
    <row r="6">
      <c r="A6" t="inlineStr">
        <is>
          <t>Familia 03</t>
        </is>
      </c>
      <c r="B6" t="n">
        <v>2</v>
      </c>
      <c r="C6" s="14" t="n">
        <v>960000</v>
      </c>
      <c r="D6" s="14" t="n">
        <v>0</v>
      </c>
      <c r="E6" s="19" t="n"/>
      <c r="F6">
        <f>IF(D6=0,0,Tablero!$C$3-E6)</f>
        <v/>
      </c>
      <c r="G6">
        <f>IF(D6=0,"Al día",IF(F6&lt;=30,"1-30 días",IF(F6&lt;=60,"31-60 días",IF(F6&lt;=90,"61-90 días","Más de 90 días"))))</f>
        <v/>
      </c>
      <c r="H6">
        <f>IF(D6=0,"Sin acción",IF(F6&lt;=30,"Recordatorio automático",IF(F6&lt;=60,"Recordatorio escrito personalizado",IF(F6&lt;=90,"Llamar esta semana","Reunión para acuerdo de pago"))))</f>
        <v/>
      </c>
      <c r="I6">
        <f>D6+ROW()/1000000</f>
        <v/>
      </c>
    </row>
    <row r="7">
      <c r="A7" t="inlineStr">
        <is>
          <t>Familia 04</t>
        </is>
      </c>
      <c r="B7" t="n">
        <v>2</v>
      </c>
      <c r="C7" s="14" t="n">
        <v>960000</v>
      </c>
      <c r="D7" s="14" t="n">
        <v>0</v>
      </c>
      <c r="E7" s="19" t="n"/>
      <c r="F7">
        <f>IF(D7=0,0,Tablero!$C$3-E7)</f>
        <v/>
      </c>
      <c r="G7">
        <f>IF(D7=0,"Al día",IF(F7&lt;=30,"1-30 días",IF(F7&lt;=60,"31-60 días",IF(F7&lt;=90,"61-90 días","Más de 90 días"))))</f>
        <v/>
      </c>
      <c r="H7">
        <f>IF(D7=0,"Sin acción",IF(F7&lt;=30,"Recordatorio automático",IF(F7&lt;=60,"Recordatorio escrito personalizado",IF(F7&lt;=90,"Llamar esta semana","Reunión para acuerdo de pago"))))</f>
        <v/>
      </c>
      <c r="I7">
        <f>D7+ROW()/1000000</f>
        <v/>
      </c>
    </row>
    <row r="8">
      <c r="A8" t="inlineStr">
        <is>
          <t>Familia 05</t>
        </is>
      </c>
      <c r="B8" t="n">
        <v>1</v>
      </c>
      <c r="C8" s="14" t="n">
        <v>450000</v>
      </c>
      <c r="D8" s="14" t="n">
        <v>0</v>
      </c>
      <c r="E8" s="19" t="n"/>
      <c r="F8">
        <f>IF(D8=0,0,Tablero!$C$3-E8)</f>
        <v/>
      </c>
      <c r="G8">
        <f>IF(D8=0,"Al día",IF(F8&lt;=30,"1-30 días",IF(F8&lt;=60,"31-60 días",IF(F8&lt;=90,"61-90 días","Más de 90 días"))))</f>
        <v/>
      </c>
      <c r="H8">
        <f>IF(D8=0,"Sin acción",IF(F8&lt;=30,"Recordatorio automático",IF(F8&lt;=60,"Recordatorio escrito personalizado",IF(F8&lt;=90,"Llamar esta semana","Reunión para acuerdo de pago"))))</f>
        <v/>
      </c>
      <c r="I8">
        <f>D8+ROW()/1000000</f>
        <v/>
      </c>
    </row>
    <row r="9">
      <c r="A9" t="inlineStr">
        <is>
          <t>Familia 06</t>
        </is>
      </c>
      <c r="B9" t="n">
        <v>2</v>
      </c>
      <c r="C9" s="14" t="n">
        <v>840000</v>
      </c>
      <c r="D9" s="14" t="n">
        <v>0</v>
      </c>
      <c r="E9" s="19" t="n"/>
      <c r="F9">
        <f>IF(D9=0,0,Tablero!$C$3-E9)</f>
        <v/>
      </c>
      <c r="G9">
        <f>IF(D9=0,"Al día",IF(F9&lt;=30,"1-30 días",IF(F9&lt;=60,"31-60 días",IF(F9&lt;=90,"61-90 días","Más de 90 días"))))</f>
        <v/>
      </c>
      <c r="H9">
        <f>IF(D9=0,"Sin acción",IF(F9&lt;=30,"Recordatorio automático",IF(F9&lt;=60,"Recordatorio escrito personalizado",IF(F9&lt;=90,"Llamar esta semana","Reunión para acuerdo de pago"))))</f>
        <v/>
      </c>
      <c r="I9">
        <f>D9+ROW()/1000000</f>
        <v/>
      </c>
    </row>
    <row r="10">
      <c r="A10" t="inlineStr">
        <is>
          <t>Familia 07</t>
        </is>
      </c>
      <c r="B10" t="n">
        <v>1</v>
      </c>
      <c r="C10" s="14" t="n">
        <v>480000</v>
      </c>
      <c r="D10" s="14" t="n">
        <v>2400000</v>
      </c>
      <c r="E10" s="19" t="n">
        <v>46165</v>
      </c>
      <c r="F10">
        <f>IF(D10=0,0,Tablero!$C$3-E10)</f>
        <v/>
      </c>
      <c r="G10">
        <f>IF(D10=0,"Al día",IF(F10&lt;=30,"1-30 días",IF(F10&lt;=60,"31-60 días",IF(F10&lt;=90,"61-90 días","Más de 90 días"))))</f>
        <v/>
      </c>
      <c r="H10">
        <f>IF(D10=0,"Sin acción",IF(F10&lt;=30,"Recordatorio automático",IF(F10&lt;=60,"Recordatorio escrito personalizado",IF(F10&lt;=90,"Llamar esta semana","Reunión para acuerdo de pago"))))</f>
        <v/>
      </c>
      <c r="I10">
        <f>D10+ROW()/1000000</f>
        <v/>
      </c>
    </row>
    <row r="11">
      <c r="A11" t="inlineStr">
        <is>
          <t>Familia 08</t>
        </is>
      </c>
      <c r="B11" t="n">
        <v>1</v>
      </c>
      <c r="C11" s="14" t="n">
        <v>450000</v>
      </c>
      <c r="D11" s="14" t="n">
        <v>0</v>
      </c>
      <c r="E11" s="19" t="n"/>
      <c r="F11">
        <f>IF(D11=0,0,Tablero!$C$3-E11)</f>
        <v/>
      </c>
      <c r="G11">
        <f>IF(D11=0,"Al día",IF(F11&lt;=30,"1-30 días",IF(F11&lt;=60,"31-60 días",IF(F11&lt;=90,"61-90 días","Más de 90 días"))))</f>
        <v/>
      </c>
      <c r="H11">
        <f>IF(D11=0,"Sin acción",IF(F11&lt;=30,"Recordatorio automático",IF(F11&lt;=60,"Recordatorio escrito personalizado",IF(F11&lt;=90,"Llamar esta semana","Reunión para acuerdo de pago"))))</f>
        <v/>
      </c>
      <c r="I11">
        <f>D11+ROW()/1000000</f>
        <v/>
      </c>
    </row>
    <row r="12">
      <c r="A12" t="inlineStr">
        <is>
          <t>Familia 09</t>
        </is>
      </c>
      <c r="B12" t="n">
        <v>2</v>
      </c>
      <c r="C12" s="14" t="n">
        <v>900000</v>
      </c>
      <c r="D12" s="14" t="n">
        <v>0</v>
      </c>
      <c r="E12" s="19" t="n"/>
      <c r="F12">
        <f>IF(D12=0,0,Tablero!$C$3-E12)</f>
        <v/>
      </c>
      <c r="G12">
        <f>IF(D12=0,"Al día",IF(F12&lt;=30,"1-30 días",IF(F12&lt;=60,"31-60 días",IF(F12&lt;=90,"61-90 días","Más de 90 días"))))</f>
        <v/>
      </c>
      <c r="H12">
        <f>IF(D12=0,"Sin acción",IF(F12&lt;=30,"Recordatorio automático",IF(F12&lt;=60,"Recordatorio escrito personalizado",IF(F12&lt;=90,"Llamar esta semana","Reunión para acuerdo de pago"))))</f>
        <v/>
      </c>
      <c r="I12">
        <f>D12+ROW()/1000000</f>
        <v/>
      </c>
    </row>
    <row r="13">
      <c r="A13" t="inlineStr">
        <is>
          <t>Familia 10</t>
        </is>
      </c>
      <c r="B13" t="n">
        <v>1</v>
      </c>
      <c r="C13" s="14" t="n">
        <v>420000</v>
      </c>
      <c r="D13" s="14" t="n">
        <v>0</v>
      </c>
      <c r="E13" s="19" t="n"/>
      <c r="F13">
        <f>IF(D13=0,0,Tablero!$C$3-E13)</f>
        <v/>
      </c>
      <c r="G13">
        <f>IF(D13=0,"Al día",IF(F13&lt;=30,"1-30 días",IF(F13&lt;=60,"31-60 días",IF(F13&lt;=90,"61-90 días","Más de 90 días"))))</f>
        <v/>
      </c>
      <c r="H13">
        <f>IF(D13=0,"Sin acción",IF(F13&lt;=30,"Recordatorio automático",IF(F13&lt;=60,"Recordatorio escrito personalizado",IF(F13&lt;=90,"Llamar esta semana","Reunión para acuerdo de pago"))))</f>
        <v/>
      </c>
      <c r="I13">
        <f>D13+ROW()/1000000</f>
        <v/>
      </c>
    </row>
    <row r="14">
      <c r="A14" t="inlineStr">
        <is>
          <t>Familia 11</t>
        </is>
      </c>
      <c r="B14" t="n">
        <v>1</v>
      </c>
      <c r="C14" s="14" t="n">
        <v>420000</v>
      </c>
      <c r="D14" s="14" t="n">
        <v>0</v>
      </c>
      <c r="E14" s="19" t="n"/>
      <c r="F14">
        <f>IF(D14=0,0,Tablero!$C$3-E14)</f>
        <v/>
      </c>
      <c r="G14">
        <f>IF(D14=0,"Al día",IF(F14&lt;=30,"1-30 días",IF(F14&lt;=60,"31-60 días",IF(F14&lt;=90,"61-90 días","Más de 90 días"))))</f>
        <v/>
      </c>
      <c r="H14">
        <f>IF(D14=0,"Sin acción",IF(F14&lt;=30,"Recordatorio automático",IF(F14&lt;=60,"Recordatorio escrito personalizado",IF(F14&lt;=90,"Llamar esta semana","Reunión para acuerdo de pago"))))</f>
        <v/>
      </c>
      <c r="I14">
        <f>D14+ROW()/1000000</f>
        <v/>
      </c>
    </row>
    <row r="15">
      <c r="A15" t="inlineStr">
        <is>
          <t>Familia 12</t>
        </is>
      </c>
      <c r="B15" t="n">
        <v>2</v>
      </c>
      <c r="C15" s="14" t="n">
        <v>960000</v>
      </c>
      <c r="D15" s="14" t="n">
        <v>0</v>
      </c>
      <c r="E15" s="19" t="n"/>
      <c r="F15">
        <f>IF(D15=0,0,Tablero!$C$3-E15)</f>
        <v/>
      </c>
      <c r="G15">
        <f>IF(D15=0,"Al día",IF(F15&lt;=30,"1-30 días",IF(F15&lt;=60,"31-60 días",IF(F15&lt;=90,"61-90 días","Más de 90 días"))))</f>
        <v/>
      </c>
      <c r="H15">
        <f>IF(D15=0,"Sin acción",IF(F15&lt;=30,"Recordatorio automático",IF(F15&lt;=60,"Recordatorio escrito personalizado",IF(F15&lt;=90,"Llamar esta semana","Reunión para acuerdo de pago"))))</f>
        <v/>
      </c>
      <c r="I15">
        <f>D15+ROW()/1000000</f>
        <v/>
      </c>
    </row>
    <row r="16">
      <c r="A16" t="inlineStr">
        <is>
          <t>Familia 13</t>
        </is>
      </c>
      <c r="B16" t="n">
        <v>1</v>
      </c>
      <c r="C16" s="14" t="n">
        <v>420000</v>
      </c>
      <c r="D16" s="14" t="n">
        <v>420000</v>
      </c>
      <c r="E16" s="19" t="n">
        <v>46284</v>
      </c>
      <c r="F16">
        <f>IF(D16=0,0,Tablero!$C$3-E16)</f>
        <v/>
      </c>
      <c r="G16">
        <f>IF(D16=0,"Al día",IF(F16&lt;=30,"1-30 días",IF(F16&lt;=60,"31-60 días",IF(F16&lt;=90,"61-90 días","Más de 90 días"))))</f>
        <v/>
      </c>
      <c r="H16">
        <f>IF(D16=0,"Sin acción",IF(F16&lt;=30,"Recordatorio automático",IF(F16&lt;=60,"Recordatorio escrito personalizado",IF(F16&lt;=90,"Llamar esta semana","Reunión para acuerdo de pago"))))</f>
        <v/>
      </c>
      <c r="I16">
        <f>D16+ROW()/1000000</f>
        <v/>
      </c>
    </row>
    <row r="17">
      <c r="A17" t="inlineStr">
        <is>
          <t>Familia 14</t>
        </is>
      </c>
      <c r="B17" t="n">
        <v>3</v>
      </c>
      <c r="C17" s="14" t="n">
        <v>1350000</v>
      </c>
      <c r="D17" s="14" t="n">
        <v>1350000</v>
      </c>
      <c r="E17" s="19" t="n">
        <v>46287</v>
      </c>
      <c r="F17">
        <f>IF(D17=0,0,Tablero!$C$3-E17)</f>
        <v/>
      </c>
      <c r="G17">
        <f>IF(D17=0,"Al día",IF(F17&lt;=30,"1-30 días",IF(F17&lt;=60,"31-60 días",IF(F17&lt;=90,"61-90 días","Más de 90 días"))))</f>
        <v/>
      </c>
      <c r="H17">
        <f>IF(D17=0,"Sin acción",IF(F17&lt;=30,"Recordatorio automático",IF(F17&lt;=60,"Recordatorio escrito personalizado",IF(F17&lt;=90,"Llamar esta semana","Reunión para acuerdo de pago"))))</f>
        <v/>
      </c>
      <c r="I17">
        <f>D17+ROW()/1000000</f>
        <v/>
      </c>
    </row>
    <row r="18">
      <c r="A18" t="inlineStr">
        <is>
          <t>Familia 15</t>
        </is>
      </c>
      <c r="B18" t="n">
        <v>2</v>
      </c>
      <c r="C18" s="14" t="n">
        <v>900000</v>
      </c>
      <c r="D18" s="14" t="n">
        <v>900000</v>
      </c>
      <c r="E18" s="19" t="n">
        <v>46273</v>
      </c>
      <c r="F18">
        <f>IF(D18=0,0,Tablero!$C$3-E18)</f>
        <v/>
      </c>
      <c r="G18">
        <f>IF(D18=0,"Al día",IF(F18&lt;=30,"1-30 días",IF(F18&lt;=60,"31-60 días",IF(F18&lt;=90,"61-90 días","Más de 90 días"))))</f>
        <v/>
      </c>
      <c r="H18">
        <f>IF(D18=0,"Sin acción",IF(F18&lt;=30,"Recordatorio automático",IF(F18&lt;=60,"Recordatorio escrito personalizado",IF(F18&lt;=90,"Llamar esta semana","Reunión para acuerdo de pago"))))</f>
        <v/>
      </c>
      <c r="I18">
        <f>D18+ROW()/1000000</f>
        <v/>
      </c>
    </row>
    <row r="19">
      <c r="A19" t="inlineStr">
        <is>
          <t>Familia 16</t>
        </is>
      </c>
      <c r="B19" t="n">
        <v>1</v>
      </c>
      <c r="C19" s="14" t="n">
        <v>450000</v>
      </c>
      <c r="D19" s="14" t="n">
        <v>0</v>
      </c>
      <c r="E19" s="19" t="n"/>
      <c r="F19">
        <f>IF(D19=0,0,Tablero!$C$3-E19)</f>
        <v/>
      </c>
      <c r="G19">
        <f>IF(D19=0,"Al día",IF(F19&lt;=30,"1-30 días",IF(F19&lt;=60,"31-60 días",IF(F19&lt;=90,"61-90 días","Más de 90 días"))))</f>
        <v/>
      </c>
      <c r="H19">
        <f>IF(D19=0,"Sin acción",IF(F19&lt;=30,"Recordatorio automático",IF(F19&lt;=60,"Recordatorio escrito personalizado",IF(F19&lt;=90,"Llamar esta semana","Reunión para acuerdo de pago"))))</f>
        <v/>
      </c>
      <c r="I19">
        <f>D19+ROW()/1000000</f>
        <v/>
      </c>
    </row>
    <row r="20">
      <c r="A20" t="inlineStr">
        <is>
          <t>Familia 17</t>
        </is>
      </c>
      <c r="B20" t="n">
        <v>2</v>
      </c>
      <c r="C20" s="14" t="n">
        <v>840000</v>
      </c>
      <c r="D20" s="14" t="n">
        <v>0</v>
      </c>
      <c r="E20" s="19" t="n"/>
      <c r="F20">
        <f>IF(D20=0,0,Tablero!$C$3-E20)</f>
        <v/>
      </c>
      <c r="G20">
        <f>IF(D20=0,"Al día",IF(F20&lt;=30,"1-30 días",IF(F20&lt;=60,"31-60 días",IF(F20&lt;=90,"61-90 días","Más de 90 días"))))</f>
        <v/>
      </c>
      <c r="H20">
        <f>IF(D20=0,"Sin acción",IF(F20&lt;=30,"Recordatorio automático",IF(F20&lt;=60,"Recordatorio escrito personalizado",IF(F20&lt;=90,"Llamar esta semana","Reunión para acuerdo de pago"))))</f>
        <v/>
      </c>
      <c r="I20">
        <f>D20+ROW()/1000000</f>
        <v/>
      </c>
    </row>
    <row r="21">
      <c r="A21" t="inlineStr">
        <is>
          <t>Familia 18</t>
        </is>
      </c>
      <c r="B21" t="n">
        <v>2</v>
      </c>
      <c r="C21" s="14" t="n">
        <v>840000</v>
      </c>
      <c r="D21" s="14" t="n">
        <v>840000</v>
      </c>
      <c r="E21" s="19" t="n">
        <v>46278</v>
      </c>
      <c r="F21">
        <f>IF(D21=0,0,Tablero!$C$3-E21)</f>
        <v/>
      </c>
      <c r="G21">
        <f>IF(D21=0,"Al día",IF(F21&lt;=30,"1-30 días",IF(F21&lt;=60,"31-60 días",IF(F21&lt;=90,"61-90 días","Más de 90 días"))))</f>
        <v/>
      </c>
      <c r="H21">
        <f>IF(D21=0,"Sin acción",IF(F21&lt;=30,"Recordatorio automático",IF(F21&lt;=60,"Recordatorio escrito personalizado",IF(F21&lt;=90,"Llamar esta semana","Reunión para acuerdo de pago"))))</f>
        <v/>
      </c>
      <c r="I21">
        <f>D21+ROW()/1000000</f>
        <v/>
      </c>
    </row>
    <row r="22">
      <c r="A22" t="inlineStr">
        <is>
          <t>Familia 19</t>
        </is>
      </c>
      <c r="B22" t="n">
        <v>2</v>
      </c>
      <c r="C22" s="14" t="n">
        <v>960000</v>
      </c>
      <c r="D22" s="14" t="n">
        <v>0</v>
      </c>
      <c r="E22" s="19" t="n"/>
      <c r="F22">
        <f>IF(D22=0,0,Tablero!$C$3-E22)</f>
        <v/>
      </c>
      <c r="G22">
        <f>IF(D22=0,"Al día",IF(F22&lt;=30,"1-30 días",IF(F22&lt;=60,"31-60 días",IF(F22&lt;=90,"61-90 días","Más de 90 días"))))</f>
        <v/>
      </c>
      <c r="H22">
        <f>IF(D22=0,"Sin acción",IF(F22&lt;=30,"Recordatorio automático",IF(F22&lt;=60,"Recordatorio escrito personalizado",IF(F22&lt;=90,"Llamar esta semana","Reunión para acuerdo de pago"))))</f>
        <v/>
      </c>
      <c r="I22">
        <f>D22+ROW()/1000000</f>
        <v/>
      </c>
    </row>
    <row r="23">
      <c r="A23" t="inlineStr">
        <is>
          <t>Familia 20</t>
        </is>
      </c>
      <c r="B23" t="n">
        <v>1</v>
      </c>
      <c r="C23" s="14" t="n">
        <v>480000</v>
      </c>
      <c r="D23" s="14" t="n">
        <v>0</v>
      </c>
      <c r="E23" s="19" t="n"/>
      <c r="F23">
        <f>IF(D23=0,0,Tablero!$C$3-E23)</f>
        <v/>
      </c>
      <c r="G23">
        <f>IF(D23=0,"Al día",IF(F23&lt;=30,"1-30 días",IF(F23&lt;=60,"31-60 días",IF(F23&lt;=90,"61-90 días","Más de 90 días"))))</f>
        <v/>
      </c>
      <c r="H23">
        <f>IF(D23=0,"Sin acción",IF(F23&lt;=30,"Recordatorio automático",IF(F23&lt;=60,"Recordatorio escrito personalizado",IF(F23&lt;=90,"Llamar esta semana","Reunión para acuerdo de pago"))))</f>
        <v/>
      </c>
      <c r="I23">
        <f>D23+ROW()/1000000</f>
        <v/>
      </c>
    </row>
    <row r="24">
      <c r="A24" t="inlineStr">
        <is>
          <t>Familia 21</t>
        </is>
      </c>
      <c r="B24" t="n">
        <v>3</v>
      </c>
      <c r="C24" s="14" t="n">
        <v>1260000</v>
      </c>
      <c r="D24" s="14" t="n">
        <v>0</v>
      </c>
      <c r="E24" s="19" t="n"/>
      <c r="F24">
        <f>IF(D24=0,0,Tablero!$C$3-E24)</f>
        <v/>
      </c>
      <c r="G24">
        <f>IF(D24=0,"Al día",IF(F24&lt;=30,"1-30 días",IF(F24&lt;=60,"31-60 días",IF(F24&lt;=90,"61-90 días","Más de 90 días"))))</f>
        <v/>
      </c>
      <c r="H24">
        <f>IF(D24=0,"Sin acción",IF(F24&lt;=30,"Recordatorio automático",IF(F24&lt;=60,"Recordatorio escrito personalizado",IF(F24&lt;=90,"Llamar esta semana","Reunión para acuerdo de pago"))))</f>
        <v/>
      </c>
      <c r="I24">
        <f>D24+ROW()/1000000</f>
        <v/>
      </c>
    </row>
    <row r="25">
      <c r="A25" t="inlineStr">
        <is>
          <t>Familia 22</t>
        </is>
      </c>
      <c r="B25" t="n">
        <v>2</v>
      </c>
      <c r="C25" s="14" t="n">
        <v>840000</v>
      </c>
      <c r="D25" s="14" t="n">
        <v>2520000</v>
      </c>
      <c r="E25" s="19" t="n">
        <v>46229</v>
      </c>
      <c r="F25">
        <f>IF(D25=0,0,Tablero!$C$3-E25)</f>
        <v/>
      </c>
      <c r="G25">
        <f>IF(D25=0,"Al día",IF(F25&lt;=30,"1-30 días",IF(F25&lt;=60,"31-60 días",IF(F25&lt;=90,"61-90 días","Más de 90 días"))))</f>
        <v/>
      </c>
      <c r="H25">
        <f>IF(D25=0,"Sin acción",IF(F25&lt;=30,"Recordatorio automático",IF(F25&lt;=60,"Recordatorio escrito personalizado",IF(F25&lt;=90,"Llamar esta semana","Reunión para acuerdo de pago"))))</f>
        <v/>
      </c>
      <c r="I25">
        <f>D25+ROW()/1000000</f>
        <v/>
      </c>
    </row>
    <row r="26">
      <c r="A26" t="inlineStr">
        <is>
          <t>Familia 23</t>
        </is>
      </c>
      <c r="B26" t="n">
        <v>1</v>
      </c>
      <c r="C26" s="14" t="n">
        <v>450000</v>
      </c>
      <c r="D26" s="14" t="n">
        <v>0</v>
      </c>
      <c r="E26" s="19" t="n"/>
      <c r="F26">
        <f>IF(D26=0,0,Tablero!$C$3-E26)</f>
        <v/>
      </c>
      <c r="G26">
        <f>IF(D26=0,"Al día",IF(F26&lt;=30,"1-30 días",IF(F26&lt;=60,"31-60 días",IF(F26&lt;=90,"61-90 días","Más de 90 días"))))</f>
        <v/>
      </c>
      <c r="H26">
        <f>IF(D26=0,"Sin acción",IF(F26&lt;=30,"Recordatorio automático",IF(F26&lt;=60,"Recordatorio escrito personalizado",IF(F26&lt;=90,"Llamar esta semana","Reunión para acuerdo de pago"))))</f>
        <v/>
      </c>
      <c r="I26">
        <f>D26+ROW()/1000000</f>
        <v/>
      </c>
    </row>
    <row r="27">
      <c r="A27" t="inlineStr">
        <is>
          <t>Familia 24</t>
        </is>
      </c>
      <c r="B27" t="n">
        <v>3</v>
      </c>
      <c r="C27" s="14" t="n">
        <v>1350000</v>
      </c>
      <c r="D27" s="14" t="n">
        <v>0</v>
      </c>
      <c r="E27" s="19" t="n"/>
      <c r="F27">
        <f>IF(D27=0,0,Tablero!$C$3-E27)</f>
        <v/>
      </c>
      <c r="G27">
        <f>IF(D27=0,"Al día",IF(F27&lt;=30,"1-30 días",IF(F27&lt;=60,"31-60 días",IF(F27&lt;=90,"61-90 días","Más de 90 días"))))</f>
        <v/>
      </c>
      <c r="H27">
        <f>IF(D27=0,"Sin acción",IF(F27&lt;=30,"Recordatorio automático",IF(F27&lt;=60,"Recordatorio escrito personalizado",IF(F27&lt;=90,"Llamar esta semana","Reunión para acuerdo de pago"))))</f>
        <v/>
      </c>
      <c r="I27">
        <f>D27+ROW()/1000000</f>
        <v/>
      </c>
    </row>
    <row r="28">
      <c r="A28" t="inlineStr">
        <is>
          <t>Familia 25</t>
        </is>
      </c>
      <c r="B28" t="n">
        <v>2</v>
      </c>
      <c r="C28" s="14" t="n">
        <v>840000</v>
      </c>
      <c r="D28" s="14" t="n">
        <v>0</v>
      </c>
      <c r="E28" s="19" t="n"/>
      <c r="F28">
        <f>IF(D28=0,0,Tablero!$C$3-E28)</f>
        <v/>
      </c>
      <c r="G28">
        <f>IF(D28=0,"Al día",IF(F28&lt;=30,"1-30 días",IF(F28&lt;=60,"31-60 días",IF(F28&lt;=90,"61-90 días","Más de 90 días"))))</f>
        <v/>
      </c>
      <c r="H28">
        <f>IF(D28=0,"Sin acción",IF(F28&lt;=30,"Recordatorio automático",IF(F28&lt;=60,"Recordatorio escrito personalizado",IF(F28&lt;=90,"Llamar esta semana","Reunión para acuerdo de pago"))))</f>
        <v/>
      </c>
      <c r="I28">
        <f>D28+ROW()/1000000</f>
        <v/>
      </c>
    </row>
    <row r="29">
      <c r="A29" t="inlineStr">
        <is>
          <t>Familia 26</t>
        </is>
      </c>
      <c r="B29" t="n">
        <v>2</v>
      </c>
      <c r="C29" s="14" t="n">
        <v>960000</v>
      </c>
      <c r="D29" s="14" t="n">
        <v>0</v>
      </c>
      <c r="E29" s="19" t="n"/>
      <c r="F29">
        <f>IF(D29=0,0,Tablero!$C$3-E29)</f>
        <v/>
      </c>
      <c r="G29">
        <f>IF(D29=0,"Al día",IF(F29&lt;=30,"1-30 días",IF(F29&lt;=60,"31-60 días",IF(F29&lt;=90,"61-90 días","Más de 90 días"))))</f>
        <v/>
      </c>
      <c r="H29">
        <f>IF(D29=0,"Sin acción",IF(F29&lt;=30,"Recordatorio automático",IF(F29&lt;=60,"Recordatorio escrito personalizado",IF(F29&lt;=90,"Llamar esta semana","Reunión para acuerdo de pago"))))</f>
        <v/>
      </c>
      <c r="I29">
        <f>D29+ROW()/1000000</f>
        <v/>
      </c>
    </row>
    <row r="30">
      <c r="A30" t="inlineStr">
        <is>
          <t>Familia 27</t>
        </is>
      </c>
      <c r="B30" t="n">
        <v>1</v>
      </c>
      <c r="C30" s="14" t="n">
        <v>480000</v>
      </c>
      <c r="D30" s="14" t="n">
        <v>0</v>
      </c>
      <c r="E30" s="19" t="n"/>
      <c r="F30">
        <f>IF(D30=0,0,Tablero!$C$3-E30)</f>
        <v/>
      </c>
      <c r="G30">
        <f>IF(D30=0,"Al día",IF(F30&lt;=30,"1-30 días",IF(F30&lt;=60,"31-60 días",IF(F30&lt;=90,"61-90 días","Más de 90 días"))))</f>
        <v/>
      </c>
      <c r="H30">
        <f>IF(D30=0,"Sin acción",IF(F30&lt;=30,"Recordatorio automático",IF(F30&lt;=60,"Recordatorio escrito personalizado",IF(F30&lt;=90,"Llamar esta semana","Reunión para acuerdo de pago"))))</f>
        <v/>
      </c>
      <c r="I30">
        <f>D30+ROW()/1000000</f>
        <v/>
      </c>
    </row>
    <row r="31">
      <c r="A31" t="inlineStr">
        <is>
          <t>Familia 28</t>
        </is>
      </c>
      <c r="B31" t="n">
        <v>3</v>
      </c>
      <c r="C31" s="14" t="n">
        <v>1440000</v>
      </c>
      <c r="D31" s="14" t="n">
        <v>0</v>
      </c>
      <c r="E31" s="19" t="n"/>
      <c r="F31">
        <f>IF(D31=0,0,Tablero!$C$3-E31)</f>
        <v/>
      </c>
      <c r="G31">
        <f>IF(D31=0,"Al día",IF(F31&lt;=30,"1-30 días",IF(F31&lt;=60,"31-60 días",IF(F31&lt;=90,"61-90 días","Más de 90 días"))))</f>
        <v/>
      </c>
      <c r="H31">
        <f>IF(D31=0,"Sin acción",IF(F31&lt;=30,"Recordatorio automático",IF(F31&lt;=60,"Recordatorio escrito personalizado",IF(F31&lt;=90,"Llamar esta semana","Reunión para acuerdo de pago"))))</f>
        <v/>
      </c>
      <c r="I31">
        <f>D31+ROW()/1000000</f>
        <v/>
      </c>
    </row>
    <row r="32">
      <c r="A32" t="inlineStr">
        <is>
          <t>Familia 29</t>
        </is>
      </c>
      <c r="B32" t="n">
        <v>1</v>
      </c>
      <c r="C32" s="14" t="n">
        <v>480000</v>
      </c>
      <c r="D32" s="14" t="n">
        <v>0</v>
      </c>
      <c r="E32" s="19" t="n"/>
      <c r="F32">
        <f>IF(D32=0,0,Tablero!$C$3-E32)</f>
        <v/>
      </c>
      <c r="G32">
        <f>IF(D32=0,"Al día",IF(F32&lt;=30,"1-30 días",IF(F32&lt;=60,"31-60 días",IF(F32&lt;=90,"61-90 días","Más de 90 días"))))</f>
        <v/>
      </c>
      <c r="H32">
        <f>IF(D32=0,"Sin acción",IF(F32&lt;=30,"Recordatorio automático",IF(F32&lt;=60,"Recordatorio escrito personalizado",IF(F32&lt;=90,"Llamar esta semana","Reunión para acuerdo de pago"))))</f>
        <v/>
      </c>
      <c r="I32">
        <f>D32+ROW()/1000000</f>
        <v/>
      </c>
    </row>
    <row r="33">
      <c r="A33" t="inlineStr">
        <is>
          <t>Familia 30</t>
        </is>
      </c>
      <c r="B33" t="n">
        <v>2</v>
      </c>
      <c r="C33" s="14" t="n">
        <v>900000</v>
      </c>
      <c r="D33" s="14" t="n">
        <v>1800000</v>
      </c>
      <c r="E33" s="19" t="n">
        <v>46247</v>
      </c>
      <c r="F33">
        <f>IF(D33=0,0,Tablero!$C$3-E33)</f>
        <v/>
      </c>
      <c r="G33">
        <f>IF(D33=0,"Al día",IF(F33&lt;=30,"1-30 días",IF(F33&lt;=60,"31-60 días",IF(F33&lt;=90,"61-90 días","Más de 90 días"))))</f>
        <v/>
      </c>
      <c r="H33">
        <f>IF(D33=0,"Sin acción",IF(F33&lt;=30,"Recordatorio automático",IF(F33&lt;=60,"Recordatorio escrito personalizado",IF(F33&lt;=90,"Llamar esta semana","Reunión para acuerdo de pago"))))</f>
        <v/>
      </c>
      <c r="I33">
        <f>D33+ROW()/1000000</f>
        <v/>
      </c>
    </row>
    <row r="34">
      <c r="A34" t="inlineStr">
        <is>
          <t>Familia 31</t>
        </is>
      </c>
      <c r="B34" t="n">
        <v>2</v>
      </c>
      <c r="C34" s="14" t="n">
        <v>840000</v>
      </c>
      <c r="D34" s="14" t="n">
        <v>0</v>
      </c>
      <c r="E34" s="19" t="n"/>
      <c r="F34">
        <f>IF(D34=0,0,Tablero!$C$3-E34)</f>
        <v/>
      </c>
      <c r="G34">
        <f>IF(D34=0,"Al día",IF(F34&lt;=30,"1-30 días",IF(F34&lt;=60,"31-60 días",IF(F34&lt;=90,"61-90 días","Más de 90 días"))))</f>
        <v/>
      </c>
      <c r="H34">
        <f>IF(D34=0,"Sin acción",IF(F34&lt;=30,"Recordatorio automático",IF(F34&lt;=60,"Recordatorio escrito personalizado",IF(F34&lt;=90,"Llamar esta semana","Reunión para acuerdo de pago"))))</f>
        <v/>
      </c>
      <c r="I34">
        <f>D34+ROW()/1000000</f>
        <v/>
      </c>
    </row>
    <row r="35">
      <c r="A35" t="inlineStr">
        <is>
          <t>Familia 32</t>
        </is>
      </c>
      <c r="B35" t="n">
        <v>2</v>
      </c>
      <c r="C35" s="14" t="n">
        <v>840000</v>
      </c>
      <c r="D35" s="14" t="n">
        <v>0</v>
      </c>
      <c r="E35" s="19" t="n"/>
      <c r="F35">
        <f>IF(D35=0,0,Tablero!$C$3-E35)</f>
        <v/>
      </c>
      <c r="G35">
        <f>IF(D35=0,"Al día",IF(F35&lt;=30,"1-30 días",IF(F35&lt;=60,"31-60 días",IF(F35&lt;=90,"61-90 días","Más de 90 días"))))</f>
        <v/>
      </c>
      <c r="H35">
        <f>IF(D35=0,"Sin acción",IF(F35&lt;=30,"Recordatorio automático",IF(F35&lt;=60,"Recordatorio escrito personalizado",IF(F35&lt;=90,"Llamar esta semana","Reunión para acuerdo de pago"))))</f>
        <v/>
      </c>
      <c r="I35">
        <f>D35+ROW()/1000000</f>
        <v/>
      </c>
    </row>
    <row r="36">
      <c r="A36" t="inlineStr">
        <is>
          <t>Familia 33</t>
        </is>
      </c>
      <c r="B36" t="n">
        <v>1</v>
      </c>
      <c r="C36" s="14" t="n">
        <v>480000</v>
      </c>
      <c r="D36" s="14" t="n">
        <v>0</v>
      </c>
      <c r="E36" s="19" t="n"/>
      <c r="F36">
        <f>IF(D36=0,0,Tablero!$C$3-E36)</f>
        <v/>
      </c>
      <c r="G36">
        <f>IF(D36=0,"Al día",IF(F36&lt;=30,"1-30 días",IF(F36&lt;=60,"31-60 días",IF(F36&lt;=90,"61-90 días","Más de 90 días"))))</f>
        <v/>
      </c>
      <c r="H36">
        <f>IF(D36=0,"Sin acción",IF(F36&lt;=30,"Recordatorio automático",IF(F36&lt;=60,"Recordatorio escrito personalizado",IF(F36&lt;=90,"Llamar esta semana","Reunión para acuerdo de pago"))))</f>
        <v/>
      </c>
      <c r="I36">
        <f>D36+ROW()/1000000</f>
        <v/>
      </c>
    </row>
    <row r="37">
      <c r="A37" t="inlineStr">
        <is>
          <t>Familia 34</t>
        </is>
      </c>
      <c r="B37" t="n">
        <v>1</v>
      </c>
      <c r="C37" s="14" t="n">
        <v>480000</v>
      </c>
      <c r="D37" s="14" t="n">
        <v>960000</v>
      </c>
      <c r="E37" s="19" t="n">
        <v>46257</v>
      </c>
      <c r="F37">
        <f>IF(D37=0,0,Tablero!$C$3-E37)</f>
        <v/>
      </c>
      <c r="G37">
        <f>IF(D37=0,"Al día",IF(F37&lt;=30,"1-30 días",IF(F37&lt;=60,"31-60 días",IF(F37&lt;=90,"61-90 días","Más de 90 días"))))</f>
        <v/>
      </c>
      <c r="H37">
        <f>IF(D37=0,"Sin acción",IF(F37&lt;=30,"Recordatorio automático",IF(F37&lt;=60,"Recordatorio escrito personalizado",IF(F37&lt;=90,"Llamar esta semana","Reunión para acuerdo de pago"))))</f>
        <v/>
      </c>
      <c r="I37">
        <f>D37+ROW()/1000000</f>
        <v/>
      </c>
    </row>
    <row r="38">
      <c r="A38" t="inlineStr">
        <is>
          <t>Familia 35</t>
        </is>
      </c>
      <c r="B38" t="n">
        <v>2</v>
      </c>
      <c r="C38" s="14" t="n">
        <v>900000</v>
      </c>
      <c r="D38" s="14" t="n">
        <v>0</v>
      </c>
      <c r="E38" s="19" t="n"/>
      <c r="F38">
        <f>IF(D38=0,0,Tablero!$C$3-E38)</f>
        <v/>
      </c>
      <c r="G38">
        <f>IF(D38=0,"Al día",IF(F38&lt;=30,"1-30 días",IF(F38&lt;=60,"31-60 días",IF(F38&lt;=90,"61-90 días","Más de 90 días"))))</f>
        <v/>
      </c>
      <c r="H38">
        <f>IF(D38=0,"Sin acción",IF(F38&lt;=30,"Recordatorio automático",IF(F38&lt;=60,"Recordatorio escrito personalizado",IF(F38&lt;=90,"Llamar esta semana","Reunión para acuerdo de pago"))))</f>
        <v/>
      </c>
      <c r="I38">
        <f>D38+ROW()/1000000</f>
        <v/>
      </c>
    </row>
    <row r="39">
      <c r="A39" t="inlineStr">
        <is>
          <t>Familia 36</t>
        </is>
      </c>
      <c r="B39" t="n">
        <v>1</v>
      </c>
      <c r="C39" s="14" t="n">
        <v>420000</v>
      </c>
      <c r="D39" s="14" t="n">
        <v>0</v>
      </c>
      <c r="E39" s="19" t="n"/>
      <c r="F39">
        <f>IF(D39=0,0,Tablero!$C$3-E39)</f>
        <v/>
      </c>
      <c r="G39">
        <f>IF(D39=0,"Al día",IF(F39&lt;=30,"1-30 días",IF(F39&lt;=60,"31-60 días",IF(F39&lt;=90,"61-90 días","Más de 90 días"))))</f>
        <v/>
      </c>
      <c r="H39">
        <f>IF(D39=0,"Sin acción",IF(F39&lt;=30,"Recordatorio automático",IF(F39&lt;=60,"Recordatorio escrito personalizado",IF(F39&lt;=90,"Llamar esta semana","Reunión para acuerdo de pago"))))</f>
        <v/>
      </c>
      <c r="I39">
        <f>D39+ROW()/1000000</f>
        <v/>
      </c>
    </row>
    <row r="40">
      <c r="A40" t="inlineStr">
        <is>
          <t>Familia 37</t>
        </is>
      </c>
      <c r="B40" t="n">
        <v>1</v>
      </c>
      <c r="C40" s="14" t="n">
        <v>420000</v>
      </c>
      <c r="D40" s="14" t="n">
        <v>0</v>
      </c>
      <c r="E40" s="19" t="n"/>
      <c r="F40">
        <f>IF(D40=0,0,Tablero!$C$3-E40)</f>
        <v/>
      </c>
      <c r="G40">
        <f>IF(D40=0,"Al día",IF(F40&lt;=30,"1-30 días",IF(F40&lt;=60,"31-60 días",IF(F40&lt;=90,"61-90 días","Más de 90 días"))))</f>
        <v/>
      </c>
      <c r="H40">
        <f>IF(D40=0,"Sin acción",IF(F40&lt;=30,"Recordatorio automático",IF(F40&lt;=60,"Recordatorio escrito personalizado",IF(F40&lt;=90,"Llamar esta semana","Reunión para acuerdo de pago"))))</f>
        <v/>
      </c>
      <c r="I40">
        <f>D40+ROW()/1000000</f>
        <v/>
      </c>
    </row>
    <row r="41">
      <c r="A41" t="inlineStr">
        <is>
          <t>Familia 38</t>
        </is>
      </c>
      <c r="B41" t="n">
        <v>1</v>
      </c>
      <c r="C41" s="14" t="n">
        <v>420000</v>
      </c>
      <c r="D41" s="14" t="n">
        <v>1260000</v>
      </c>
      <c r="E41" s="19" t="n">
        <v>46223</v>
      </c>
      <c r="F41">
        <f>IF(D41=0,0,Tablero!$C$3-E41)</f>
        <v/>
      </c>
      <c r="G41">
        <f>IF(D41=0,"Al día",IF(F41&lt;=30,"1-30 días",IF(F41&lt;=60,"31-60 días",IF(F41&lt;=90,"61-90 días","Más de 90 días"))))</f>
        <v/>
      </c>
      <c r="H41">
        <f>IF(D41=0,"Sin acción",IF(F41&lt;=30,"Recordatorio automático",IF(F41&lt;=60,"Recordatorio escrito personalizado",IF(F41&lt;=90,"Llamar esta semana","Reunión para acuerdo de pago"))))</f>
        <v/>
      </c>
      <c r="I41">
        <f>D41+ROW()/1000000</f>
        <v/>
      </c>
    </row>
    <row r="42">
      <c r="A42" t="inlineStr">
        <is>
          <t>Familia 39</t>
        </is>
      </c>
      <c r="B42" t="n">
        <v>3</v>
      </c>
      <c r="C42" s="14" t="n">
        <v>1440000</v>
      </c>
      <c r="D42" s="14" t="n">
        <v>0</v>
      </c>
      <c r="E42" s="19" t="n"/>
      <c r="F42">
        <f>IF(D42=0,0,Tablero!$C$3-E42)</f>
        <v/>
      </c>
      <c r="G42">
        <f>IF(D42=0,"Al día",IF(F42&lt;=30,"1-30 días",IF(F42&lt;=60,"31-60 días",IF(F42&lt;=90,"61-90 días","Más de 90 días"))))</f>
        <v/>
      </c>
      <c r="H42">
        <f>IF(D42=0,"Sin acción",IF(F42&lt;=30,"Recordatorio automático",IF(F42&lt;=60,"Recordatorio escrito personalizado",IF(F42&lt;=90,"Llamar esta semana","Reunión para acuerdo de pago"))))</f>
        <v/>
      </c>
      <c r="I42">
        <f>D42+ROW()/1000000</f>
        <v/>
      </c>
    </row>
    <row r="43">
      <c r="A43" t="inlineStr">
        <is>
          <t>Familia 40</t>
        </is>
      </c>
      <c r="B43" t="n">
        <v>2</v>
      </c>
      <c r="C43" s="14" t="n">
        <v>960000</v>
      </c>
      <c r="D43" s="14" t="n">
        <v>0</v>
      </c>
      <c r="E43" s="19" t="n"/>
      <c r="F43">
        <f>IF(D43=0,0,Tablero!$C$3-E43)</f>
        <v/>
      </c>
      <c r="G43">
        <f>IF(D43=0,"Al día",IF(F43&lt;=30,"1-30 días",IF(F43&lt;=60,"31-60 días",IF(F43&lt;=90,"61-90 días","Más de 90 días"))))</f>
        <v/>
      </c>
      <c r="H43">
        <f>IF(D43=0,"Sin acción",IF(F43&lt;=30,"Recordatorio automático",IF(F43&lt;=60,"Recordatorio escrito personalizado",IF(F43&lt;=90,"Llamar esta semana","Reunión para acuerdo de pago"))))</f>
        <v/>
      </c>
      <c r="I43">
        <f>D43+ROW()/1000000</f>
        <v/>
      </c>
    </row>
    <row r="44">
      <c r="A44" t="inlineStr">
        <is>
          <t>Familia 41</t>
        </is>
      </c>
      <c r="B44" t="n">
        <v>2</v>
      </c>
      <c r="C44" s="14" t="n">
        <v>900000</v>
      </c>
      <c r="D44" s="14" t="n">
        <v>0</v>
      </c>
      <c r="E44" s="19" t="n"/>
      <c r="F44">
        <f>IF(D44=0,0,Tablero!$C$3-E44)</f>
        <v/>
      </c>
      <c r="G44">
        <f>IF(D44=0,"Al día",IF(F44&lt;=30,"1-30 días",IF(F44&lt;=60,"31-60 días",IF(F44&lt;=90,"61-90 días","Más de 90 días"))))</f>
        <v/>
      </c>
      <c r="H44">
        <f>IF(D44=0,"Sin acción",IF(F44&lt;=30,"Recordatorio automático",IF(F44&lt;=60,"Recordatorio escrito personalizado",IF(F44&lt;=90,"Llamar esta semana","Reunión para acuerdo de pago"))))</f>
        <v/>
      </c>
      <c r="I44">
        <f>D44+ROW()/1000000</f>
        <v/>
      </c>
    </row>
    <row r="45">
      <c r="A45" t="inlineStr">
        <is>
          <t>Familia 42</t>
        </is>
      </c>
      <c r="B45" t="n">
        <v>2</v>
      </c>
      <c r="C45" s="14" t="n">
        <v>840000</v>
      </c>
      <c r="D45" s="14" t="n">
        <v>0</v>
      </c>
      <c r="E45" s="19" t="n"/>
      <c r="F45">
        <f>IF(D45=0,0,Tablero!$C$3-E45)</f>
        <v/>
      </c>
      <c r="G45">
        <f>IF(D45=0,"Al día",IF(F45&lt;=30,"1-30 días",IF(F45&lt;=60,"31-60 días",IF(F45&lt;=90,"61-90 días","Más de 90 días"))))</f>
        <v/>
      </c>
      <c r="H45">
        <f>IF(D45=0,"Sin acción",IF(F45&lt;=30,"Recordatorio automático",IF(F45&lt;=60,"Recordatorio escrito personalizado",IF(F45&lt;=90,"Llamar esta semana","Reunión para acuerdo de pago"))))</f>
        <v/>
      </c>
      <c r="I45">
        <f>D45+ROW()/1000000</f>
        <v/>
      </c>
    </row>
    <row r="46">
      <c r="A46" t="inlineStr">
        <is>
          <t>Familia 43</t>
        </is>
      </c>
      <c r="B46" t="n">
        <v>2</v>
      </c>
      <c r="C46" s="14" t="n">
        <v>900000</v>
      </c>
      <c r="D46" s="14" t="n">
        <v>0</v>
      </c>
      <c r="E46" s="19" t="n"/>
      <c r="F46">
        <f>IF(D46=0,0,Tablero!$C$3-E46)</f>
        <v/>
      </c>
      <c r="G46">
        <f>IF(D46=0,"Al día",IF(F46&lt;=30,"1-30 días",IF(F46&lt;=60,"31-60 días",IF(F46&lt;=90,"61-90 días","Más de 90 días"))))</f>
        <v/>
      </c>
      <c r="H46">
        <f>IF(D46=0,"Sin acción",IF(F46&lt;=30,"Recordatorio automático",IF(F46&lt;=60,"Recordatorio escrito personalizado",IF(F46&lt;=90,"Llamar esta semana","Reunión para acuerdo de pago"))))</f>
        <v/>
      </c>
      <c r="I46">
        <f>D46+ROW()/1000000</f>
        <v/>
      </c>
    </row>
    <row r="47">
      <c r="A47" t="inlineStr">
        <is>
          <t>Familia 44</t>
        </is>
      </c>
      <c r="B47" t="n">
        <v>1</v>
      </c>
      <c r="C47" s="14" t="n">
        <v>450000</v>
      </c>
      <c r="D47" s="14" t="n">
        <v>450000</v>
      </c>
      <c r="E47" s="19" t="n">
        <v>46290</v>
      </c>
      <c r="F47">
        <f>IF(D47=0,0,Tablero!$C$3-E47)</f>
        <v/>
      </c>
      <c r="G47">
        <f>IF(D47=0,"Al día",IF(F47&lt;=30,"1-30 días",IF(F47&lt;=60,"31-60 días",IF(F47&lt;=90,"61-90 días","Más de 90 días"))))</f>
        <v/>
      </c>
      <c r="H47">
        <f>IF(D47=0,"Sin acción",IF(F47&lt;=30,"Recordatorio automático",IF(F47&lt;=60,"Recordatorio escrito personalizado",IF(F47&lt;=90,"Llamar esta semana","Reunión para acuerdo de pago"))))</f>
        <v/>
      </c>
      <c r="I47">
        <f>D47+ROW()/1000000</f>
        <v/>
      </c>
    </row>
    <row r="48">
      <c r="A48" t="inlineStr">
        <is>
          <t>Familia 45</t>
        </is>
      </c>
      <c r="B48" t="n">
        <v>2</v>
      </c>
      <c r="C48" s="14" t="n">
        <v>900000</v>
      </c>
      <c r="D48" s="14" t="n">
        <v>0</v>
      </c>
      <c r="E48" s="19" t="n"/>
      <c r="F48">
        <f>IF(D48=0,0,Tablero!$C$3-E48)</f>
        <v/>
      </c>
      <c r="G48">
        <f>IF(D48=0,"Al día",IF(F48&lt;=30,"1-30 días",IF(F48&lt;=60,"31-60 días",IF(F48&lt;=90,"61-90 días","Más de 90 días"))))</f>
        <v/>
      </c>
      <c r="H48">
        <f>IF(D48=0,"Sin acción",IF(F48&lt;=30,"Recordatorio automático",IF(F48&lt;=60,"Recordatorio escrito personalizado",IF(F48&lt;=90,"Llamar esta semana","Reunión para acuerdo de pago"))))</f>
        <v/>
      </c>
      <c r="I48">
        <f>D48+ROW()/1000000</f>
        <v/>
      </c>
    </row>
    <row r="49">
      <c r="A49" t="inlineStr">
        <is>
          <t>Familia 46</t>
        </is>
      </c>
      <c r="B49" t="n">
        <v>1</v>
      </c>
      <c r="C49" s="14" t="n">
        <v>480000</v>
      </c>
      <c r="D49" s="14" t="n">
        <v>0</v>
      </c>
      <c r="E49" s="19" t="n"/>
      <c r="F49">
        <f>IF(D49=0,0,Tablero!$C$3-E49)</f>
        <v/>
      </c>
      <c r="G49">
        <f>IF(D49=0,"Al día",IF(F49&lt;=30,"1-30 días",IF(F49&lt;=60,"31-60 días",IF(F49&lt;=90,"61-90 días","Más de 90 días"))))</f>
        <v/>
      </c>
      <c r="H49">
        <f>IF(D49=0,"Sin acción",IF(F49&lt;=30,"Recordatorio automático",IF(F49&lt;=60,"Recordatorio escrito personalizado",IF(F49&lt;=90,"Llamar esta semana","Reunión para acuerdo de pago"))))</f>
        <v/>
      </c>
      <c r="I49">
        <f>D49+ROW()/1000000</f>
        <v/>
      </c>
    </row>
    <row r="50">
      <c r="A50" t="inlineStr">
        <is>
          <t>Familia 47</t>
        </is>
      </c>
      <c r="B50" t="n">
        <v>1</v>
      </c>
      <c r="C50" s="14" t="n">
        <v>480000</v>
      </c>
      <c r="D50" s="14" t="n">
        <v>480000</v>
      </c>
      <c r="E50" s="19" t="n">
        <v>46274</v>
      </c>
      <c r="F50">
        <f>IF(D50=0,0,Tablero!$C$3-E50)</f>
        <v/>
      </c>
      <c r="G50">
        <f>IF(D50=0,"Al día",IF(F50&lt;=30,"1-30 días",IF(F50&lt;=60,"31-60 días",IF(F50&lt;=90,"61-90 días","Más de 90 días"))))</f>
        <v/>
      </c>
      <c r="H50">
        <f>IF(D50=0,"Sin acción",IF(F50&lt;=30,"Recordatorio automático",IF(F50&lt;=60,"Recordatorio escrito personalizado",IF(F50&lt;=90,"Llamar esta semana","Reunión para acuerdo de pago"))))</f>
        <v/>
      </c>
      <c r="I50">
        <f>D50+ROW()/1000000</f>
        <v/>
      </c>
    </row>
    <row r="51">
      <c r="A51" t="inlineStr">
        <is>
          <t>Familia 48</t>
        </is>
      </c>
      <c r="B51" t="n">
        <v>1</v>
      </c>
      <c r="C51" s="14" t="n">
        <v>480000</v>
      </c>
      <c r="D51" s="14" t="n">
        <v>0</v>
      </c>
      <c r="E51" s="19" t="n"/>
      <c r="F51">
        <f>IF(D51=0,0,Tablero!$C$3-E51)</f>
        <v/>
      </c>
      <c r="G51">
        <f>IF(D51=0,"Al día",IF(F51&lt;=30,"1-30 días",IF(F51&lt;=60,"31-60 días",IF(F51&lt;=90,"61-90 días","Más de 90 días"))))</f>
        <v/>
      </c>
      <c r="H51">
        <f>IF(D51=0,"Sin acción",IF(F51&lt;=30,"Recordatorio automático",IF(F51&lt;=60,"Recordatorio escrito personalizado",IF(F51&lt;=90,"Llamar esta semana","Reunión para acuerdo de pago"))))</f>
        <v/>
      </c>
      <c r="I51">
        <f>D51+ROW()/1000000</f>
        <v/>
      </c>
    </row>
    <row r="52">
      <c r="A52" t="inlineStr">
        <is>
          <t>Familia 49</t>
        </is>
      </c>
      <c r="B52" t="n">
        <v>2</v>
      </c>
      <c r="C52" s="14" t="n">
        <v>840000</v>
      </c>
      <c r="D52" s="14" t="n">
        <v>0</v>
      </c>
      <c r="E52" s="19" t="n"/>
      <c r="F52">
        <f>IF(D52=0,0,Tablero!$C$3-E52)</f>
        <v/>
      </c>
      <c r="G52">
        <f>IF(D52=0,"Al día",IF(F52&lt;=30,"1-30 días",IF(F52&lt;=60,"31-60 días",IF(F52&lt;=90,"61-90 días","Más de 90 días"))))</f>
        <v/>
      </c>
      <c r="H52">
        <f>IF(D52=0,"Sin acción",IF(F52&lt;=30,"Recordatorio automático",IF(F52&lt;=60,"Recordatorio escrito personalizado",IF(F52&lt;=90,"Llamar esta semana","Reunión para acuerdo de pago"))))</f>
        <v/>
      </c>
      <c r="I52">
        <f>D52+ROW()/1000000</f>
        <v/>
      </c>
    </row>
    <row r="53">
      <c r="A53" t="inlineStr">
        <is>
          <t>Familia 50</t>
        </is>
      </c>
      <c r="B53" t="n">
        <v>3</v>
      </c>
      <c r="C53" s="14" t="n">
        <v>1350000</v>
      </c>
      <c r="D53" s="14" t="n">
        <v>0</v>
      </c>
      <c r="E53" s="19" t="n"/>
      <c r="F53">
        <f>IF(D53=0,0,Tablero!$C$3-E53)</f>
        <v/>
      </c>
      <c r="G53">
        <f>IF(D53=0,"Al día",IF(F53&lt;=30,"1-30 días",IF(F53&lt;=60,"31-60 días",IF(F53&lt;=90,"61-90 días","Más de 90 días"))))</f>
        <v/>
      </c>
      <c r="H53">
        <f>IF(D53=0,"Sin acción",IF(F53&lt;=30,"Recordatorio automático",IF(F53&lt;=60,"Recordatorio escrito personalizado",IF(F53&lt;=90,"Llamar esta semana","Reunión para acuerdo de pago"))))</f>
        <v/>
      </c>
      <c r="I53">
        <f>D53+ROW()/1000000</f>
        <v/>
      </c>
    </row>
    <row r="54">
      <c r="A54" t="inlineStr">
        <is>
          <t>Familia 51</t>
        </is>
      </c>
      <c r="B54" t="n">
        <v>2</v>
      </c>
      <c r="C54" s="14" t="n">
        <v>960000</v>
      </c>
      <c r="D54" s="14" t="n">
        <v>0</v>
      </c>
      <c r="E54" s="19" t="n"/>
      <c r="F54">
        <f>IF(D54=0,0,Tablero!$C$3-E54)</f>
        <v/>
      </c>
      <c r="G54">
        <f>IF(D54=0,"Al día",IF(F54&lt;=30,"1-30 días",IF(F54&lt;=60,"31-60 días",IF(F54&lt;=90,"61-90 días","Más de 90 días"))))</f>
        <v/>
      </c>
      <c r="H54">
        <f>IF(D54=0,"Sin acción",IF(F54&lt;=30,"Recordatorio automático",IF(F54&lt;=60,"Recordatorio escrito personalizado",IF(F54&lt;=90,"Llamar esta semana","Reunión para acuerdo de pago"))))</f>
        <v/>
      </c>
      <c r="I54">
        <f>D54+ROW()/1000000</f>
        <v/>
      </c>
    </row>
    <row r="55">
      <c r="A55" t="inlineStr">
        <is>
          <t>Familia 52</t>
        </is>
      </c>
      <c r="B55" t="n">
        <v>2</v>
      </c>
      <c r="C55" s="14" t="n">
        <v>840000</v>
      </c>
      <c r="D55" s="14" t="n">
        <v>840000</v>
      </c>
      <c r="E55" s="19" t="n">
        <v>46270</v>
      </c>
      <c r="F55">
        <f>IF(D55=0,0,Tablero!$C$3-E55)</f>
        <v/>
      </c>
      <c r="G55">
        <f>IF(D55=0,"Al día",IF(F55&lt;=30,"1-30 días",IF(F55&lt;=60,"31-60 días",IF(F55&lt;=90,"61-90 días","Más de 90 días"))))</f>
        <v/>
      </c>
      <c r="H55">
        <f>IF(D55=0,"Sin acción",IF(F55&lt;=30,"Recordatorio automático",IF(F55&lt;=60,"Recordatorio escrito personalizado",IF(F55&lt;=90,"Llamar esta semana","Reunión para acuerdo de pago"))))</f>
        <v/>
      </c>
      <c r="I55">
        <f>D55+ROW()/1000000</f>
        <v/>
      </c>
    </row>
    <row r="56">
      <c r="A56" t="inlineStr">
        <is>
          <t>Familia 53</t>
        </is>
      </c>
      <c r="B56" t="n">
        <v>2</v>
      </c>
      <c r="C56" s="14" t="n">
        <v>900000</v>
      </c>
      <c r="D56" s="14" t="n">
        <v>0</v>
      </c>
      <c r="E56" s="19" t="n"/>
      <c r="F56">
        <f>IF(D56=0,0,Tablero!$C$3-E56)</f>
        <v/>
      </c>
      <c r="G56">
        <f>IF(D56=0,"Al día",IF(F56&lt;=30,"1-30 días",IF(F56&lt;=60,"31-60 días",IF(F56&lt;=90,"61-90 días","Más de 90 días"))))</f>
        <v/>
      </c>
      <c r="H56">
        <f>IF(D56=0,"Sin acción",IF(F56&lt;=30,"Recordatorio automático",IF(F56&lt;=60,"Recordatorio escrito personalizado",IF(F56&lt;=90,"Llamar esta semana","Reunión para acuerdo de pago"))))</f>
        <v/>
      </c>
      <c r="I56">
        <f>D56+ROW()/1000000</f>
        <v/>
      </c>
    </row>
    <row r="57">
      <c r="A57" t="inlineStr">
        <is>
          <t>Familia 54</t>
        </is>
      </c>
      <c r="B57" t="n">
        <v>1</v>
      </c>
      <c r="C57" s="14" t="n">
        <v>480000</v>
      </c>
      <c r="D57" s="14" t="n">
        <v>0</v>
      </c>
      <c r="E57" s="19" t="n"/>
      <c r="F57">
        <f>IF(D57=0,0,Tablero!$C$3-E57)</f>
        <v/>
      </c>
      <c r="G57">
        <f>IF(D57=0,"Al día",IF(F57&lt;=30,"1-30 días",IF(F57&lt;=60,"31-60 días",IF(F57&lt;=90,"61-90 días","Más de 90 días"))))</f>
        <v/>
      </c>
      <c r="H57">
        <f>IF(D57=0,"Sin acción",IF(F57&lt;=30,"Recordatorio automático",IF(F57&lt;=60,"Recordatorio escrito personalizado",IF(F57&lt;=90,"Llamar esta semana","Reunión para acuerdo de pago"))))</f>
        <v/>
      </c>
      <c r="I57">
        <f>D57+ROW()/1000000</f>
        <v/>
      </c>
    </row>
    <row r="58">
      <c r="A58" t="inlineStr">
        <is>
          <t>Familia 55</t>
        </is>
      </c>
      <c r="B58" t="n">
        <v>1</v>
      </c>
      <c r="C58" s="14" t="n">
        <v>450000</v>
      </c>
      <c r="D58" s="14" t="n">
        <v>2250000</v>
      </c>
      <c r="E58" s="19" t="n">
        <v>46150</v>
      </c>
      <c r="F58">
        <f>IF(D58=0,0,Tablero!$C$3-E58)</f>
        <v/>
      </c>
      <c r="G58">
        <f>IF(D58=0,"Al día",IF(F58&lt;=30,"1-30 días",IF(F58&lt;=60,"31-60 días",IF(F58&lt;=90,"61-90 días","Más de 90 días"))))</f>
        <v/>
      </c>
      <c r="H58">
        <f>IF(D58=0,"Sin acción",IF(F58&lt;=30,"Recordatorio automático",IF(F58&lt;=60,"Recordatorio escrito personalizado",IF(F58&lt;=90,"Llamar esta semana","Reunión para acuerdo de pago"))))</f>
        <v/>
      </c>
      <c r="I58">
        <f>D58+ROW()/1000000</f>
        <v/>
      </c>
    </row>
    <row r="59">
      <c r="A59" t="inlineStr">
        <is>
          <t>Familia 56</t>
        </is>
      </c>
      <c r="B59" t="n">
        <v>2</v>
      </c>
      <c r="C59" s="14" t="n">
        <v>900000</v>
      </c>
      <c r="D59" s="14" t="n">
        <v>0</v>
      </c>
      <c r="E59" s="19" t="n"/>
      <c r="F59">
        <f>IF(D59=0,0,Tablero!$C$3-E59)</f>
        <v/>
      </c>
      <c r="G59">
        <f>IF(D59=0,"Al día",IF(F59&lt;=30,"1-30 días",IF(F59&lt;=60,"31-60 días",IF(F59&lt;=90,"61-90 días","Más de 90 días"))))</f>
        <v/>
      </c>
      <c r="H59">
        <f>IF(D59=0,"Sin acción",IF(F59&lt;=30,"Recordatorio automático",IF(F59&lt;=60,"Recordatorio escrito personalizado",IF(F59&lt;=90,"Llamar esta semana","Reunión para acuerdo de pago"))))</f>
        <v/>
      </c>
      <c r="I59">
        <f>D59+ROW()/1000000</f>
        <v/>
      </c>
    </row>
    <row r="60">
      <c r="A60" t="inlineStr">
        <is>
          <t>Familia 57</t>
        </is>
      </c>
      <c r="B60" t="n">
        <v>2</v>
      </c>
      <c r="C60" s="14" t="n">
        <v>900000</v>
      </c>
      <c r="D60" s="14" t="n">
        <v>0</v>
      </c>
      <c r="E60" s="19" t="n"/>
      <c r="F60">
        <f>IF(D60=0,0,Tablero!$C$3-E60)</f>
        <v/>
      </c>
      <c r="G60">
        <f>IF(D60=0,"Al día",IF(F60&lt;=30,"1-30 días",IF(F60&lt;=60,"31-60 días",IF(F60&lt;=90,"61-90 días","Más de 90 días"))))</f>
        <v/>
      </c>
      <c r="H60">
        <f>IF(D60=0,"Sin acción",IF(F60&lt;=30,"Recordatorio automático",IF(F60&lt;=60,"Recordatorio escrito personalizado",IF(F60&lt;=90,"Llamar esta semana","Reunión para acuerdo de pago"))))</f>
        <v/>
      </c>
      <c r="I60">
        <f>D60+ROW()/1000000</f>
        <v/>
      </c>
    </row>
    <row r="61">
      <c r="A61" t="inlineStr">
        <is>
          <t>Familia 58</t>
        </is>
      </c>
      <c r="B61" t="n">
        <v>3</v>
      </c>
      <c r="C61" s="14" t="n">
        <v>1440000</v>
      </c>
      <c r="D61" s="14" t="n">
        <v>1440000</v>
      </c>
      <c r="E61" s="19" t="n">
        <v>46281</v>
      </c>
      <c r="F61">
        <f>IF(D61=0,0,Tablero!$C$3-E61)</f>
        <v/>
      </c>
      <c r="G61">
        <f>IF(D61=0,"Al día",IF(F61&lt;=30,"1-30 días",IF(F61&lt;=60,"31-60 días",IF(F61&lt;=90,"61-90 días","Más de 90 días"))))</f>
        <v/>
      </c>
      <c r="H61">
        <f>IF(D61=0,"Sin acción",IF(F61&lt;=30,"Recordatorio automático",IF(F61&lt;=60,"Recordatorio escrito personalizado",IF(F61&lt;=90,"Llamar esta semana","Reunión para acuerdo de pago"))))</f>
        <v/>
      </c>
      <c r="I61">
        <f>D61+ROW()/1000000</f>
        <v/>
      </c>
    </row>
    <row r="62">
      <c r="A62" t="inlineStr">
        <is>
          <t>Familia 59</t>
        </is>
      </c>
      <c r="B62" t="n">
        <v>1</v>
      </c>
      <c r="C62" s="14" t="n">
        <v>450000</v>
      </c>
      <c r="D62" s="14" t="n">
        <v>0</v>
      </c>
      <c r="E62" s="19" t="n"/>
      <c r="F62">
        <f>IF(D62=0,0,Tablero!$C$3-E62)</f>
        <v/>
      </c>
      <c r="G62">
        <f>IF(D62=0,"Al día",IF(F62&lt;=30,"1-30 días",IF(F62&lt;=60,"31-60 días",IF(F62&lt;=90,"61-90 días","Más de 90 días"))))</f>
        <v/>
      </c>
      <c r="H62">
        <f>IF(D62=0,"Sin acción",IF(F62&lt;=30,"Recordatorio automático",IF(F62&lt;=60,"Recordatorio escrito personalizado",IF(F62&lt;=90,"Llamar esta semana","Reunión para acuerdo de pago"))))</f>
        <v/>
      </c>
      <c r="I62">
        <f>D62+ROW()/1000000</f>
        <v/>
      </c>
    </row>
    <row r="63">
      <c r="A63" t="inlineStr">
        <is>
          <t>Familia 60</t>
        </is>
      </c>
      <c r="B63" t="n">
        <v>1</v>
      </c>
      <c r="C63" s="14" t="n">
        <v>420000</v>
      </c>
      <c r="D63" s="14" t="n">
        <v>0</v>
      </c>
      <c r="E63" s="19" t="n"/>
      <c r="F63">
        <f>IF(D63=0,0,Tablero!$C$3-E63)</f>
        <v/>
      </c>
      <c r="G63">
        <f>IF(D63=0,"Al día",IF(F63&lt;=30,"1-30 días",IF(F63&lt;=60,"31-60 días",IF(F63&lt;=90,"61-90 días","Más de 90 días"))))</f>
        <v/>
      </c>
      <c r="H63">
        <f>IF(D63=0,"Sin acción",IF(F63&lt;=30,"Recordatorio automático",IF(F63&lt;=60,"Recordatorio escrito personalizado",IF(F63&lt;=90,"Llamar esta semana","Reunión para acuerdo de pago"))))</f>
        <v/>
      </c>
      <c r="I63">
        <f>D63+ROW()/1000000</f>
        <v/>
      </c>
    </row>
    <row r="64">
      <c r="A64" t="inlineStr">
        <is>
          <t>Familia 61</t>
        </is>
      </c>
      <c r="B64" t="n">
        <v>3</v>
      </c>
      <c r="C64" s="14" t="n">
        <v>1260000</v>
      </c>
      <c r="D64" s="14" t="n">
        <v>0</v>
      </c>
      <c r="E64" s="19" t="n"/>
      <c r="F64">
        <f>IF(D64=0,0,Tablero!$C$3-E64)</f>
        <v/>
      </c>
      <c r="G64">
        <f>IF(D64=0,"Al día",IF(F64&lt;=30,"1-30 días",IF(F64&lt;=60,"31-60 días",IF(F64&lt;=90,"61-90 días","Más de 90 días"))))</f>
        <v/>
      </c>
      <c r="H64">
        <f>IF(D64=0,"Sin acción",IF(F64&lt;=30,"Recordatorio automático",IF(F64&lt;=60,"Recordatorio escrito personalizado",IF(F64&lt;=90,"Llamar esta semana","Reunión para acuerdo de pago"))))</f>
        <v/>
      </c>
      <c r="I64">
        <f>D64+ROW()/1000000</f>
        <v/>
      </c>
    </row>
    <row r="65">
      <c r="A65" t="inlineStr">
        <is>
          <t>Familia 62</t>
        </is>
      </c>
      <c r="B65" t="n">
        <v>2</v>
      </c>
      <c r="C65" s="14" t="n">
        <v>960000</v>
      </c>
      <c r="D65" s="14" t="n">
        <v>0</v>
      </c>
      <c r="E65" s="19" t="n"/>
      <c r="F65">
        <f>IF(D65=0,0,Tablero!$C$3-E65)</f>
        <v/>
      </c>
      <c r="G65">
        <f>IF(D65=0,"Al día",IF(F65&lt;=30,"1-30 días",IF(F65&lt;=60,"31-60 días",IF(F65&lt;=90,"61-90 días","Más de 90 días"))))</f>
        <v/>
      </c>
      <c r="H65">
        <f>IF(D65=0,"Sin acción",IF(F65&lt;=30,"Recordatorio automático",IF(F65&lt;=60,"Recordatorio escrito personalizado",IF(F65&lt;=90,"Llamar esta semana","Reunión para acuerdo de pago"))))</f>
        <v/>
      </c>
      <c r="I65">
        <f>D65+ROW()/1000000</f>
        <v/>
      </c>
    </row>
    <row r="66">
      <c r="A66" t="inlineStr">
        <is>
          <t>Familia 63</t>
        </is>
      </c>
      <c r="B66" t="n">
        <v>3</v>
      </c>
      <c r="C66" s="14" t="n">
        <v>1440000</v>
      </c>
      <c r="D66" s="14" t="n">
        <v>0</v>
      </c>
      <c r="E66" s="19" t="n"/>
      <c r="F66">
        <f>IF(D66=0,0,Tablero!$C$3-E66)</f>
        <v/>
      </c>
      <c r="G66">
        <f>IF(D66=0,"Al día",IF(F66&lt;=30,"1-30 días",IF(F66&lt;=60,"31-60 días",IF(F66&lt;=90,"61-90 días","Más de 90 días"))))</f>
        <v/>
      </c>
      <c r="H66">
        <f>IF(D66=0,"Sin acción",IF(F66&lt;=30,"Recordatorio automático",IF(F66&lt;=60,"Recordatorio escrito personalizado",IF(F66&lt;=90,"Llamar esta semana","Reunión para acuerdo de pago"))))</f>
        <v/>
      </c>
      <c r="I66">
        <f>D66+ROW()/1000000</f>
        <v/>
      </c>
    </row>
    <row r="67">
      <c r="A67" t="inlineStr">
        <is>
          <t>Familia 64</t>
        </is>
      </c>
      <c r="B67" t="n">
        <v>1</v>
      </c>
      <c r="C67" s="14" t="n">
        <v>480000</v>
      </c>
      <c r="D67" s="14" t="n">
        <v>1440000</v>
      </c>
      <c r="E67" s="19" t="n">
        <v>46227</v>
      </c>
      <c r="F67">
        <f>IF(D67=0,0,Tablero!$C$3-E67)</f>
        <v/>
      </c>
      <c r="G67">
        <f>IF(D67=0,"Al día",IF(F67&lt;=30,"1-30 días",IF(F67&lt;=60,"31-60 días",IF(F67&lt;=90,"61-90 días","Más de 90 días"))))</f>
        <v/>
      </c>
      <c r="H67">
        <f>IF(D67=0,"Sin acción",IF(F67&lt;=30,"Recordatorio automático",IF(F67&lt;=60,"Recordatorio escrito personalizado",IF(F67&lt;=90,"Llamar esta semana","Reunión para acuerdo de pago"))))</f>
        <v/>
      </c>
      <c r="I67">
        <f>D67+ROW()/1000000</f>
        <v/>
      </c>
    </row>
    <row r="68">
      <c r="A68" t="inlineStr">
        <is>
          <t>Familia 65</t>
        </is>
      </c>
      <c r="B68" t="n">
        <v>3</v>
      </c>
      <c r="C68" s="14" t="n">
        <v>1440000</v>
      </c>
      <c r="D68" s="14" t="n">
        <v>1440000</v>
      </c>
      <c r="E68" s="19" t="n">
        <v>46282</v>
      </c>
      <c r="F68">
        <f>IF(D68=0,0,Tablero!$C$3-E68)</f>
        <v/>
      </c>
      <c r="G68">
        <f>IF(D68=0,"Al día",IF(F68&lt;=30,"1-30 días",IF(F68&lt;=60,"31-60 días",IF(F68&lt;=90,"61-90 días","Más de 90 días"))))</f>
        <v/>
      </c>
      <c r="H68">
        <f>IF(D68=0,"Sin acción",IF(F68&lt;=30,"Recordatorio automático",IF(F68&lt;=60,"Recordatorio escrito personalizado",IF(F68&lt;=90,"Llamar esta semana","Reunión para acuerdo de pago"))))</f>
        <v/>
      </c>
      <c r="I68">
        <f>D68+ROW()/1000000</f>
        <v/>
      </c>
    </row>
    <row r="69">
      <c r="A69" t="inlineStr">
        <is>
          <t>Familia 66</t>
        </is>
      </c>
      <c r="B69" t="n">
        <v>1</v>
      </c>
      <c r="C69" s="14" t="n">
        <v>480000</v>
      </c>
      <c r="D69" s="14" t="n">
        <v>1440000</v>
      </c>
      <c r="E69" s="19" t="n">
        <v>46229</v>
      </c>
      <c r="F69">
        <f>IF(D69=0,0,Tablero!$C$3-E69)</f>
        <v/>
      </c>
      <c r="G69">
        <f>IF(D69=0,"Al día",IF(F69&lt;=30,"1-30 días",IF(F69&lt;=60,"31-60 días",IF(F69&lt;=90,"61-90 días","Más de 90 días"))))</f>
        <v/>
      </c>
      <c r="H69">
        <f>IF(D69=0,"Sin acción",IF(F69&lt;=30,"Recordatorio automático",IF(F69&lt;=60,"Recordatorio escrito personalizado",IF(F69&lt;=90,"Llamar esta semana","Reunión para acuerdo de pago"))))</f>
        <v/>
      </c>
      <c r="I69">
        <f>D69+ROW()/1000000</f>
        <v/>
      </c>
    </row>
    <row r="70">
      <c r="A70" t="inlineStr">
        <is>
          <t>Familia 67</t>
        </is>
      </c>
      <c r="B70" t="n">
        <v>3</v>
      </c>
      <c r="C70" s="14" t="n">
        <v>1440000</v>
      </c>
      <c r="D70" s="14" t="n">
        <v>0</v>
      </c>
      <c r="E70" s="19" t="n"/>
      <c r="F70">
        <f>IF(D70=0,0,Tablero!$C$3-E70)</f>
        <v/>
      </c>
      <c r="G70">
        <f>IF(D70=0,"Al día",IF(F70&lt;=30,"1-30 días",IF(F70&lt;=60,"31-60 días",IF(F70&lt;=90,"61-90 días","Más de 90 días"))))</f>
        <v/>
      </c>
      <c r="H70">
        <f>IF(D70=0,"Sin acción",IF(F70&lt;=30,"Recordatorio automático",IF(F70&lt;=60,"Recordatorio escrito personalizado",IF(F70&lt;=90,"Llamar esta semana","Reunión para acuerdo de pago"))))</f>
        <v/>
      </c>
      <c r="I70">
        <f>D70+ROW()/1000000</f>
        <v/>
      </c>
    </row>
    <row r="71">
      <c r="A71" t="inlineStr">
        <is>
          <t>Familia 68</t>
        </is>
      </c>
      <c r="B71" t="n">
        <v>2</v>
      </c>
      <c r="C71" s="14" t="n">
        <v>900000</v>
      </c>
      <c r="D71" s="14" t="n">
        <v>0</v>
      </c>
      <c r="E71" s="19" t="n"/>
      <c r="F71">
        <f>IF(D71=0,0,Tablero!$C$3-E71)</f>
        <v/>
      </c>
      <c r="G71">
        <f>IF(D71=0,"Al día",IF(F71&lt;=30,"1-30 días",IF(F71&lt;=60,"31-60 días",IF(F71&lt;=90,"61-90 días","Más de 90 días"))))</f>
        <v/>
      </c>
      <c r="H71">
        <f>IF(D71=0,"Sin acción",IF(F71&lt;=30,"Recordatorio automático",IF(F71&lt;=60,"Recordatorio escrito personalizado",IF(F71&lt;=90,"Llamar esta semana","Reunión para acuerdo de pago"))))</f>
        <v/>
      </c>
      <c r="I71">
        <f>D71+ROW()/1000000</f>
        <v/>
      </c>
    </row>
    <row r="72">
      <c r="A72" t="inlineStr">
        <is>
          <t>Familia 69</t>
        </is>
      </c>
      <c r="B72" t="n">
        <v>3</v>
      </c>
      <c r="C72" s="14" t="n">
        <v>1350000</v>
      </c>
      <c r="D72" s="14" t="n">
        <v>0</v>
      </c>
      <c r="E72" s="19" t="n"/>
      <c r="F72">
        <f>IF(D72=0,0,Tablero!$C$3-E72)</f>
        <v/>
      </c>
      <c r="G72">
        <f>IF(D72=0,"Al día",IF(F72&lt;=30,"1-30 días",IF(F72&lt;=60,"31-60 días",IF(F72&lt;=90,"61-90 días","Más de 90 días"))))</f>
        <v/>
      </c>
      <c r="H72">
        <f>IF(D72=0,"Sin acción",IF(F72&lt;=30,"Recordatorio automático",IF(F72&lt;=60,"Recordatorio escrito personalizado",IF(F72&lt;=90,"Llamar esta semana","Reunión para acuerdo de pago"))))</f>
        <v/>
      </c>
      <c r="I72">
        <f>D72+ROW()/1000000</f>
        <v/>
      </c>
    </row>
    <row r="73">
      <c r="A73" t="inlineStr">
        <is>
          <t>Familia 70</t>
        </is>
      </c>
      <c r="B73" t="n">
        <v>2</v>
      </c>
      <c r="C73" s="14" t="n">
        <v>960000</v>
      </c>
      <c r="D73" s="14" t="n">
        <v>0</v>
      </c>
      <c r="E73" s="19" t="n"/>
      <c r="F73">
        <f>IF(D73=0,0,Tablero!$C$3-E73)</f>
        <v/>
      </c>
      <c r="G73">
        <f>IF(D73=0,"Al día",IF(F73&lt;=30,"1-30 días",IF(F73&lt;=60,"31-60 días",IF(F73&lt;=90,"61-90 días","Más de 90 días"))))</f>
        <v/>
      </c>
      <c r="H73">
        <f>IF(D73=0,"Sin acción",IF(F73&lt;=30,"Recordatorio automático",IF(F73&lt;=60,"Recordatorio escrito personalizado",IF(F73&lt;=90,"Llamar esta semana","Reunión para acuerdo de pago"))))</f>
        <v/>
      </c>
      <c r="I73">
        <f>D73+ROW()/1000000</f>
        <v/>
      </c>
    </row>
    <row r="74">
      <c r="A74" t="inlineStr">
        <is>
          <t>Familia 71</t>
        </is>
      </c>
      <c r="B74" t="n">
        <v>1</v>
      </c>
      <c r="C74" s="14" t="n">
        <v>420000</v>
      </c>
      <c r="D74" s="14" t="n">
        <v>0</v>
      </c>
      <c r="E74" s="19" t="n"/>
      <c r="F74">
        <f>IF(D74=0,0,Tablero!$C$3-E74)</f>
        <v/>
      </c>
      <c r="G74">
        <f>IF(D74=0,"Al día",IF(F74&lt;=30,"1-30 días",IF(F74&lt;=60,"31-60 días",IF(F74&lt;=90,"61-90 días","Más de 90 días"))))</f>
        <v/>
      </c>
      <c r="H74">
        <f>IF(D74=0,"Sin acción",IF(F74&lt;=30,"Recordatorio automático",IF(F74&lt;=60,"Recordatorio escrito personalizado",IF(F74&lt;=90,"Llamar esta semana","Reunión para acuerdo de pago"))))</f>
        <v/>
      </c>
      <c r="I74">
        <f>D74+ROW()/1000000</f>
        <v/>
      </c>
    </row>
    <row r="75">
      <c r="A75" t="inlineStr">
        <is>
          <t>Familia 72</t>
        </is>
      </c>
      <c r="B75" t="n">
        <v>1</v>
      </c>
      <c r="C75" s="14" t="n">
        <v>450000</v>
      </c>
      <c r="D75" s="14" t="n">
        <v>0</v>
      </c>
      <c r="E75" s="19" t="n"/>
      <c r="F75">
        <f>IF(D75=0,0,Tablero!$C$3-E75)</f>
        <v/>
      </c>
      <c r="G75">
        <f>IF(D75=0,"Al día",IF(F75&lt;=30,"1-30 días",IF(F75&lt;=60,"31-60 días",IF(F75&lt;=90,"61-90 días","Más de 90 días"))))</f>
        <v/>
      </c>
      <c r="H75">
        <f>IF(D75=0,"Sin acción",IF(F75&lt;=30,"Recordatorio automático",IF(F75&lt;=60,"Recordatorio escrito personalizado",IF(F75&lt;=90,"Llamar esta semana","Reunión para acuerdo de pago"))))</f>
        <v/>
      </c>
      <c r="I75">
        <f>D75+ROW()/1000000</f>
        <v/>
      </c>
    </row>
    <row r="76">
      <c r="A76" t="inlineStr">
        <is>
          <t>Familia 73</t>
        </is>
      </c>
      <c r="B76" t="n">
        <v>2</v>
      </c>
      <c r="C76" s="14" t="n">
        <v>840000</v>
      </c>
      <c r="D76" s="14" t="n">
        <v>0</v>
      </c>
      <c r="E76" s="19" t="n"/>
      <c r="F76">
        <f>IF(D76=0,0,Tablero!$C$3-E76)</f>
        <v/>
      </c>
      <c r="G76">
        <f>IF(D76=0,"Al día",IF(F76&lt;=30,"1-30 días",IF(F76&lt;=60,"31-60 días",IF(F76&lt;=90,"61-90 días","Más de 90 días"))))</f>
        <v/>
      </c>
      <c r="H76">
        <f>IF(D76=0,"Sin acción",IF(F76&lt;=30,"Recordatorio automático",IF(F76&lt;=60,"Recordatorio escrito personalizado",IF(F76&lt;=90,"Llamar esta semana","Reunión para acuerdo de pago"))))</f>
        <v/>
      </c>
      <c r="I76">
        <f>D76+ROW()/1000000</f>
        <v/>
      </c>
    </row>
    <row r="77">
      <c r="A77" t="inlineStr">
        <is>
          <t>Familia 74</t>
        </is>
      </c>
      <c r="B77" t="n">
        <v>1</v>
      </c>
      <c r="C77" s="14" t="n">
        <v>420000</v>
      </c>
      <c r="D77" s="14" t="n">
        <v>0</v>
      </c>
      <c r="E77" s="19" t="n"/>
      <c r="F77">
        <f>IF(D77=0,0,Tablero!$C$3-E77)</f>
        <v/>
      </c>
      <c r="G77">
        <f>IF(D77=0,"Al día",IF(F77&lt;=30,"1-30 días",IF(F77&lt;=60,"31-60 días",IF(F77&lt;=90,"61-90 días","Más de 90 días"))))</f>
        <v/>
      </c>
      <c r="H77">
        <f>IF(D77=0,"Sin acción",IF(F77&lt;=30,"Recordatorio automático",IF(F77&lt;=60,"Recordatorio escrito personalizado",IF(F77&lt;=90,"Llamar esta semana","Reunión para acuerdo de pago"))))</f>
        <v/>
      </c>
      <c r="I77">
        <f>D77+ROW()/1000000</f>
        <v/>
      </c>
    </row>
    <row r="78">
      <c r="A78" t="inlineStr">
        <is>
          <t>Familia 75</t>
        </is>
      </c>
      <c r="B78" t="n">
        <v>1</v>
      </c>
      <c r="C78" s="14" t="n">
        <v>420000</v>
      </c>
      <c r="D78" s="14" t="n">
        <v>840000</v>
      </c>
      <c r="E78" s="19" t="n">
        <v>46240</v>
      </c>
      <c r="F78">
        <f>IF(D78=0,0,Tablero!$C$3-E78)</f>
        <v/>
      </c>
      <c r="G78">
        <f>IF(D78=0,"Al día",IF(F78&lt;=30,"1-30 días",IF(F78&lt;=60,"31-60 días",IF(F78&lt;=90,"61-90 días","Más de 90 días"))))</f>
        <v/>
      </c>
      <c r="H78">
        <f>IF(D78=0,"Sin acción",IF(F78&lt;=30,"Recordatorio automático",IF(F78&lt;=60,"Recordatorio escrito personalizado",IF(F78&lt;=90,"Llamar esta semana","Reunión para acuerdo de pago"))))</f>
        <v/>
      </c>
      <c r="I78">
        <f>D78+ROW()/1000000</f>
        <v/>
      </c>
    </row>
    <row r="79">
      <c r="A79" t="inlineStr">
        <is>
          <t>Familia 76</t>
        </is>
      </c>
      <c r="B79" t="n">
        <v>1</v>
      </c>
      <c r="C79" s="14" t="n">
        <v>480000</v>
      </c>
      <c r="D79" s="14" t="n">
        <v>1440000</v>
      </c>
      <c r="E79" s="19" t="n">
        <v>46210</v>
      </c>
      <c r="F79">
        <f>IF(D79=0,0,Tablero!$C$3-E79)</f>
        <v/>
      </c>
      <c r="G79">
        <f>IF(D79=0,"Al día",IF(F79&lt;=30,"1-30 días",IF(F79&lt;=60,"31-60 días",IF(F79&lt;=90,"61-90 días","Más de 90 días"))))</f>
        <v/>
      </c>
      <c r="H79">
        <f>IF(D79=0,"Sin acción",IF(F79&lt;=30,"Recordatorio automático",IF(F79&lt;=60,"Recordatorio escrito personalizado",IF(F79&lt;=90,"Llamar esta semana","Reunión para acuerdo de pago"))))</f>
        <v/>
      </c>
      <c r="I79">
        <f>D79+ROW()/1000000</f>
        <v/>
      </c>
    </row>
    <row r="80">
      <c r="A80" t="inlineStr">
        <is>
          <t>Familia 77</t>
        </is>
      </c>
      <c r="B80" t="n">
        <v>1</v>
      </c>
      <c r="C80" s="14" t="n">
        <v>480000</v>
      </c>
      <c r="D80" s="14" t="n">
        <v>960000</v>
      </c>
      <c r="E80" s="19" t="n">
        <v>46258</v>
      </c>
      <c r="F80">
        <f>IF(D80=0,0,Tablero!$C$3-E80)</f>
        <v/>
      </c>
      <c r="G80">
        <f>IF(D80=0,"Al día",IF(F80&lt;=30,"1-30 días",IF(F80&lt;=60,"31-60 días",IF(F80&lt;=90,"61-90 días","Más de 90 días"))))</f>
        <v/>
      </c>
      <c r="H80">
        <f>IF(D80=0,"Sin acción",IF(F80&lt;=30,"Recordatorio automático",IF(F80&lt;=60,"Recordatorio escrito personalizado",IF(F80&lt;=90,"Llamar esta semana","Reunión para acuerdo de pago"))))</f>
        <v/>
      </c>
      <c r="I80">
        <f>D80+ROW()/1000000</f>
        <v/>
      </c>
    </row>
    <row r="81">
      <c r="A81" t="inlineStr">
        <is>
          <t>Familia 78</t>
        </is>
      </c>
      <c r="B81" t="n">
        <v>1</v>
      </c>
      <c r="C81" s="14" t="n">
        <v>420000</v>
      </c>
      <c r="D81" s="14" t="n">
        <v>0</v>
      </c>
      <c r="E81" s="19" t="n"/>
      <c r="F81">
        <f>IF(D81=0,0,Tablero!$C$3-E81)</f>
        <v/>
      </c>
      <c r="G81">
        <f>IF(D81=0,"Al día",IF(F81&lt;=30,"1-30 días",IF(F81&lt;=60,"31-60 días",IF(F81&lt;=90,"61-90 días","Más de 90 días"))))</f>
        <v/>
      </c>
      <c r="H81">
        <f>IF(D81=0,"Sin acción",IF(F81&lt;=30,"Recordatorio automático",IF(F81&lt;=60,"Recordatorio escrito personalizado",IF(F81&lt;=90,"Llamar esta semana","Reunión para acuerdo de pago"))))</f>
        <v/>
      </c>
      <c r="I81">
        <f>D81+ROW()/1000000</f>
        <v/>
      </c>
    </row>
    <row r="82">
      <c r="A82" t="inlineStr">
        <is>
          <t>Familia 79</t>
        </is>
      </c>
      <c r="B82" t="n">
        <v>3</v>
      </c>
      <c r="C82" s="14" t="n">
        <v>1350000</v>
      </c>
      <c r="D82" s="14" t="n">
        <v>0</v>
      </c>
      <c r="E82" s="19" t="n"/>
      <c r="F82">
        <f>IF(D82=0,0,Tablero!$C$3-E82)</f>
        <v/>
      </c>
      <c r="G82">
        <f>IF(D82=0,"Al día",IF(F82&lt;=30,"1-30 días",IF(F82&lt;=60,"31-60 días",IF(F82&lt;=90,"61-90 días","Más de 90 días"))))</f>
        <v/>
      </c>
      <c r="H82">
        <f>IF(D82=0,"Sin acción",IF(F82&lt;=30,"Recordatorio automático",IF(F82&lt;=60,"Recordatorio escrito personalizado",IF(F82&lt;=90,"Llamar esta semana","Reunión para acuerdo de pago"))))</f>
        <v/>
      </c>
      <c r="I82">
        <f>D82+ROW()/1000000</f>
        <v/>
      </c>
    </row>
    <row r="83">
      <c r="A83" t="inlineStr">
        <is>
          <t>Familia 80</t>
        </is>
      </c>
      <c r="B83" t="n">
        <v>1</v>
      </c>
      <c r="C83" s="14" t="n">
        <v>420000</v>
      </c>
      <c r="D83" s="14" t="n">
        <v>0</v>
      </c>
      <c r="E83" s="19" t="n"/>
      <c r="F83">
        <f>IF(D83=0,0,Tablero!$C$3-E83)</f>
        <v/>
      </c>
      <c r="G83">
        <f>IF(D83=0,"Al día",IF(F83&lt;=30,"1-30 días",IF(F83&lt;=60,"31-60 días",IF(F83&lt;=90,"61-90 días","Más de 90 días"))))</f>
        <v/>
      </c>
      <c r="H83">
        <f>IF(D83=0,"Sin acción",IF(F83&lt;=30,"Recordatorio automático",IF(F83&lt;=60,"Recordatorio escrito personalizado",IF(F83&lt;=90,"Llamar esta semana","Reunión para acuerdo de pago"))))</f>
        <v/>
      </c>
      <c r="I83">
        <f>D83+ROW()/1000000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2026-10-10T01:39:14Z</dcterms:created>
  <dcterms:modified xmlns:dcterms="http://purl.org/dc/terms/" xmlns:xsi="http://www.w3.org/2001/XMLSchema-instance" xsi:type="dcterms:W3CDTF">2026-10-10T01:39:14Z</dcterms:modified>
</cp:coreProperties>
</file>