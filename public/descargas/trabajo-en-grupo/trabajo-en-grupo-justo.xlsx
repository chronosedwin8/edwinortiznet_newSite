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Evaluaciones" sheetId="3" state="visible" r:id="rId3"/>
    <sheet xmlns:r="http://schemas.openxmlformats.org/officeDocument/2006/relationships" name="Notas_grupales" sheetId="4" state="visible" r:id="rId4"/>
    <sheet xmlns:r="http://schemas.openxmlformats.org/officeDocument/2006/relationships" name="Resul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" t="inlineStr">
        <is>
          <t>PARÁMETROS (editables; deben coincidir con lo que diga el SIEE y se acuerde con el grupo antes de la actividad)</t>
        </is>
      </c>
    </row>
    <row r="3">
      <c r="A3" t="inlineStr">
        <is>
          <t>Integrantes por grupo (esta plantilla: 4)</t>
        </is>
      </c>
      <c r="B3" t="n">
        <v>4</v>
      </c>
    </row>
    <row r="4">
      <c r="A4" t="inlineStr">
        <is>
          <t>Factor mínimo del ajuste</t>
        </is>
      </c>
      <c r="B4" s="2" t="n">
        <v>0.8</v>
      </c>
    </row>
    <row r="5">
      <c r="A5" t="inlineStr">
        <is>
          <t>Factor máximo del ajuste</t>
        </is>
      </c>
      <c r="B5" s="2" t="n">
        <v>1.2</v>
      </c>
    </row>
    <row r="6">
      <c r="A6" t="inlineStr">
        <is>
          <t>Nota mínima de la escala</t>
        </is>
      </c>
      <c r="B6" s="2" t="n">
        <v>1</v>
      </c>
    </row>
    <row r="7">
      <c r="A7" t="inlineStr">
        <is>
          <t>Nota máxima de la escala</t>
        </is>
      </c>
      <c r="B7" s="2" t="n">
        <v>5</v>
      </c>
    </row>
    <row r="9">
      <c r="A9" t="inlineStr">
        <is>
          <t>Cada integrante reparte 100 puntos entre todos los integrantes de su grupo (incluido él o ella) según la contribución al trabajo, con criterios acordados de antemano.</t>
        </is>
      </c>
    </row>
    <row r="10">
      <c r="A10" t="inlineStr">
        <is>
          <t>El factor 1,0 significa una contribución igual a la del promedio del grupo. El ajuste acotado evita notas extremas por una sola evaluación entre pares.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" t="inlineStr">
        <is>
          <t>RESUMEN</t>
        </is>
      </c>
    </row>
    <row r="3">
      <c r="A3" t="inlineStr">
        <is>
          <t>Integrantes evaluados</t>
        </is>
      </c>
      <c r="B3">
        <f>COUNT(Resultados!A4:A15)</f>
        <v/>
      </c>
    </row>
    <row r="4">
      <c r="A4" t="inlineStr">
        <is>
          <t>Evaluaciones con suma distinta de 100</t>
        </is>
      </c>
      <c r="B4">
        <f>COUNTIF(Evaluaciones!H4:H15,"La suma*")</f>
        <v/>
      </c>
    </row>
    <row r="5">
      <c r="A5" t="inlineStr">
        <is>
          <t>Integrantes con factor (sin autoevaluación) menor que 0,8</t>
        </is>
      </c>
      <c r="B5">
        <f>COUNTIF(Resultados!G4:G15,"&lt;"&amp;Parametros!B4)</f>
        <v/>
      </c>
    </row>
    <row r="6">
      <c r="A6" t="inlineStr">
        <is>
          <t>Integrantes con factor mayor que 1,2</t>
        </is>
      </c>
      <c r="B6">
        <f>COUNTIF(Resultados!G4:G15,"&gt;"&amp;Parametros!B5)</f>
        <v/>
      </c>
    </row>
    <row r="7">
      <c r="A7" t="inlineStr">
        <is>
          <t>Menor factor sin autoevaluación</t>
        </is>
      </c>
      <c r="B7" s="3">
        <f>MIN(Resultados!G4:G15)</f>
        <v/>
      </c>
    </row>
    <row r="8">
      <c r="A8" t="inlineStr">
        <is>
          <t>Mayor factor sin autoevaluación</t>
        </is>
      </c>
      <c r="B8" s="3">
        <f>MAX(Resultados!G4:G15)</f>
        <v/>
      </c>
    </row>
    <row r="9">
      <c r="A9" t="inlineStr">
        <is>
          <t>Menor nota individual con factor acotado</t>
        </is>
      </c>
      <c r="B9" s="3">
        <f>MIN(Resultados!J4:J15)</f>
        <v/>
      </c>
    </row>
    <row r="10">
      <c r="A10" t="inlineStr">
        <is>
          <t>Mayor nota individual con factor acotado</t>
        </is>
      </c>
      <c r="B10" s="3">
        <f>MAX(Resultados!J4:J15)</f>
        <v/>
      </c>
    </row>
    <row r="11">
      <c r="A11" t="inlineStr">
        <is>
          <t>Integrantes cuya nota baja más de 0,3 frente a la del grupo</t>
        </is>
      </c>
      <c r="B11">
        <f>COUNTIF(Resultados!K4:K15,"&lt;"&amp;-0.3)</f>
        <v/>
      </c>
    </row>
    <row r="12">
      <c r="A12" t="inlineStr">
        <is>
          <t>Grupos en los que todos aportan por igual (factores entre 0,95 y 1,05)</t>
        </is>
      </c>
      <c r="B12">
        <f>SUMPRODUCT(--(COUNTIFS(Resultados!A4:A15,{1,2,3},Resultados!G4:G15,"&gt;="&amp;0.95,Resultados!G4:G15,"&lt;="&amp;1.05)=4))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22" customWidth="1" min="8" max="8"/>
  </cols>
  <sheetData>
    <row r="1">
      <c r="A1" s="1" t="inlineStr">
        <is>
          <t>EVALUACIÓN ENTRE PARES (ejemplo ficticio: 3 grupos de 4; cada fila reparte 100 puntos entre los integrantes del grupo)</t>
        </is>
      </c>
    </row>
    <row r="3">
      <c r="A3" s="4" t="inlineStr">
        <is>
          <t>Grupo</t>
        </is>
      </c>
      <c r="B3" s="4" t="inlineStr">
        <is>
          <t>Evaluador (miembro)</t>
        </is>
      </c>
      <c r="C3" s="4" t="inlineStr">
        <is>
          <t>Puntos a M1</t>
        </is>
      </c>
      <c r="D3" s="4" t="inlineStr">
        <is>
          <t>Puntos a M2</t>
        </is>
      </c>
      <c r="E3" s="4" t="inlineStr">
        <is>
          <t>Puntos a M3</t>
        </is>
      </c>
      <c r="F3" s="4" t="inlineStr">
        <is>
          <t>Puntos a M4</t>
        </is>
      </c>
      <c r="G3" s="4" t="inlineStr">
        <is>
          <t>Suma</t>
        </is>
      </c>
      <c r="H3" s="4" t="inlineStr">
        <is>
          <t>Control</t>
        </is>
      </c>
    </row>
    <row r="4">
      <c r="A4" s="2" t="n">
        <v>1</v>
      </c>
      <c r="B4" s="2" t="n">
        <v>1</v>
      </c>
      <c r="C4" s="2" t="n">
        <v>25</v>
      </c>
      <c r="D4" s="2" t="n">
        <v>25</v>
      </c>
      <c r="E4" s="2" t="n">
        <v>25</v>
      </c>
      <c r="F4" s="2" t="n">
        <v>25</v>
      </c>
      <c r="G4">
        <f>SUM(C4:F4)</f>
        <v/>
      </c>
      <c r="H4">
        <f>IF(G4=100,"OK","La suma debe ser 100")</f>
        <v/>
      </c>
    </row>
    <row r="5">
      <c r="A5" s="2" t="n">
        <v>1</v>
      </c>
      <c r="B5" s="2" t="n">
        <v>2</v>
      </c>
      <c r="C5" s="2" t="n">
        <v>20</v>
      </c>
      <c r="D5" s="2" t="n">
        <v>30</v>
      </c>
      <c r="E5" s="2" t="n">
        <v>25</v>
      </c>
      <c r="F5" s="2" t="n">
        <v>25</v>
      </c>
      <c r="G5">
        <f>SUM(C5:F5)</f>
        <v/>
      </c>
      <c r="H5">
        <f>IF(G5=100,"OK","La suma debe ser 100")</f>
        <v/>
      </c>
    </row>
    <row r="6">
      <c r="A6" s="2" t="n">
        <v>1</v>
      </c>
      <c r="B6" s="2" t="n">
        <v>3</v>
      </c>
      <c r="C6" s="2" t="n">
        <v>25</v>
      </c>
      <c r="D6" s="2" t="n">
        <v>25</v>
      </c>
      <c r="E6" s="2" t="n">
        <v>25</v>
      </c>
      <c r="F6" s="2" t="n">
        <v>25</v>
      </c>
      <c r="G6">
        <f>SUM(C6:F6)</f>
        <v/>
      </c>
      <c r="H6">
        <f>IF(G6=100,"OK","La suma debe ser 100")</f>
        <v/>
      </c>
    </row>
    <row r="7">
      <c r="A7" s="2" t="n">
        <v>1</v>
      </c>
      <c r="B7" s="2" t="n">
        <v>4</v>
      </c>
      <c r="C7" s="2" t="n">
        <v>20</v>
      </c>
      <c r="D7" s="2" t="n">
        <v>30</v>
      </c>
      <c r="E7" s="2" t="n">
        <v>25</v>
      </c>
      <c r="F7" s="2" t="n">
        <v>25</v>
      </c>
      <c r="G7">
        <f>SUM(C7:F7)</f>
        <v/>
      </c>
      <c r="H7">
        <f>IF(G7=100,"OK","La suma debe ser 100")</f>
        <v/>
      </c>
    </row>
    <row r="8">
      <c r="A8" s="2" t="n">
        <v>2</v>
      </c>
      <c r="B8" s="2" t="n">
        <v>1</v>
      </c>
      <c r="C8" s="2" t="n">
        <v>35</v>
      </c>
      <c r="D8" s="2" t="n">
        <v>35</v>
      </c>
      <c r="E8" s="2" t="n">
        <v>25</v>
      </c>
      <c r="F8" s="2" t="n">
        <v>5</v>
      </c>
      <c r="G8">
        <f>SUM(C8:F8)</f>
        <v/>
      </c>
      <c r="H8">
        <f>IF(G8=100,"OK","La suma debe ser 100")</f>
        <v/>
      </c>
    </row>
    <row r="9">
      <c r="A9" s="2" t="n">
        <v>2</v>
      </c>
      <c r="B9" s="2" t="n">
        <v>2</v>
      </c>
      <c r="C9" s="2" t="n">
        <v>30</v>
      </c>
      <c r="D9" s="2" t="n">
        <v>40</v>
      </c>
      <c r="E9" s="2" t="n">
        <v>25</v>
      </c>
      <c r="F9" s="2" t="n">
        <v>5</v>
      </c>
      <c r="G9">
        <f>SUM(C9:F9)</f>
        <v/>
      </c>
      <c r="H9">
        <f>IF(G9=100,"OK","La suma debe ser 100")</f>
        <v/>
      </c>
    </row>
    <row r="10">
      <c r="A10" s="2" t="n">
        <v>2</v>
      </c>
      <c r="B10" s="2" t="n">
        <v>3</v>
      </c>
      <c r="C10" s="2" t="n">
        <v>25</v>
      </c>
      <c r="D10" s="2" t="n">
        <v>25</v>
      </c>
      <c r="E10" s="2" t="n">
        <v>40</v>
      </c>
      <c r="F10" s="2" t="n">
        <v>10</v>
      </c>
      <c r="G10">
        <f>SUM(C10:F10)</f>
        <v/>
      </c>
      <c r="H10">
        <f>IF(G10=100,"OK","La suma debe ser 100")</f>
        <v/>
      </c>
    </row>
    <row r="11">
      <c r="A11" s="2" t="n">
        <v>2</v>
      </c>
      <c r="B11" s="2" t="n">
        <v>4</v>
      </c>
      <c r="C11" s="2" t="n">
        <v>30</v>
      </c>
      <c r="D11" s="2" t="n">
        <v>30</v>
      </c>
      <c r="E11" s="2" t="n">
        <v>30</v>
      </c>
      <c r="F11" s="2" t="n">
        <v>10</v>
      </c>
      <c r="G11">
        <f>SUM(C11:F11)</f>
        <v/>
      </c>
      <c r="H11">
        <f>IF(G11=100,"OK","La suma debe ser 100")</f>
        <v/>
      </c>
    </row>
    <row r="12">
      <c r="A12" s="2" t="n">
        <v>3</v>
      </c>
      <c r="B12" s="2" t="n">
        <v>1</v>
      </c>
      <c r="C12" s="2" t="n">
        <v>25</v>
      </c>
      <c r="D12" s="2" t="n">
        <v>25</v>
      </c>
      <c r="E12" s="2" t="n">
        <v>25</v>
      </c>
      <c r="F12" s="2" t="n">
        <v>25</v>
      </c>
      <c r="G12">
        <f>SUM(C12:F12)</f>
        <v/>
      </c>
      <c r="H12">
        <f>IF(G12=100,"OK","La suma debe ser 100")</f>
        <v/>
      </c>
    </row>
    <row r="13">
      <c r="A13" s="2" t="n">
        <v>3</v>
      </c>
      <c r="B13" s="2" t="n">
        <v>2</v>
      </c>
      <c r="C13" s="2" t="n">
        <v>25</v>
      </c>
      <c r="D13" s="2" t="n">
        <v>25</v>
      </c>
      <c r="E13" s="2" t="n">
        <v>25</v>
      </c>
      <c r="F13" s="2" t="n">
        <v>25</v>
      </c>
      <c r="G13">
        <f>SUM(C13:F13)</f>
        <v/>
      </c>
      <c r="H13">
        <f>IF(G13=100,"OK","La suma debe ser 100")</f>
        <v/>
      </c>
    </row>
    <row r="14">
      <c r="A14" s="2" t="n">
        <v>3</v>
      </c>
      <c r="B14" s="2" t="n">
        <v>3</v>
      </c>
      <c r="C14" s="2" t="n">
        <v>25</v>
      </c>
      <c r="D14" s="2" t="n">
        <v>25</v>
      </c>
      <c r="E14" s="2" t="n">
        <v>25</v>
      </c>
      <c r="F14" s="2" t="n">
        <v>25</v>
      </c>
      <c r="G14">
        <f>SUM(C14:F14)</f>
        <v/>
      </c>
      <c r="H14">
        <f>IF(G14=100,"OK","La suma debe ser 100")</f>
        <v/>
      </c>
    </row>
    <row r="15">
      <c r="A15" s="2" t="n">
        <v>3</v>
      </c>
      <c r="B15" s="2" t="n">
        <v>4</v>
      </c>
      <c r="C15" s="2" t="n">
        <v>25</v>
      </c>
      <c r="D15" s="2" t="n">
        <v>25</v>
      </c>
      <c r="E15" s="2" t="n">
        <v>25</v>
      </c>
      <c r="F15" s="2" t="n">
        <v>25</v>
      </c>
      <c r="G15">
        <f>SUM(C15:F15)</f>
        <v/>
      </c>
      <c r="H15">
        <f>IF(G15=100,"OK","La suma debe ser 100")</f>
        <v/>
      </c>
    </row>
  </sheetData>
  <conditionalFormatting sqref="H4:H15">
    <cfRule type="cellIs" priority="1" operator="notEqual" dxfId="0">
      <formula>"OK"</formula>
    </cfRule>
  </conditionalFormatting>
  <dataValidations count="1">
    <dataValidation sqref="C4:F15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8" customWidth="1" min="2" max="2"/>
  </cols>
  <sheetData>
    <row r="1">
      <c r="A1" s="4" t="inlineStr">
        <is>
          <t>Grupo</t>
        </is>
      </c>
      <c r="B1" s="4" t="inlineStr">
        <is>
          <t>Nota del producto del grupo (1,0 a 5,0)</t>
        </is>
      </c>
    </row>
    <row r="2">
      <c r="A2" t="n">
        <v>1</v>
      </c>
      <c r="B2" s="2" t="n">
        <v>4.2</v>
      </c>
    </row>
    <row r="3">
      <c r="A3" t="n">
        <v>2</v>
      </c>
      <c r="B3" s="2" t="n">
        <v>3.8</v>
      </c>
    </row>
    <row r="4">
      <c r="A4" t="n">
        <v>3</v>
      </c>
      <c r="B4" s="2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8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RESULTADOS: FACTOR DE CONTRIBUCIÓN Y NOTA INDIVIDUAL (úsalos como punto de partida para una conversación, no como veredicto)</t>
        </is>
      </c>
    </row>
    <row r="3" ht="80" customHeight="1">
      <c r="A3" s="4" t="inlineStr">
        <is>
          <t>Grupo</t>
        </is>
      </c>
      <c r="B3" s="4" t="inlineStr">
        <is>
          <t>Miembro</t>
        </is>
      </c>
      <c r="C3" s="4" t="inlineStr">
        <is>
          <t>Nota del grupo</t>
        </is>
      </c>
      <c r="D3" s="4" t="inlineStr">
        <is>
          <t>Puntos promedio recibidos (con autoevaluación)</t>
        </is>
      </c>
      <c r="E3" s="4" t="inlineStr">
        <is>
          <t>Factor con autoevaluación</t>
        </is>
      </c>
      <c r="F3" s="4" t="inlineStr">
        <is>
          <t>Puntos promedio de los demás (sin autoevaluación)</t>
        </is>
      </c>
      <c r="G3" s="4" t="inlineStr">
        <is>
          <t>Factor sin autoevaluación</t>
        </is>
      </c>
      <c r="H3" s="4" t="inlineStr">
        <is>
          <t>Factor acotado (sin autoevaluación)</t>
        </is>
      </c>
      <c r="I3" s="4" t="inlineStr">
        <is>
          <t>Nota individual sin acotar</t>
        </is>
      </c>
      <c r="J3" s="4" t="inlineStr">
        <is>
          <t>Nota individual con factor acotado</t>
        </is>
      </c>
      <c r="K3" s="4" t="inlineStr">
        <is>
          <t>Diferencia con la nota del grupo</t>
        </is>
      </c>
    </row>
    <row r="4">
      <c r="A4" t="n">
        <v>1</v>
      </c>
      <c r="B4" t="n">
        <v>1</v>
      </c>
      <c r="C4" s="3">
        <f>VLOOKUP(A4,Notas_grupales!$A$2:$B$4,2,FALSE)</f>
        <v/>
      </c>
      <c r="D4" s="5">
        <f>AVERAGEIFS(INDEX(Evaluaciones!$C$4:$F$15,0,B4),Evaluaciones!$A$4:$A$15,A4)</f>
        <v/>
      </c>
      <c r="E4" s="3">
        <f>D4*Parametros!$B$3/100</f>
        <v/>
      </c>
      <c r="F4" s="5">
        <f>(SUMIFS(INDEX(Evaluaciones!$C$4:$F$15,0,B4),Evaluaciones!$A$4:$A$15,A4)-INDEX(Evaluaciones!$C$4:$F$15,(A4-1)*4+B4,B4))/(Parametros!$B$3-1)</f>
        <v/>
      </c>
      <c r="G4" s="3">
        <f>F4*Parametros!$B$3/100</f>
        <v/>
      </c>
      <c r="H4" s="3">
        <f>MIN(Parametros!$B$5,MAX(Parametros!$B$4,G4))</f>
        <v/>
      </c>
      <c r="I4" s="3">
        <f>MIN(Parametros!$B$7,MAX(Parametros!$B$6,C4*G4))</f>
        <v/>
      </c>
      <c r="J4" s="3">
        <f>MIN(Parametros!$B$7,MAX(Parametros!$B$6,C4*H4))</f>
        <v/>
      </c>
      <c r="K4" s="3">
        <f>J4-C4</f>
        <v/>
      </c>
    </row>
    <row r="5">
      <c r="A5" t="n">
        <v>1</v>
      </c>
      <c r="B5" t="n">
        <v>2</v>
      </c>
      <c r="C5" s="3">
        <f>VLOOKUP(A5,Notas_grupales!$A$2:$B$4,2,FALSE)</f>
        <v/>
      </c>
      <c r="D5" s="5">
        <f>AVERAGEIFS(INDEX(Evaluaciones!$C$4:$F$15,0,B5),Evaluaciones!$A$4:$A$15,A5)</f>
        <v/>
      </c>
      <c r="E5" s="3">
        <f>D5*Parametros!$B$3/100</f>
        <v/>
      </c>
      <c r="F5" s="5">
        <f>(SUMIFS(INDEX(Evaluaciones!$C$4:$F$15,0,B5),Evaluaciones!$A$4:$A$15,A5)-INDEX(Evaluaciones!$C$4:$F$15,(A5-1)*4+B5,B5))/(Parametros!$B$3-1)</f>
        <v/>
      </c>
      <c r="G5" s="3">
        <f>F5*Parametros!$B$3/100</f>
        <v/>
      </c>
      <c r="H5" s="3">
        <f>MIN(Parametros!$B$5,MAX(Parametros!$B$4,G5))</f>
        <v/>
      </c>
      <c r="I5" s="3">
        <f>MIN(Parametros!$B$7,MAX(Parametros!$B$6,C5*G5))</f>
        <v/>
      </c>
      <c r="J5" s="3">
        <f>MIN(Parametros!$B$7,MAX(Parametros!$B$6,C5*H5))</f>
        <v/>
      </c>
      <c r="K5" s="3">
        <f>J5-C5</f>
        <v/>
      </c>
    </row>
    <row r="6">
      <c r="A6" t="n">
        <v>1</v>
      </c>
      <c r="B6" t="n">
        <v>3</v>
      </c>
      <c r="C6" s="3">
        <f>VLOOKUP(A6,Notas_grupales!$A$2:$B$4,2,FALSE)</f>
        <v/>
      </c>
      <c r="D6" s="5">
        <f>AVERAGEIFS(INDEX(Evaluaciones!$C$4:$F$15,0,B6),Evaluaciones!$A$4:$A$15,A6)</f>
        <v/>
      </c>
      <c r="E6" s="3">
        <f>D6*Parametros!$B$3/100</f>
        <v/>
      </c>
      <c r="F6" s="5">
        <f>(SUMIFS(INDEX(Evaluaciones!$C$4:$F$15,0,B6),Evaluaciones!$A$4:$A$15,A6)-INDEX(Evaluaciones!$C$4:$F$15,(A6-1)*4+B6,B6))/(Parametros!$B$3-1)</f>
        <v/>
      </c>
      <c r="G6" s="3">
        <f>F6*Parametros!$B$3/100</f>
        <v/>
      </c>
      <c r="H6" s="3">
        <f>MIN(Parametros!$B$5,MAX(Parametros!$B$4,G6))</f>
        <v/>
      </c>
      <c r="I6" s="3">
        <f>MIN(Parametros!$B$7,MAX(Parametros!$B$6,C6*G6))</f>
        <v/>
      </c>
      <c r="J6" s="3">
        <f>MIN(Parametros!$B$7,MAX(Parametros!$B$6,C6*H6))</f>
        <v/>
      </c>
      <c r="K6" s="3">
        <f>J6-C6</f>
        <v/>
      </c>
    </row>
    <row r="7">
      <c r="A7" t="n">
        <v>1</v>
      </c>
      <c r="B7" t="n">
        <v>4</v>
      </c>
      <c r="C7" s="3">
        <f>VLOOKUP(A7,Notas_grupales!$A$2:$B$4,2,FALSE)</f>
        <v/>
      </c>
      <c r="D7" s="5">
        <f>AVERAGEIFS(INDEX(Evaluaciones!$C$4:$F$15,0,B7),Evaluaciones!$A$4:$A$15,A7)</f>
        <v/>
      </c>
      <c r="E7" s="3">
        <f>D7*Parametros!$B$3/100</f>
        <v/>
      </c>
      <c r="F7" s="5">
        <f>(SUMIFS(INDEX(Evaluaciones!$C$4:$F$15,0,B7),Evaluaciones!$A$4:$A$15,A7)-INDEX(Evaluaciones!$C$4:$F$15,(A7-1)*4+B7,B7))/(Parametros!$B$3-1)</f>
        <v/>
      </c>
      <c r="G7" s="3">
        <f>F7*Parametros!$B$3/100</f>
        <v/>
      </c>
      <c r="H7" s="3">
        <f>MIN(Parametros!$B$5,MAX(Parametros!$B$4,G7))</f>
        <v/>
      </c>
      <c r="I7" s="3">
        <f>MIN(Parametros!$B$7,MAX(Parametros!$B$6,C7*G7))</f>
        <v/>
      </c>
      <c r="J7" s="3">
        <f>MIN(Parametros!$B$7,MAX(Parametros!$B$6,C7*H7))</f>
        <v/>
      </c>
      <c r="K7" s="3">
        <f>J7-C7</f>
        <v/>
      </c>
    </row>
    <row r="8">
      <c r="A8" t="n">
        <v>2</v>
      </c>
      <c r="B8" t="n">
        <v>1</v>
      </c>
      <c r="C8" s="3">
        <f>VLOOKUP(A8,Notas_grupales!$A$2:$B$4,2,FALSE)</f>
        <v/>
      </c>
      <c r="D8" s="5">
        <f>AVERAGEIFS(INDEX(Evaluaciones!$C$4:$F$15,0,B8),Evaluaciones!$A$4:$A$15,A8)</f>
        <v/>
      </c>
      <c r="E8" s="3">
        <f>D8*Parametros!$B$3/100</f>
        <v/>
      </c>
      <c r="F8" s="5">
        <f>(SUMIFS(INDEX(Evaluaciones!$C$4:$F$15,0,B8),Evaluaciones!$A$4:$A$15,A8)-INDEX(Evaluaciones!$C$4:$F$15,(A8-1)*4+B8,B8))/(Parametros!$B$3-1)</f>
        <v/>
      </c>
      <c r="G8" s="3">
        <f>F8*Parametros!$B$3/100</f>
        <v/>
      </c>
      <c r="H8" s="3">
        <f>MIN(Parametros!$B$5,MAX(Parametros!$B$4,G8))</f>
        <v/>
      </c>
      <c r="I8" s="3">
        <f>MIN(Parametros!$B$7,MAX(Parametros!$B$6,C8*G8))</f>
        <v/>
      </c>
      <c r="J8" s="3">
        <f>MIN(Parametros!$B$7,MAX(Parametros!$B$6,C8*H8))</f>
        <v/>
      </c>
      <c r="K8" s="3">
        <f>J8-C8</f>
        <v/>
      </c>
    </row>
    <row r="9">
      <c r="A9" t="n">
        <v>2</v>
      </c>
      <c r="B9" t="n">
        <v>2</v>
      </c>
      <c r="C9" s="3">
        <f>VLOOKUP(A9,Notas_grupales!$A$2:$B$4,2,FALSE)</f>
        <v/>
      </c>
      <c r="D9" s="5">
        <f>AVERAGEIFS(INDEX(Evaluaciones!$C$4:$F$15,0,B9),Evaluaciones!$A$4:$A$15,A9)</f>
        <v/>
      </c>
      <c r="E9" s="3">
        <f>D9*Parametros!$B$3/100</f>
        <v/>
      </c>
      <c r="F9" s="5">
        <f>(SUMIFS(INDEX(Evaluaciones!$C$4:$F$15,0,B9),Evaluaciones!$A$4:$A$15,A9)-INDEX(Evaluaciones!$C$4:$F$15,(A9-1)*4+B9,B9))/(Parametros!$B$3-1)</f>
        <v/>
      </c>
      <c r="G9" s="3">
        <f>F9*Parametros!$B$3/100</f>
        <v/>
      </c>
      <c r="H9" s="3">
        <f>MIN(Parametros!$B$5,MAX(Parametros!$B$4,G9))</f>
        <v/>
      </c>
      <c r="I9" s="3">
        <f>MIN(Parametros!$B$7,MAX(Parametros!$B$6,C9*G9))</f>
        <v/>
      </c>
      <c r="J9" s="3">
        <f>MIN(Parametros!$B$7,MAX(Parametros!$B$6,C9*H9))</f>
        <v/>
      </c>
      <c r="K9" s="3">
        <f>J9-C9</f>
        <v/>
      </c>
    </row>
    <row r="10">
      <c r="A10" t="n">
        <v>2</v>
      </c>
      <c r="B10" t="n">
        <v>3</v>
      </c>
      <c r="C10" s="3">
        <f>VLOOKUP(A10,Notas_grupales!$A$2:$B$4,2,FALSE)</f>
        <v/>
      </c>
      <c r="D10" s="5">
        <f>AVERAGEIFS(INDEX(Evaluaciones!$C$4:$F$15,0,B10),Evaluaciones!$A$4:$A$15,A10)</f>
        <v/>
      </c>
      <c r="E10" s="3">
        <f>D10*Parametros!$B$3/100</f>
        <v/>
      </c>
      <c r="F10" s="5">
        <f>(SUMIFS(INDEX(Evaluaciones!$C$4:$F$15,0,B10),Evaluaciones!$A$4:$A$15,A10)-INDEX(Evaluaciones!$C$4:$F$15,(A10-1)*4+B10,B10))/(Parametros!$B$3-1)</f>
        <v/>
      </c>
      <c r="G10" s="3">
        <f>F10*Parametros!$B$3/100</f>
        <v/>
      </c>
      <c r="H10" s="3">
        <f>MIN(Parametros!$B$5,MAX(Parametros!$B$4,G10))</f>
        <v/>
      </c>
      <c r="I10" s="3">
        <f>MIN(Parametros!$B$7,MAX(Parametros!$B$6,C10*G10))</f>
        <v/>
      </c>
      <c r="J10" s="3">
        <f>MIN(Parametros!$B$7,MAX(Parametros!$B$6,C10*H10))</f>
        <v/>
      </c>
      <c r="K10" s="3">
        <f>J10-C10</f>
        <v/>
      </c>
    </row>
    <row r="11">
      <c r="A11" t="n">
        <v>2</v>
      </c>
      <c r="B11" t="n">
        <v>4</v>
      </c>
      <c r="C11" s="3">
        <f>VLOOKUP(A11,Notas_grupales!$A$2:$B$4,2,FALSE)</f>
        <v/>
      </c>
      <c r="D11" s="5">
        <f>AVERAGEIFS(INDEX(Evaluaciones!$C$4:$F$15,0,B11),Evaluaciones!$A$4:$A$15,A11)</f>
        <v/>
      </c>
      <c r="E11" s="3">
        <f>D11*Parametros!$B$3/100</f>
        <v/>
      </c>
      <c r="F11" s="5">
        <f>(SUMIFS(INDEX(Evaluaciones!$C$4:$F$15,0,B11),Evaluaciones!$A$4:$A$15,A11)-INDEX(Evaluaciones!$C$4:$F$15,(A11-1)*4+B11,B11))/(Parametros!$B$3-1)</f>
        <v/>
      </c>
      <c r="G11" s="3">
        <f>F11*Parametros!$B$3/100</f>
        <v/>
      </c>
      <c r="H11" s="3">
        <f>MIN(Parametros!$B$5,MAX(Parametros!$B$4,G11))</f>
        <v/>
      </c>
      <c r="I11" s="3">
        <f>MIN(Parametros!$B$7,MAX(Parametros!$B$6,C11*G11))</f>
        <v/>
      </c>
      <c r="J11" s="3">
        <f>MIN(Parametros!$B$7,MAX(Parametros!$B$6,C11*H11))</f>
        <v/>
      </c>
      <c r="K11" s="3">
        <f>J11-C11</f>
        <v/>
      </c>
    </row>
    <row r="12">
      <c r="A12" t="n">
        <v>3</v>
      </c>
      <c r="B12" t="n">
        <v>1</v>
      </c>
      <c r="C12" s="3">
        <f>VLOOKUP(A12,Notas_grupales!$A$2:$B$4,2,FALSE)</f>
        <v/>
      </c>
      <c r="D12" s="5">
        <f>AVERAGEIFS(INDEX(Evaluaciones!$C$4:$F$15,0,B12),Evaluaciones!$A$4:$A$15,A12)</f>
        <v/>
      </c>
      <c r="E12" s="3">
        <f>D12*Parametros!$B$3/100</f>
        <v/>
      </c>
      <c r="F12" s="5">
        <f>(SUMIFS(INDEX(Evaluaciones!$C$4:$F$15,0,B12),Evaluaciones!$A$4:$A$15,A12)-INDEX(Evaluaciones!$C$4:$F$15,(A12-1)*4+B12,B12))/(Parametros!$B$3-1)</f>
        <v/>
      </c>
      <c r="G12" s="3">
        <f>F12*Parametros!$B$3/100</f>
        <v/>
      </c>
      <c r="H12" s="3">
        <f>MIN(Parametros!$B$5,MAX(Parametros!$B$4,G12))</f>
        <v/>
      </c>
      <c r="I12" s="3">
        <f>MIN(Parametros!$B$7,MAX(Parametros!$B$6,C12*G12))</f>
        <v/>
      </c>
      <c r="J12" s="3">
        <f>MIN(Parametros!$B$7,MAX(Parametros!$B$6,C12*H12))</f>
        <v/>
      </c>
      <c r="K12" s="3">
        <f>J12-C12</f>
        <v/>
      </c>
    </row>
    <row r="13">
      <c r="A13" t="n">
        <v>3</v>
      </c>
      <c r="B13" t="n">
        <v>2</v>
      </c>
      <c r="C13" s="3">
        <f>VLOOKUP(A13,Notas_grupales!$A$2:$B$4,2,FALSE)</f>
        <v/>
      </c>
      <c r="D13" s="5">
        <f>AVERAGEIFS(INDEX(Evaluaciones!$C$4:$F$15,0,B13),Evaluaciones!$A$4:$A$15,A13)</f>
        <v/>
      </c>
      <c r="E13" s="3">
        <f>D13*Parametros!$B$3/100</f>
        <v/>
      </c>
      <c r="F13" s="5">
        <f>(SUMIFS(INDEX(Evaluaciones!$C$4:$F$15,0,B13),Evaluaciones!$A$4:$A$15,A13)-INDEX(Evaluaciones!$C$4:$F$15,(A13-1)*4+B13,B13))/(Parametros!$B$3-1)</f>
        <v/>
      </c>
      <c r="G13" s="3">
        <f>F13*Parametros!$B$3/100</f>
        <v/>
      </c>
      <c r="H13" s="3">
        <f>MIN(Parametros!$B$5,MAX(Parametros!$B$4,G13))</f>
        <v/>
      </c>
      <c r="I13" s="3">
        <f>MIN(Parametros!$B$7,MAX(Parametros!$B$6,C13*G13))</f>
        <v/>
      </c>
      <c r="J13" s="3">
        <f>MIN(Parametros!$B$7,MAX(Parametros!$B$6,C13*H13))</f>
        <v/>
      </c>
      <c r="K13" s="3">
        <f>J13-C13</f>
        <v/>
      </c>
    </row>
    <row r="14">
      <c r="A14" t="n">
        <v>3</v>
      </c>
      <c r="B14" t="n">
        <v>3</v>
      </c>
      <c r="C14" s="3">
        <f>VLOOKUP(A14,Notas_grupales!$A$2:$B$4,2,FALSE)</f>
        <v/>
      </c>
      <c r="D14" s="5">
        <f>AVERAGEIFS(INDEX(Evaluaciones!$C$4:$F$15,0,B14),Evaluaciones!$A$4:$A$15,A14)</f>
        <v/>
      </c>
      <c r="E14" s="3">
        <f>D14*Parametros!$B$3/100</f>
        <v/>
      </c>
      <c r="F14" s="5">
        <f>(SUMIFS(INDEX(Evaluaciones!$C$4:$F$15,0,B14),Evaluaciones!$A$4:$A$15,A14)-INDEX(Evaluaciones!$C$4:$F$15,(A14-1)*4+B14,B14))/(Parametros!$B$3-1)</f>
        <v/>
      </c>
      <c r="G14" s="3">
        <f>F14*Parametros!$B$3/100</f>
        <v/>
      </c>
      <c r="H14" s="3">
        <f>MIN(Parametros!$B$5,MAX(Parametros!$B$4,G14))</f>
        <v/>
      </c>
      <c r="I14" s="3">
        <f>MIN(Parametros!$B$7,MAX(Parametros!$B$6,C14*G14))</f>
        <v/>
      </c>
      <c r="J14" s="3">
        <f>MIN(Parametros!$B$7,MAX(Parametros!$B$6,C14*H14))</f>
        <v/>
      </c>
      <c r="K14" s="3">
        <f>J14-C14</f>
        <v/>
      </c>
    </row>
    <row r="15">
      <c r="A15" t="n">
        <v>3</v>
      </c>
      <c r="B15" t="n">
        <v>4</v>
      </c>
      <c r="C15" s="3">
        <f>VLOOKUP(A15,Notas_grupales!$A$2:$B$4,2,FALSE)</f>
        <v/>
      </c>
      <c r="D15" s="5">
        <f>AVERAGEIFS(INDEX(Evaluaciones!$C$4:$F$15,0,B15),Evaluaciones!$A$4:$A$15,A15)</f>
        <v/>
      </c>
      <c r="E15" s="3">
        <f>D15*Parametros!$B$3/100</f>
        <v/>
      </c>
      <c r="F15" s="5">
        <f>(SUMIFS(INDEX(Evaluaciones!$C$4:$F$15,0,B15),Evaluaciones!$A$4:$A$15,A15)-INDEX(Evaluaciones!$C$4:$F$15,(A15-1)*4+B15,B15))/(Parametros!$B$3-1)</f>
        <v/>
      </c>
      <c r="G15" s="3">
        <f>F15*Parametros!$B$3/100</f>
        <v/>
      </c>
      <c r="H15" s="3">
        <f>MIN(Parametros!$B$5,MAX(Parametros!$B$4,G15))</f>
        <v/>
      </c>
      <c r="I15" s="3">
        <f>MIN(Parametros!$B$7,MAX(Parametros!$B$6,C15*G15))</f>
        <v/>
      </c>
      <c r="J15" s="3">
        <f>MIN(Parametros!$B$7,MAX(Parametros!$B$6,C15*H15))</f>
        <v/>
      </c>
      <c r="K15" s="3">
        <f>J15-C15</f>
        <v/>
      </c>
    </row>
  </sheetData>
  <conditionalFormatting sqref="K4:K15">
    <cfRule type="cellIs" priority="1" operator="lessThan" dxfId="0">
      <formula>-0.3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2026-10-10T17:50:25Z</dcterms:created>
  <dcterms:modified xmlns:dcterms="http://purl.org/dc/terms/" xmlns:xsi="http://www.w3.org/2001/XMLSchema-instance" xsi:type="dcterms:W3CDTF">2026-10-10T17:50:25Z</dcterms:modified>
</cp:coreProperties>
</file>