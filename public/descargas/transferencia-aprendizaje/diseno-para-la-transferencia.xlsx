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Espaciamiento" sheetId="3" state="visible" r:id="rId3"/>
    <sheet xmlns:r="http://schemas.openxmlformats.org/officeDocument/2006/relationships" name="Preguntas_pu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CFCE7"/>
          <bgColor rgb="00DCFCE7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E5E7EB"/>
          <b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2" customWidth="1" min="3" max="3"/>
    <col width="22" customWidth="1" min="4" max="4"/>
    <col width="22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DISTANCIA DE TRANSFERENCIA DE LAS TAREAS DE UNA UNIDAD (ejemplo ficticio: proporcionalidad, grado 7)</t>
        </is>
      </c>
    </row>
    <row r="2" ht="40" customHeight="1">
      <c r="A2" s="2" t="inlineStr">
        <is>
          <t>Califica cada dimensión de 0 a 2 (0 = igual a lo practicado; 1 = algo distinto; 2 = muy distinto). La suma es la distancia (0 a 10). Marco de elaboración propia inspirado en las dimensiones de contexto de la literatura sobre transferencia.</t>
        </is>
      </c>
    </row>
    <row r="4" ht="80" customHeight="1">
      <c r="A4" s="3" t="inlineStr">
        <is>
          <t>Tarea</t>
        </is>
      </c>
      <c r="B4" s="3" t="inlineStr">
        <is>
          <t>Dominio (0 mismo tipo; 1 situación cercana; 2 otra materia o vida real)</t>
        </is>
      </c>
      <c r="C4" s="3" t="inlineStr">
        <is>
          <t>Lugar (0 aula; 1 otro espacio del colegio; 2 fuera del colegio)</t>
        </is>
      </c>
      <c r="D4" s="3" t="inlineStr">
        <is>
          <t>Tiempo (0 mismo día; 1 una semana después; 2 un mes o más)</t>
        </is>
      </c>
      <c r="E4" s="3" t="inlineStr">
        <is>
          <t>Formato (0 igual; 1 distinto; 2 muy distinto o abierto)</t>
        </is>
      </c>
      <c r="F4" s="3" t="inlineStr">
        <is>
          <t>Social (0 individual; 1 parejas; 2 público real)</t>
        </is>
      </c>
      <c r="G4" s="3" t="inlineStr">
        <is>
          <t>Distancia (0-10)</t>
        </is>
      </c>
      <c r="H4" s="3" t="inlineStr">
        <is>
          <t>Nivel</t>
        </is>
      </c>
    </row>
    <row r="5">
      <c r="A5" s="4" t="inlineStr">
        <is>
          <t>Ejercicios de regla de tres del libro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>
        <f>IF(A5="","",SUM(B5:F5))</f>
        <v/>
      </c>
      <c r="H5">
        <f>IF(A5="","",IF(G5&lt;=2,"Cercana",IF(G5&lt;=5,"Intermedia","Lejana")))</f>
        <v/>
      </c>
    </row>
    <row r="6">
      <c r="A6" s="4" t="inlineStr">
        <is>
          <t>Problemas de recetas en el mismo cuaderno</t>
        </is>
      </c>
      <c r="B6" s="5" t="n">
        <v>1</v>
      </c>
      <c r="C6" s="5" t="n">
        <v>0</v>
      </c>
      <c r="D6" s="5" t="n">
        <v>0</v>
      </c>
      <c r="E6" s="5" t="n">
        <v>0</v>
      </c>
      <c r="F6" s="5" t="n">
        <v>0</v>
      </c>
      <c r="G6">
        <f>IF(A6="","",SUM(B6:F6))</f>
        <v/>
      </c>
      <c r="H6">
        <f>IF(A6="","",IF(G6&lt;=2,"Cercana",IF(G6&lt;=5,"Intermedia","Lejana")))</f>
        <v/>
      </c>
    </row>
    <row r="7">
      <c r="A7" s="4" t="inlineStr">
        <is>
          <t>Quiz oral sobre razones al día siguiente</t>
        </is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0</v>
      </c>
      <c r="G7">
        <f>IF(A7="","",SUM(B7:F7))</f>
        <v/>
      </c>
      <c r="H7">
        <f>IF(A7="","",IF(G7&lt;=2,"Cercana",IF(G7&lt;=5,"Intermedia","Lejana")))</f>
        <v/>
      </c>
    </row>
    <row r="8">
      <c r="A8" s="4" t="inlineStr">
        <is>
          <t>Problemas de mapas y escalas en parejas</t>
        </is>
      </c>
      <c r="B8" s="5" t="n">
        <v>1</v>
      </c>
      <c r="C8" s="5" t="n">
        <v>0</v>
      </c>
      <c r="D8" s="5" t="n">
        <v>0</v>
      </c>
      <c r="E8" s="5" t="n">
        <v>1</v>
      </c>
      <c r="F8" s="5" t="n">
        <v>1</v>
      </c>
      <c r="G8">
        <f>IF(A8="","",SUM(B8:F8))</f>
        <v/>
      </c>
      <c r="H8">
        <f>IF(A8="","",IF(G8&lt;=2,"Cercana",IF(G8&lt;=5,"Intermedia","Lejana")))</f>
        <v/>
      </c>
    </row>
    <row r="9">
      <c r="A9" s="4" t="inlineStr">
        <is>
          <t>Comparar precios en la tienda escolar</t>
        </is>
      </c>
      <c r="B9" s="5" t="n">
        <v>1</v>
      </c>
      <c r="C9" s="5" t="n">
        <v>1</v>
      </c>
      <c r="D9" s="5" t="n">
        <v>0</v>
      </c>
      <c r="E9" s="5" t="n">
        <v>1</v>
      </c>
      <c r="F9" s="5" t="n">
        <v>1</v>
      </c>
      <c r="G9">
        <f>IF(A9="","",SUM(B9:F9))</f>
        <v/>
      </c>
      <c r="H9">
        <f>IF(A9="","",IF(G9&lt;=2,"Cercana",IF(G9&lt;=5,"Intermedia","Lejana")))</f>
        <v/>
      </c>
    </row>
    <row r="10">
      <c r="A10" s="4" t="inlineStr">
        <is>
          <t>Repaso de proporciones una semana después, formato distinto</t>
        </is>
      </c>
      <c r="B10" s="5" t="n">
        <v>0</v>
      </c>
      <c r="C10" s="5" t="n">
        <v>0</v>
      </c>
      <c r="D10" s="5" t="n">
        <v>1</v>
      </c>
      <c r="E10" s="5" t="n">
        <v>1</v>
      </c>
      <c r="F10" s="5" t="n">
        <v>0</v>
      </c>
      <c r="G10">
        <f>IF(A10="","",SUM(B10:F10))</f>
        <v/>
      </c>
      <c r="H10">
        <f>IF(A10="","",IF(G10&lt;=2,"Cercana",IF(G10&lt;=5,"Intermedia","Lejana")))</f>
        <v/>
      </c>
    </row>
    <row r="11">
      <c r="A11" s="4" t="inlineStr">
        <is>
          <t>Calcular la dosis de un medicamento (ficticio) en ciencias</t>
        </is>
      </c>
      <c r="B11" s="5" t="n">
        <v>2</v>
      </c>
      <c r="C11" s="5" t="n">
        <v>0</v>
      </c>
      <c r="D11" s="5" t="n">
        <v>1</v>
      </c>
      <c r="E11" s="5" t="n">
        <v>1</v>
      </c>
      <c r="F11" s="5" t="n">
        <v>0</v>
      </c>
      <c r="G11">
        <f>IF(A11="","",SUM(B11:F11))</f>
        <v/>
      </c>
      <c r="H11">
        <f>IF(A11="","",IF(G11&lt;=2,"Cercana",IF(G11&lt;=5,"Intermedia","Lejana")))</f>
        <v/>
      </c>
    </row>
    <row r="12">
      <c r="A12" s="4" t="inlineStr">
        <is>
          <t>Presupuesto de un evento para otro curso</t>
        </is>
      </c>
      <c r="B12" s="5" t="n">
        <v>2</v>
      </c>
      <c r="C12" s="5" t="n">
        <v>1</v>
      </c>
      <c r="D12" s="5" t="n">
        <v>1</v>
      </c>
      <c r="E12" s="5" t="n">
        <v>2</v>
      </c>
      <c r="F12" s="5" t="n">
        <v>2</v>
      </c>
      <c r="G12">
        <f>IF(A12="","",SUM(B12:F12))</f>
        <v/>
      </c>
      <c r="H12">
        <f>IF(A12="","",IF(G12&lt;=2,"Cercana",IF(G12&lt;=5,"Intermedia","Lejana")))</f>
        <v/>
      </c>
    </row>
    <row r="13">
      <c r="A13" s="4" t="inlineStr">
        <is>
          <t>Informe de compra en un supermercado con la familia</t>
        </is>
      </c>
      <c r="B13" s="5" t="n">
        <v>2</v>
      </c>
      <c r="C13" s="5" t="n">
        <v>2</v>
      </c>
      <c r="D13" s="5" t="n">
        <v>1</v>
      </c>
      <c r="E13" s="5" t="n">
        <v>2</v>
      </c>
      <c r="F13" s="5" t="n">
        <v>1</v>
      </c>
      <c r="G13">
        <f>IF(A13="","",SUM(B13:F13))</f>
        <v/>
      </c>
      <c r="H13">
        <f>IF(A13="","",IF(G13&lt;=2,"Cercana",IF(G13&lt;=5,"Intermedia","Lejana")))</f>
        <v/>
      </c>
    </row>
    <row r="14">
      <c r="A14" s="4" t="inlineStr">
        <is>
          <t>Prueba de un mes después con problemas nuevos de otra área</t>
        </is>
      </c>
      <c r="B14" s="5" t="n">
        <v>2</v>
      </c>
      <c r="C14" s="5" t="n">
        <v>0</v>
      </c>
      <c r="D14" s="5" t="n">
        <v>2</v>
      </c>
      <c r="E14" s="5" t="n">
        <v>1</v>
      </c>
      <c r="F14" s="5" t="n">
        <v>0</v>
      </c>
      <c r="G14">
        <f>IF(A14="","",SUM(B14:F14))</f>
        <v/>
      </c>
      <c r="H14">
        <f>IF(A14="","",IF(G14&lt;=2,"Cercana",IF(G14&lt;=5,"Intermedia","Lejana")))</f>
        <v/>
      </c>
    </row>
    <row r="15">
      <c r="A15" s="4" t="n"/>
      <c r="B15" s="5" t="n"/>
      <c r="C15" s="5" t="n"/>
      <c r="D15" s="5" t="n"/>
      <c r="E15" s="5" t="n"/>
      <c r="F15" s="5" t="n"/>
      <c r="G15">
        <f>IF(A15="","",SUM(B15:F15))</f>
        <v/>
      </c>
      <c r="H15">
        <f>IF(A15="","",IF(G15&lt;=2,"Cercana",IF(G15&lt;=5,"Intermedia","Lejana")))</f>
        <v/>
      </c>
    </row>
    <row r="16">
      <c r="A16" s="4" t="n"/>
      <c r="B16" s="5" t="n"/>
      <c r="C16" s="5" t="n"/>
      <c r="D16" s="5" t="n"/>
      <c r="E16" s="5" t="n"/>
      <c r="F16" s="5" t="n"/>
      <c r="G16">
        <f>IF(A16="","",SUM(B16:F16))</f>
        <v/>
      </c>
      <c r="H16">
        <f>IF(A16="","",IF(G16&lt;=2,"Cercana",IF(G16&lt;=5,"Intermedia","Lejana")))</f>
        <v/>
      </c>
    </row>
    <row r="17">
      <c r="A17" s="4" t="n"/>
      <c r="B17" s="5" t="n"/>
      <c r="C17" s="5" t="n"/>
      <c r="D17" s="5" t="n"/>
      <c r="E17" s="5" t="n"/>
      <c r="F17" s="5" t="n"/>
      <c r="G17">
        <f>IF(A17="","",SUM(B17:F17))</f>
        <v/>
      </c>
      <c r="H17">
        <f>IF(A17="","",IF(G17&lt;=2,"Cercana",IF(G17&lt;=5,"Intermedia","Lejana")))</f>
        <v/>
      </c>
    </row>
    <row r="18">
      <c r="A18" s="4" t="n"/>
      <c r="B18" s="5" t="n"/>
      <c r="C18" s="5" t="n"/>
      <c r="D18" s="5" t="n"/>
      <c r="E18" s="5" t="n"/>
      <c r="F18" s="5" t="n"/>
      <c r="G18">
        <f>IF(A18="","",SUM(B18:F18))</f>
        <v/>
      </c>
      <c r="H18">
        <f>IF(A18="","",IF(G18&lt;=2,"Cercana",IF(G18&lt;=5,"Intermedia","Lejana")))</f>
        <v/>
      </c>
    </row>
    <row r="19">
      <c r="A19" s="4" t="n"/>
      <c r="B19" s="5" t="n"/>
      <c r="C19" s="5" t="n"/>
      <c r="D19" s="5" t="n"/>
      <c r="E19" s="5" t="n"/>
      <c r="F19" s="5" t="n"/>
      <c r="G19">
        <f>IF(A19="","",SUM(B19:F19))</f>
        <v/>
      </c>
      <c r="H19">
        <f>IF(A19="","",IF(G19&lt;=2,"Cercana",IF(G19&lt;=5,"Intermedia","Lejana")))</f>
        <v/>
      </c>
    </row>
    <row r="20">
      <c r="A20" s="4" t="n"/>
      <c r="B20" s="5" t="n"/>
      <c r="C20" s="5" t="n"/>
      <c r="D20" s="5" t="n"/>
      <c r="E20" s="5" t="n"/>
      <c r="F20" s="5" t="n"/>
      <c r="G20">
        <f>IF(A20="","",SUM(B20:F20))</f>
        <v/>
      </c>
      <c r="H20">
        <f>IF(A20="","",IF(G20&lt;=2,"Cercana",IF(G20&lt;=5,"Intermedia","Lejana")))</f>
        <v/>
      </c>
    </row>
    <row r="21">
      <c r="A21" s="4" t="n"/>
      <c r="B21" s="5" t="n"/>
      <c r="C21" s="5" t="n"/>
      <c r="D21" s="5" t="n"/>
      <c r="E21" s="5" t="n"/>
      <c r="F21" s="5" t="n"/>
      <c r="G21">
        <f>IF(A21="","",SUM(B21:F21))</f>
        <v/>
      </c>
      <c r="H21">
        <f>IF(A21="","",IF(G21&lt;=2,"Cercana",IF(G21&lt;=5,"Intermedia","Lejana")))</f>
        <v/>
      </c>
    </row>
    <row r="22">
      <c r="A22" s="4" t="n"/>
      <c r="B22" s="5" t="n"/>
      <c r="C22" s="5" t="n"/>
      <c r="D22" s="5" t="n"/>
      <c r="E22" s="5" t="n"/>
      <c r="F22" s="5" t="n"/>
      <c r="G22">
        <f>IF(A22="","",SUM(B22:F22))</f>
        <v/>
      </c>
      <c r="H22">
        <f>IF(A22="","",IF(G22&lt;=2,"Cercana",IF(G22&lt;=5,"Intermedia","Lejana")))</f>
        <v/>
      </c>
    </row>
    <row r="23">
      <c r="A23" s="4" t="n"/>
      <c r="B23" s="5" t="n"/>
      <c r="C23" s="5" t="n"/>
      <c r="D23" s="5" t="n"/>
      <c r="E23" s="5" t="n"/>
      <c r="F23" s="5" t="n"/>
      <c r="G23">
        <f>IF(A23="","",SUM(B23:F23))</f>
        <v/>
      </c>
      <c r="H23">
        <f>IF(A23="","",IF(G23&lt;=2,"Cercana",IF(G23&lt;=5,"Intermedia","Lejana")))</f>
        <v/>
      </c>
    </row>
    <row r="24">
      <c r="A24" s="4" t="n"/>
      <c r="B24" s="5" t="n"/>
      <c r="C24" s="5" t="n"/>
      <c r="D24" s="5" t="n"/>
      <c r="E24" s="5" t="n"/>
      <c r="F24" s="5" t="n"/>
      <c r="G24">
        <f>IF(A24="","",SUM(B24:F24))</f>
        <v/>
      </c>
      <c r="H24">
        <f>IF(A24="","",IF(G24&lt;=2,"Cercana",IF(G24&lt;=5,"Intermedia","Lejana")))</f>
        <v/>
      </c>
    </row>
    <row r="25">
      <c r="A25" s="4" t="n"/>
      <c r="B25" s="5" t="n"/>
      <c r="C25" s="5" t="n"/>
      <c r="D25" s="5" t="n"/>
      <c r="E25" s="5" t="n"/>
      <c r="F25" s="5" t="n"/>
      <c r="G25">
        <f>IF(A25="","",SUM(B25:F25))</f>
        <v/>
      </c>
      <c r="H25">
        <f>IF(A25="","",IF(G25&lt;=2,"Cercana",IF(G25&lt;=5,"Intermedia","Lejana")))</f>
        <v/>
      </c>
    </row>
    <row r="26">
      <c r="A26" s="4" t="n"/>
      <c r="B26" s="5" t="n"/>
      <c r="C26" s="5" t="n"/>
      <c r="D26" s="5" t="n"/>
      <c r="E26" s="5" t="n"/>
      <c r="F26" s="5" t="n"/>
      <c r="G26">
        <f>IF(A26="","",SUM(B26:F26))</f>
        <v/>
      </c>
      <c r="H26">
        <f>IF(A26="","",IF(G26&lt;=2,"Cercana",IF(G26&lt;=5,"Intermedia","Lejana")))</f>
        <v/>
      </c>
    </row>
    <row r="27">
      <c r="A27" s="4" t="n"/>
      <c r="B27" s="5" t="n"/>
      <c r="C27" s="5" t="n"/>
      <c r="D27" s="5" t="n"/>
      <c r="E27" s="5" t="n"/>
      <c r="F27" s="5" t="n"/>
      <c r="G27">
        <f>IF(A27="","",SUM(B27:F27))</f>
        <v/>
      </c>
      <c r="H27">
        <f>IF(A27="","",IF(G27&lt;=2,"Cercana",IF(G27&lt;=5,"Intermedia","Lejana")))</f>
        <v/>
      </c>
    </row>
    <row r="28">
      <c r="A28" s="4" t="n"/>
      <c r="B28" s="5" t="n"/>
      <c r="C28" s="5" t="n"/>
      <c r="D28" s="5" t="n"/>
      <c r="E28" s="5" t="n"/>
      <c r="F28" s="5" t="n"/>
      <c r="G28">
        <f>IF(A28="","",SUM(B28:F28))</f>
        <v/>
      </c>
      <c r="H28">
        <f>IF(A28="","",IF(G28&lt;=2,"Cercana",IF(G28&lt;=5,"Intermedia","Lejana")))</f>
        <v/>
      </c>
    </row>
    <row r="29">
      <c r="A29" s="4" t="n"/>
      <c r="B29" s="5" t="n"/>
      <c r="C29" s="5" t="n"/>
      <c r="D29" s="5" t="n"/>
      <c r="E29" s="5" t="n"/>
      <c r="F29" s="5" t="n"/>
      <c r="G29">
        <f>IF(A29="","",SUM(B29:F29))</f>
        <v/>
      </c>
      <c r="H29">
        <f>IF(A29="","",IF(G29&lt;=2,"Cercana",IF(G29&lt;=5,"Intermedia","Lejana")))</f>
        <v/>
      </c>
    </row>
  </sheetData>
  <conditionalFormatting sqref="H5:H29">
    <cfRule type="cellIs" priority="1" operator="equal" dxfId="0">
      <formula>"Lejana"</formula>
    </cfRule>
    <cfRule type="cellIs" priority="2" operator="equal" dxfId="1">
      <formula>"Intermedia"</formula>
    </cfRule>
    <cfRule type="cellIs" priority="3" operator="equal" dxfId="2">
      <formula>"Cercana"</formula>
    </cfRule>
  </conditionalFormatting>
  <dataValidations count="1">
    <dataValidation sqref="B5:F29" showDropDown="0" showInputMessage="0" showErrorMessage="0" allowBlank="0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</cols>
  <sheetData>
    <row r="1">
      <c r="A1" s="1" t="inlineStr">
        <is>
          <t>RESUMEN DE LA UNIDAD</t>
        </is>
      </c>
    </row>
    <row r="3">
      <c r="A3" t="inlineStr">
        <is>
          <t>Tareas</t>
        </is>
      </c>
      <c r="B3">
        <f>COUNTA(Tareas!A5:A29)</f>
        <v/>
      </c>
    </row>
    <row r="4">
      <c r="A4" t="inlineStr">
        <is>
          <t>Cercanas (distancia 0 a 2)</t>
        </is>
      </c>
      <c r="B4">
        <f>COUNTIF(Tareas!H5:H29,"Cercana")</f>
        <v/>
      </c>
    </row>
    <row r="5">
      <c r="A5" t="inlineStr">
        <is>
          <t>Intermedias (3 a 5)</t>
        </is>
      </c>
      <c r="B5">
        <f>COUNTIF(Tareas!H5:H29,"Intermedia")</f>
        <v/>
      </c>
    </row>
    <row r="6">
      <c r="A6" t="inlineStr">
        <is>
          <t>Lejanas (6 a 10)</t>
        </is>
      </c>
      <c r="B6">
        <f>COUNTIF(Tareas!H5:H29,"Lejana")</f>
        <v/>
      </c>
    </row>
    <row r="7">
      <c r="A7" t="inlineStr">
        <is>
          <t>Distancia media de la unidad</t>
        </is>
      </c>
      <c r="B7" s="6">
        <f>IF(B3=0,0,AVERAGE(Tareas!G5:G29))</f>
        <v/>
      </c>
    </row>
    <row r="8">
      <c r="A8" t="inlineStr">
        <is>
          <t>Distancia máxima</t>
        </is>
      </c>
      <c r="B8">
        <f>MAX(Tareas!G5:G29)</f>
        <v/>
      </c>
    </row>
    <row r="9">
      <c r="A9" t="inlineStr">
        <is>
          <t>Proporción de tareas lejanas</t>
        </is>
      </c>
      <c r="B9" s="7">
        <f>IF(B3=0,0,B6/B3)</f>
        <v/>
      </c>
    </row>
    <row r="10">
      <c r="A10" t="inlineStr">
        <is>
          <t>Dimensión menos variada (suma más baja)</t>
        </is>
      </c>
      <c r="B10">
        <f>INDEX({"Dominio","Lugar","Tiempo","Formato","Social"},MATCH(MIN(B13:B17),B13:B17,0))</f>
        <v/>
      </c>
    </row>
    <row r="12">
      <c r="A12" s="8" t="inlineStr">
        <is>
          <t>Suma por dimensión</t>
        </is>
      </c>
    </row>
    <row r="13">
      <c r="A13" t="inlineStr">
        <is>
          <t>Dominio</t>
        </is>
      </c>
      <c r="B13">
        <f>SUM(Tareas!B5:B29)</f>
        <v/>
      </c>
    </row>
    <row r="14">
      <c r="A14" t="inlineStr">
        <is>
          <t>Lugar</t>
        </is>
      </c>
      <c r="B14">
        <f>SUM(Tareas!C5:C29)</f>
        <v/>
      </c>
    </row>
    <row r="15">
      <c r="A15" t="inlineStr">
        <is>
          <t>Tiempo</t>
        </is>
      </c>
      <c r="B15">
        <f>SUM(Tareas!D5:D29)</f>
        <v/>
      </c>
    </row>
    <row r="16">
      <c r="A16" t="inlineStr">
        <is>
          <t>Formato</t>
        </is>
      </c>
      <c r="B16">
        <f>SUM(Tareas!E5:E29)</f>
        <v/>
      </c>
    </row>
    <row r="17">
      <c r="A17" t="inlineStr">
        <is>
          <t>Social</t>
        </is>
      </c>
      <c r="B17">
        <f>SUM(Tareas!F5:F29)</f>
        <v/>
      </c>
    </row>
    <row r="19">
      <c r="A19" t="inlineStr">
        <is>
          <t>Diagnóstico</t>
        </is>
      </c>
      <c r="B19">
        <f>IF(B3=0,"",IF(B6=0,"Ninguna tarea lejana: se practica, pero no se verifica el transferir",IF(B9&lt;0.2,"Pocas tareas lejanas","Hay tareas lejanas")))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CALENDARIO DE REPASO ESPACIADO (recuperación a 1 día, 1 semana y 1 mes; editable)</t>
        </is>
      </c>
    </row>
    <row r="2">
      <c r="A2" t="inlineStr">
        <is>
          <t>Intervalos (días):</t>
        </is>
      </c>
      <c r="C2" s="5" t="n">
        <v>1</v>
      </c>
      <c r="D2" s="5" t="n">
        <v>7</v>
      </c>
      <c r="E2" s="5" t="n">
        <v>30</v>
      </c>
    </row>
    <row r="3" ht="36" customHeight="1">
      <c r="A3" s="3" t="inlineStr">
        <is>
          <t>Tema</t>
        </is>
      </c>
      <c r="B3" s="3" t="inlineStr">
        <is>
          <t>Fecha en que se enseñó</t>
        </is>
      </c>
      <c r="C3" s="3" t="inlineStr">
        <is>
          <t>Repaso 1 (días después)</t>
        </is>
      </c>
      <c r="D3" s="3" t="inlineStr">
        <is>
          <t>Repaso 2 (días después)</t>
        </is>
      </c>
      <c r="E3" s="3" t="inlineStr">
        <is>
          <t>Repaso 3 (días después)</t>
        </is>
      </c>
      <c r="F3" s="3" t="inlineStr">
        <is>
          <t>Fecha repaso 1</t>
        </is>
      </c>
      <c r="G3" s="3" t="inlineStr">
        <is>
          <t>Fecha repaso 2</t>
        </is>
      </c>
      <c r="H3" s="3" t="inlineStr">
        <is>
          <t>Fecha repaso 3</t>
        </is>
      </c>
    </row>
    <row r="4">
      <c r="A4" s="5" t="inlineStr">
        <is>
          <t>Razones y proporciones</t>
        </is>
      </c>
      <c r="B4" s="9" t="n">
        <v>46419</v>
      </c>
      <c r="C4">
        <f>$C$2</f>
        <v/>
      </c>
      <c r="D4">
        <f>$D$2</f>
        <v/>
      </c>
      <c r="E4">
        <f>$E$2</f>
        <v/>
      </c>
      <c r="F4" s="10">
        <f>IF(B4="","",B4+C4)</f>
        <v/>
      </c>
      <c r="G4" s="10">
        <f>IF(B4="","",B4+D4)</f>
        <v/>
      </c>
      <c r="H4" s="10">
        <f>IF(B4="","",B4+E4)</f>
        <v/>
      </c>
    </row>
    <row r="5">
      <c r="A5" s="5" t="inlineStr">
        <is>
          <t>Regla de tres directa</t>
        </is>
      </c>
      <c r="B5" s="9" t="n">
        <v>46421</v>
      </c>
      <c r="C5">
        <f>$C$2</f>
        <v/>
      </c>
      <c r="D5">
        <f>$D$2</f>
        <v/>
      </c>
      <c r="E5">
        <f>$E$2</f>
        <v/>
      </c>
      <c r="F5" s="10">
        <f>IF(B5="","",B5+C5)</f>
        <v/>
      </c>
      <c r="G5" s="10">
        <f>IF(B5="","",B5+D5)</f>
        <v/>
      </c>
      <c r="H5" s="10">
        <f>IF(B5="","",B5+E5)</f>
        <v/>
      </c>
    </row>
    <row r="6">
      <c r="A6" s="5" t="inlineStr">
        <is>
          <t>Regla de tres inversa</t>
        </is>
      </c>
      <c r="B6" s="9" t="n">
        <v>46426</v>
      </c>
      <c r="C6">
        <f>$C$2</f>
        <v/>
      </c>
      <c r="D6">
        <f>$D$2</f>
        <v/>
      </c>
      <c r="E6">
        <f>$E$2</f>
        <v/>
      </c>
      <c r="F6" s="10">
        <f>IF(B6="","",B6+C6)</f>
        <v/>
      </c>
      <c r="G6" s="10">
        <f>IF(B6="","",B6+D6)</f>
        <v/>
      </c>
      <c r="H6" s="10">
        <f>IF(B6="","",B6+E6)</f>
        <v/>
      </c>
    </row>
    <row r="7">
      <c r="A7" s="5" t="inlineStr">
        <is>
          <t>Porcentajes en consumo</t>
        </is>
      </c>
      <c r="B7" s="9" t="n">
        <v>46433</v>
      </c>
      <c r="C7">
        <f>$C$2</f>
        <v/>
      </c>
      <c r="D7">
        <f>$D$2</f>
        <v/>
      </c>
      <c r="E7">
        <f>$E$2</f>
        <v/>
      </c>
      <c r="F7" s="10">
        <f>IF(B7="","",B7+C7)</f>
        <v/>
      </c>
      <c r="G7" s="10">
        <f>IF(B7="","",B7+D7)</f>
        <v/>
      </c>
      <c r="H7" s="10">
        <f>IF(B7="","",B7+E7)</f>
        <v/>
      </c>
    </row>
    <row r="8">
      <c r="A8" s="5" t="n"/>
      <c r="B8" s="9" t="n"/>
      <c r="C8">
        <f>$C$2</f>
        <v/>
      </c>
      <c r="D8">
        <f>$D$2</f>
        <v/>
      </c>
      <c r="E8">
        <f>$E$2</f>
        <v/>
      </c>
      <c r="F8" s="10">
        <f>IF(B8="","",B8+C8)</f>
        <v/>
      </c>
      <c r="G8" s="10">
        <f>IF(B8="","",B8+D8)</f>
        <v/>
      </c>
      <c r="H8" s="10">
        <f>IF(B8="","",B8+E8)</f>
        <v/>
      </c>
    </row>
    <row r="9">
      <c r="A9" s="5" t="n"/>
      <c r="B9" s="9" t="n"/>
      <c r="C9">
        <f>$C$2</f>
        <v/>
      </c>
      <c r="D9">
        <f>$D$2</f>
        <v/>
      </c>
      <c r="E9">
        <f>$E$2</f>
        <v/>
      </c>
      <c r="F9" s="10">
        <f>IF(B9="","",B9+C9)</f>
        <v/>
      </c>
      <c r="G9" s="10">
        <f>IF(B9="","",B9+D9)</f>
        <v/>
      </c>
      <c r="H9" s="10">
        <f>IF(B9="","",B9+E9)</f>
        <v/>
      </c>
    </row>
    <row r="10">
      <c r="A10" s="5" t="n"/>
      <c r="B10" s="9" t="n"/>
      <c r="C10">
        <f>$C$2</f>
        <v/>
      </c>
      <c r="D10">
        <f>$D$2</f>
        <v/>
      </c>
      <c r="E10">
        <f>$E$2</f>
        <v/>
      </c>
      <c r="F10" s="10">
        <f>IF(B10="","",B10+C10)</f>
        <v/>
      </c>
      <c r="G10" s="10">
        <f>IF(B10="","",B10+D10)</f>
        <v/>
      </c>
      <c r="H10" s="10">
        <f>IF(B10="","",B10+E10)</f>
        <v/>
      </c>
    </row>
    <row r="11">
      <c r="A11" s="5" t="n"/>
      <c r="B11" s="9" t="n"/>
      <c r="C11">
        <f>$C$2</f>
        <v/>
      </c>
      <c r="D11">
        <f>$D$2</f>
        <v/>
      </c>
      <c r="E11">
        <f>$E$2</f>
        <v/>
      </c>
      <c r="F11" s="10">
        <f>IF(B11="","",B11+C11)</f>
        <v/>
      </c>
      <c r="G11" s="10">
        <f>IF(B11="","",B11+D11)</f>
        <v/>
      </c>
      <c r="H11" s="10">
        <f>IF(B11="","",B11+E11)</f>
        <v/>
      </c>
    </row>
    <row r="12">
      <c r="A12" s="5" t="n"/>
      <c r="B12" s="9" t="n"/>
      <c r="C12">
        <f>$C$2</f>
        <v/>
      </c>
      <c r="D12">
        <f>$D$2</f>
        <v/>
      </c>
      <c r="E12">
        <f>$E$2</f>
        <v/>
      </c>
      <c r="F12" s="10">
        <f>IF(B12="","",B12+C12)</f>
        <v/>
      </c>
      <c r="G12" s="10">
        <f>IF(B12="","",B12+D12)</f>
        <v/>
      </c>
      <c r="H12" s="10">
        <f>IF(B12="","",B12+E12)</f>
        <v/>
      </c>
    </row>
    <row r="13">
      <c r="A13" s="5" t="n"/>
      <c r="B13" s="9" t="n"/>
      <c r="C13">
        <f>$C$2</f>
        <v/>
      </c>
      <c r="D13">
        <f>$D$2</f>
        <v/>
      </c>
      <c r="E13">
        <f>$E$2</f>
        <v/>
      </c>
      <c r="F13" s="10">
        <f>IF(B13="","",B13+C13)</f>
        <v/>
      </c>
      <c r="G13" s="10">
        <f>IF(B13="","",B13+D13)</f>
        <v/>
      </c>
      <c r="H13" s="10">
        <f>IF(B13="","",B13+E13)</f>
        <v/>
      </c>
    </row>
    <row r="14">
      <c r="A14" s="5" t="n"/>
      <c r="B14" s="9" t="n"/>
      <c r="C14">
        <f>$C$2</f>
        <v/>
      </c>
      <c r="D14">
        <f>$D$2</f>
        <v/>
      </c>
      <c r="E14">
        <f>$E$2</f>
        <v/>
      </c>
      <c r="F14" s="10">
        <f>IF(B14="","",B14+C14)</f>
        <v/>
      </c>
      <c r="G14" s="10">
        <f>IF(B14="","",B14+D14)</f>
        <v/>
      </c>
      <c r="H14" s="10">
        <f>IF(B14="","",B14+E14)</f>
        <v/>
      </c>
    </row>
    <row r="15">
      <c r="A15" s="5" t="n"/>
      <c r="B15" s="9" t="n"/>
      <c r="C15">
        <f>$C$2</f>
        <v/>
      </c>
      <c r="D15">
        <f>$D$2</f>
        <v/>
      </c>
      <c r="E15">
        <f>$E$2</f>
        <v/>
      </c>
      <c r="F15" s="10">
        <f>IF(B15="","",B15+C15)</f>
        <v/>
      </c>
      <c r="G15" s="10">
        <f>IF(B15="","",B15+D15)</f>
        <v/>
      </c>
      <c r="H15" s="10">
        <f>IF(B15="","",B15+E15)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4" customWidth="1" min="3" max="3"/>
  </cols>
  <sheetData>
    <row r="1">
      <c r="A1" s="1" t="inlineStr">
        <is>
          <t>PREGUNTAS PUENTE (para conectar lo aprendido con otros contextos; ajústalas a tu materia)</t>
        </is>
      </c>
    </row>
    <row r="3">
      <c r="A3" s="3" t="inlineStr">
        <is>
          <t>Tipo</t>
        </is>
      </c>
      <c r="B3" s="3" t="inlineStr">
        <is>
          <t>Pregunta</t>
        </is>
      </c>
      <c r="C3" s="3" t="inlineStr">
        <is>
          <t>Para qué sirve</t>
        </is>
      </c>
    </row>
    <row r="4">
      <c r="A4" s="2" t="inlineStr">
        <is>
          <t>Abstracción</t>
        </is>
      </c>
      <c r="B4" s="2" t="inlineStr">
        <is>
          <t>¿Qué tienen en común estos dos problemas aunque parezcan distintos?</t>
        </is>
      </c>
      <c r="C4" s="2" t="inlineStr">
        <is>
          <t>Extraer la estructura profunda</t>
        </is>
      </c>
    </row>
    <row r="5">
      <c r="A5" s="2" t="inlineStr">
        <is>
          <t>Abstracción</t>
        </is>
      </c>
      <c r="B5" s="2" t="inlineStr">
        <is>
          <t>¿Cómo explicarías la idea principal sin usar el ejemplo del libro?</t>
        </is>
      </c>
      <c r="C5" s="2" t="inlineStr">
        <is>
          <t>Separar el concepto del contexto</t>
        </is>
      </c>
    </row>
    <row r="6">
      <c r="A6" s="2" t="inlineStr">
        <is>
          <t>Conexión</t>
        </is>
      </c>
      <c r="B6" s="2" t="inlineStr">
        <is>
          <t>¿Dónde más has visto algo parecido, en otra materia o en la vida diaria?</t>
        </is>
      </c>
      <c r="C6" s="2" t="inlineStr">
        <is>
          <t>Buscar analogías</t>
        </is>
      </c>
    </row>
    <row r="7">
      <c r="A7" s="2" t="inlineStr">
        <is>
          <t>Conexión</t>
        </is>
      </c>
      <c r="B7" s="2" t="inlineStr">
        <is>
          <t>¿Qué problema de otra área se resuelve con la misma idea?</t>
        </is>
      </c>
      <c r="C7" s="2" t="inlineStr">
        <is>
          <t>Transferir a otro dominio</t>
        </is>
      </c>
    </row>
    <row r="8">
      <c r="A8" s="2" t="inlineStr">
        <is>
          <t>Anticipación</t>
        </is>
      </c>
      <c r="B8" s="2" t="inlineStr">
        <is>
          <t>¿Dónde podrías usar esto la semana que viene?</t>
        </is>
      </c>
      <c r="C8" s="2" t="inlineStr">
        <is>
          <t>Prever usos futuros</t>
        </is>
      </c>
    </row>
    <row r="9">
      <c r="A9" s="2" t="inlineStr">
        <is>
          <t>Límites</t>
        </is>
      </c>
      <c r="B9" s="2" t="inlineStr">
        <is>
          <t>¿En qué situación esta estrategia NO funcionaría y por qué?</t>
        </is>
      </c>
      <c r="C9" s="2" t="inlineStr">
        <is>
          <t>Reconocer condiciones de aplicación</t>
        </is>
      </c>
    </row>
    <row r="10">
      <c r="A10" s="2" t="inlineStr">
        <is>
          <t>Metacognición</t>
        </is>
      </c>
      <c r="B10" s="2" t="inlineStr">
        <is>
          <t>¿Cómo supiste qué estrategia usar?</t>
        </is>
      </c>
      <c r="C10" s="2" t="inlineStr">
        <is>
          <t>Hacer visible la decisión</t>
        </is>
      </c>
    </row>
    <row r="11">
      <c r="A11" s="2" t="inlineStr">
        <is>
          <t>Reflexión</t>
        </is>
      </c>
      <c r="B11" s="2" t="inlineStr">
        <is>
          <t>¿Qué cambiarías si el contexto fuera otro?</t>
        </is>
      </c>
      <c r="C11" s="2" t="inlineStr">
        <is>
          <t>Adaptar en lugar de copiar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2026-10-10T14:06:34Z</dcterms:created>
  <dcterms:modified xmlns:dcterms="http://purl.org/dc/terms/" xmlns:xsi="http://www.w3.org/2001/XMLSchema-instance" xsi:type="dcterms:W3CDTF">2026-10-10T14:06:34Z</dcterms:modified>
</cp:coreProperties>
</file>