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  <sheet xmlns:r="http://schemas.openxmlformats.org/officeDocument/2006/relationships" name="Matriz_de_permisos" sheetId="2" state="visible" r:id="rId2"/>
    <sheet xmlns:r="http://schemas.openxmlformats.org/officeDocument/2006/relationships" name="Politica_model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B4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164" fontId="0" fillId="2" borderId="0" pivotButton="0" quotePrefix="0" xfId="0"/>
    <xf numFmtId="0" fontId="2" fillId="3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top" wrapText="1"/>
    </xf>
    <xf numFmtId="164" fontId="0" fillId="2" borderId="0" applyAlignment="1" pivotButton="0" quotePrefix="0" xfId="0">
      <alignment vertical="top" wrapText="1"/>
    </xf>
    <xf numFmtId="0" fontId="0" fillId="2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2" customWidth="1" min="3" max="3"/>
    <col width="16" customWidth="1" min="4" max="4"/>
    <col width="18" customWidth="1" min="5" max="5"/>
    <col width="16" customWidth="1" min="6" max="6"/>
    <col width="20" customWidth="1" min="7" max="7"/>
    <col width="16" customWidth="1" min="8" max="8"/>
    <col width="12" customWidth="1" min="9" max="9"/>
    <col width="34" customWidth="1" min="10" max="10"/>
  </cols>
  <sheetData>
    <row r="1">
      <c r="A1" s="1" t="inlineStr">
        <is>
          <t>INVENTARIO Y DECISIÓN SOBRE EXTENSIONES DEL NAVEGADOR (ejemplos ficticios: reemplázalos con las de tu institución)</t>
        </is>
      </c>
    </row>
    <row r="2">
      <c r="A2" t="inlineStr">
        <is>
          <t>Fecha de revisión:</t>
        </is>
      </c>
      <c r="C2" s="2" t="n">
        <v>46305</v>
      </c>
    </row>
    <row r="4" ht="48" customHeight="1">
      <c r="A4" s="3" t="inlineStr">
        <is>
          <t>Extensión</t>
        </is>
      </c>
      <c r="B4" s="3" t="inlineStr">
        <is>
          <t>Para qué se usa</t>
        </is>
      </c>
      <c r="C4" s="3" t="inlineStr">
        <is>
          <t>Responsable</t>
        </is>
      </c>
      <c r="D4" s="3" t="inlineStr">
        <is>
          <t>Permisos delicados (cantidad)</t>
        </is>
      </c>
      <c r="E4" s="3" t="inlineStr">
        <is>
          <t>Actúa sobre todos los sitios (Sí/No)</t>
        </is>
      </c>
      <c r="F4" s="3" t="inlineStr">
        <is>
          <t>Última actualización</t>
        </is>
      </c>
      <c r="G4" s="3" t="inlineStr">
        <is>
          <t>Fuente conocida y confiable (Sí/No)</t>
        </is>
      </c>
      <c r="H4" s="3" t="inlineStr">
        <is>
          <t>Se justifica el uso (Sí/No)</t>
        </is>
      </c>
      <c r="I4" s="3" t="inlineStr">
        <is>
          <t>Puntaje de riesgo</t>
        </is>
      </c>
      <c r="J4" s="3" t="inlineStr">
        <is>
          <t>Decisión sugerida</t>
        </is>
      </c>
    </row>
    <row r="5">
      <c r="A5" s="4" t="inlineStr">
        <is>
          <t>Gestor de contraseñas institucional</t>
        </is>
      </c>
      <c r="B5" s="4" t="inlineStr">
        <is>
          <t>Guardar y rellenar contraseñas</t>
        </is>
      </c>
      <c r="C5" s="4" t="inlineStr">
        <is>
          <t>TI</t>
        </is>
      </c>
      <c r="D5" s="4" t="n">
        <v>1</v>
      </c>
      <c r="E5" s="4" t="inlineStr">
        <is>
          <t>Sí</t>
        </is>
      </c>
      <c r="F5" s="5" t="n">
        <v>46285</v>
      </c>
      <c r="G5" s="4" t="inlineStr">
        <is>
          <t>Sí</t>
        </is>
      </c>
      <c r="H5" s="4" t="inlineStr">
        <is>
          <t>Sí</t>
        </is>
      </c>
      <c r="I5">
        <f>D5*2+IF(E5="Sí",4,0)+IF(OR(F5="",$C$2-F5&gt;365),3,0)+IF(G5="Sí",0,3)+IF(H5="Sí",0,2)</f>
        <v/>
      </c>
      <c r="J5">
        <f>IF(I5&gt;=9,"Retirar o revisar con urgencia",IF(I5&gt;=4,"Justificar y revisar cada trimestre","Permitir"))</f>
        <v/>
      </c>
    </row>
    <row r="6">
      <c r="A6" s="4" t="inlineStr">
        <is>
          <t>Modo oscuro</t>
        </is>
      </c>
      <c r="B6" s="4" t="inlineStr">
        <is>
          <t>Comodidad visual</t>
        </is>
      </c>
      <c r="C6" s="4" t="inlineStr">
        <is>
          <t>Cada usuario</t>
        </is>
      </c>
      <c r="D6" s="4" t="n">
        <v>0</v>
      </c>
      <c r="E6" s="4" t="inlineStr">
        <is>
          <t>No</t>
        </is>
      </c>
      <c r="F6" s="5" t="n">
        <v>46174</v>
      </c>
      <c r="G6" s="4" t="inlineStr">
        <is>
          <t>Sí</t>
        </is>
      </c>
      <c r="H6" s="4" t="inlineStr">
        <is>
          <t>Sí</t>
        </is>
      </c>
      <c r="I6">
        <f>D6*2+IF(E6="Sí",4,0)+IF(OR(F6="",$C$2-F6&gt;365),3,0)+IF(G6="Sí",0,3)+IF(H6="Sí",0,2)</f>
        <v/>
      </c>
      <c r="J6">
        <f>IF(I6&gt;=9,"Retirar o revisar con urgencia",IF(I6&gt;=4,"Justificar y revisar cada trimestre","Permitir"))</f>
        <v/>
      </c>
    </row>
    <row r="7">
      <c r="A7" s="4" t="inlineStr">
        <is>
          <t>Cupones y ofertas</t>
        </is>
      </c>
      <c r="B7" s="4" t="inlineStr">
        <is>
          <t>Encontrar descuentos al comprar</t>
        </is>
      </c>
      <c r="C7" s="4" t="inlineStr">
        <is>
          <t>Nadie</t>
        </is>
      </c>
      <c r="D7" s="4" t="n">
        <v>5</v>
      </c>
      <c r="E7" s="4" t="inlineStr">
        <is>
          <t>Sí</t>
        </is>
      </c>
      <c r="F7" s="5" t="n">
        <v>45599</v>
      </c>
      <c r="G7" s="4" t="inlineStr">
        <is>
          <t>No</t>
        </is>
      </c>
      <c r="H7" s="4" t="inlineStr">
        <is>
          <t>No</t>
        </is>
      </c>
      <c r="I7">
        <f>D7*2+IF(E7="Sí",4,0)+IF(OR(F7="",$C$2-F7&gt;365),3,0)+IF(G7="Sí",0,3)+IF(H7="Sí",0,2)</f>
        <v/>
      </c>
      <c r="J7">
        <f>IF(I7&gt;=9,"Retirar o revisar con urgencia",IF(I7&gt;=4,"Justificar y revisar cada trimestre","Permitir"))</f>
        <v/>
      </c>
    </row>
    <row r="8">
      <c r="A8" s="4" t="inlineStr">
        <is>
          <t>Convertidor de PDF</t>
        </is>
      </c>
      <c r="B8" s="4" t="inlineStr">
        <is>
          <t>Convertir documentos</t>
        </is>
      </c>
      <c r="C8" s="4" t="inlineStr">
        <is>
          <t>Secretaría</t>
        </is>
      </c>
      <c r="D8" s="4" t="n">
        <v>3</v>
      </c>
      <c r="E8" s="4" t="inlineStr">
        <is>
          <t>Sí</t>
        </is>
      </c>
      <c r="F8" s="5" t="n">
        <v>46067</v>
      </c>
      <c r="G8" s="4" t="inlineStr">
        <is>
          <t>No</t>
        </is>
      </c>
      <c r="H8" s="4" t="inlineStr">
        <is>
          <t>Sí</t>
        </is>
      </c>
      <c r="I8">
        <f>D8*2+IF(E8="Sí",4,0)+IF(OR(F8="",$C$2-F8&gt;365),3,0)+IF(G8="Sí",0,3)+IF(H8="Sí",0,2)</f>
        <v/>
      </c>
      <c r="J8">
        <f>IF(I8&gt;=9,"Retirar o revisar con urgencia",IF(I8&gt;=4,"Justificar y revisar cada trimestre","Permitir"))</f>
        <v/>
      </c>
    </row>
    <row r="9">
      <c r="A9" s="4" t="inlineStr">
        <is>
          <t>Temporizador de estudio</t>
        </is>
      </c>
      <c r="B9" s="4" t="inlineStr">
        <is>
          <t>Pomodoro para estudiantes</t>
        </is>
      </c>
      <c r="C9" s="4" t="inlineStr">
        <is>
          <t>Docente de informática</t>
        </is>
      </c>
      <c r="D9" s="4" t="n">
        <v>0</v>
      </c>
      <c r="E9" s="4" t="inlineStr">
        <is>
          <t>No</t>
        </is>
      </c>
      <c r="F9" s="5" t="n">
        <v>46239</v>
      </c>
      <c r="G9" s="4" t="inlineStr">
        <is>
          <t>Sí</t>
        </is>
      </c>
      <c r="H9" s="4" t="inlineStr">
        <is>
          <t>Sí</t>
        </is>
      </c>
      <c r="I9">
        <f>D9*2+IF(E9="Sí",4,0)+IF(OR(F9="",$C$2-F9&gt;365),3,0)+IF(G9="Sí",0,3)+IF(H9="Sí",0,2)</f>
        <v/>
      </c>
      <c r="J9">
        <f>IF(I9&gt;=9,"Retirar o revisar con urgencia",IF(I9&gt;=4,"Justificar y revisar cada trimestre","Permitir"))</f>
        <v/>
      </c>
    </row>
    <row r="10">
      <c r="A10" s="6" t="n"/>
      <c r="B10" s="6" t="n"/>
      <c r="C10" s="6" t="n"/>
      <c r="D10" s="6" t="n"/>
      <c r="E10" s="6" t="n"/>
      <c r="F10" s="2" t="n"/>
      <c r="G10" s="6" t="n"/>
      <c r="H10" s="6" t="n"/>
      <c r="I10">
        <f>IF(A10="","",D10*2+IF(E10="Sí",4,0)+IF(OR(F10="",$C$2-F10&gt;365),3,0)+IF(G10="Sí",0,3)+IF(H10="Sí",0,2))</f>
        <v/>
      </c>
      <c r="J10">
        <f>IF(A10="","",IF(I10&gt;=9,"Retirar o revisar con urgencia",IF(I10&gt;=4,"Justificar y revisar cada trimestre","Permitir")))</f>
        <v/>
      </c>
    </row>
    <row r="11">
      <c r="A11" s="6" t="n"/>
      <c r="B11" s="6" t="n"/>
      <c r="C11" s="6" t="n"/>
      <c r="D11" s="6" t="n"/>
      <c r="E11" s="6" t="n"/>
      <c r="F11" s="2" t="n"/>
      <c r="G11" s="6" t="n"/>
      <c r="H11" s="6" t="n"/>
      <c r="I11">
        <f>IF(A11="","",D11*2+IF(E11="Sí",4,0)+IF(OR(F11="",$C$2-F11&gt;365),3,0)+IF(G11="Sí",0,3)+IF(H11="Sí",0,2))</f>
        <v/>
      </c>
      <c r="J11">
        <f>IF(A11="","",IF(I11&gt;=9,"Retirar o revisar con urgencia",IF(I11&gt;=4,"Justificar y revisar cada trimestre","Permitir")))</f>
        <v/>
      </c>
    </row>
    <row r="12">
      <c r="A12" s="6" t="n"/>
      <c r="B12" s="6" t="n"/>
      <c r="C12" s="6" t="n"/>
      <c r="D12" s="6" t="n"/>
      <c r="E12" s="6" t="n"/>
      <c r="F12" s="2" t="n"/>
      <c r="G12" s="6" t="n"/>
      <c r="H12" s="6" t="n"/>
      <c r="I12">
        <f>IF(A12="","",D12*2+IF(E12="Sí",4,0)+IF(OR(F12="",$C$2-F12&gt;365),3,0)+IF(G12="Sí",0,3)+IF(H12="Sí",0,2))</f>
        <v/>
      </c>
      <c r="J12">
        <f>IF(A12="","",IF(I12&gt;=9,"Retirar o revisar con urgencia",IF(I12&gt;=4,"Justificar y revisar cada trimestre","Permitir")))</f>
        <v/>
      </c>
    </row>
    <row r="13">
      <c r="A13" s="6" t="n"/>
      <c r="B13" s="6" t="n"/>
      <c r="C13" s="6" t="n"/>
      <c r="D13" s="6" t="n"/>
      <c r="E13" s="6" t="n"/>
      <c r="F13" s="2" t="n"/>
      <c r="G13" s="6" t="n"/>
      <c r="H13" s="6" t="n"/>
      <c r="I13">
        <f>IF(A13="","",D13*2+IF(E13="Sí",4,0)+IF(OR(F13="",$C$2-F13&gt;365),3,0)+IF(G13="Sí",0,3)+IF(H13="Sí",0,2))</f>
        <v/>
      </c>
      <c r="J13">
        <f>IF(A13="","",IF(I13&gt;=9,"Retirar o revisar con urgencia",IF(I13&gt;=4,"Justificar y revisar cada trimestre","Permitir")))</f>
        <v/>
      </c>
    </row>
    <row r="14">
      <c r="A14" s="6" t="n"/>
      <c r="B14" s="6" t="n"/>
      <c r="C14" s="6" t="n"/>
      <c r="D14" s="6" t="n"/>
      <c r="E14" s="6" t="n"/>
      <c r="F14" s="2" t="n"/>
      <c r="G14" s="6" t="n"/>
      <c r="H14" s="6" t="n"/>
      <c r="I14">
        <f>IF(A14="","",D14*2+IF(E14="Sí",4,0)+IF(OR(F14="",$C$2-F14&gt;365),3,0)+IF(G14="Sí",0,3)+IF(H14="Sí",0,2))</f>
        <v/>
      </c>
      <c r="J14">
        <f>IF(A14="","",IF(I14&gt;=9,"Retirar o revisar con urgencia",IF(I14&gt;=4,"Justificar y revisar cada trimestre","Permitir")))</f>
        <v/>
      </c>
    </row>
    <row r="15">
      <c r="A15" s="6" t="n"/>
      <c r="B15" s="6" t="n"/>
      <c r="C15" s="6" t="n"/>
      <c r="D15" s="6" t="n"/>
      <c r="E15" s="6" t="n"/>
      <c r="F15" s="2" t="n"/>
      <c r="G15" s="6" t="n"/>
      <c r="H15" s="6" t="n"/>
      <c r="I15">
        <f>IF(A15="","",D15*2+IF(E15="Sí",4,0)+IF(OR(F15="",$C$2-F15&gt;365),3,0)+IF(G15="Sí",0,3)+IF(H15="Sí",0,2))</f>
        <v/>
      </c>
      <c r="J15">
        <f>IF(A15="","",IF(I15&gt;=9,"Retirar o revisar con urgencia",IF(I15&gt;=4,"Justificar y revisar cada trimestre","Permitir")))</f>
        <v/>
      </c>
    </row>
    <row r="16">
      <c r="A16" s="6" t="n"/>
      <c r="B16" s="6" t="n"/>
      <c r="C16" s="6" t="n"/>
      <c r="D16" s="6" t="n"/>
      <c r="E16" s="6" t="n"/>
      <c r="F16" s="2" t="n"/>
      <c r="G16" s="6" t="n"/>
      <c r="H16" s="6" t="n"/>
      <c r="I16">
        <f>IF(A16="","",D16*2+IF(E16="Sí",4,0)+IF(OR(F16="",$C$2-F16&gt;365),3,0)+IF(G16="Sí",0,3)+IF(H16="Sí",0,2))</f>
        <v/>
      </c>
      <c r="J16">
        <f>IF(A16="","",IF(I16&gt;=9,"Retirar o revisar con urgencia",IF(I16&gt;=4,"Justificar y revisar cada trimestre","Permitir")))</f>
        <v/>
      </c>
    </row>
    <row r="17">
      <c r="A17" s="6" t="n"/>
      <c r="B17" s="6" t="n"/>
      <c r="C17" s="6" t="n"/>
      <c r="D17" s="6" t="n"/>
      <c r="E17" s="6" t="n"/>
      <c r="F17" s="2" t="n"/>
      <c r="G17" s="6" t="n"/>
      <c r="H17" s="6" t="n"/>
      <c r="I17">
        <f>IF(A17="","",D17*2+IF(E17="Sí",4,0)+IF(OR(F17="",$C$2-F17&gt;365),3,0)+IF(G17="Sí",0,3)+IF(H17="Sí",0,2))</f>
        <v/>
      </c>
      <c r="J17">
        <f>IF(A17="","",IF(I17&gt;=9,"Retirar o revisar con urgencia",IF(I17&gt;=4,"Justificar y revisar cada trimestre","Permitir")))</f>
        <v/>
      </c>
    </row>
    <row r="18">
      <c r="A18" s="6" t="n"/>
      <c r="B18" s="6" t="n"/>
      <c r="C18" s="6" t="n"/>
      <c r="D18" s="6" t="n"/>
      <c r="E18" s="6" t="n"/>
      <c r="F18" s="2" t="n"/>
      <c r="G18" s="6" t="n"/>
      <c r="H18" s="6" t="n"/>
      <c r="I18">
        <f>IF(A18="","",D18*2+IF(E18="Sí",4,0)+IF(OR(F18="",$C$2-F18&gt;365),3,0)+IF(G18="Sí",0,3)+IF(H18="Sí",0,2))</f>
        <v/>
      </c>
      <c r="J18">
        <f>IF(A18="","",IF(I18&gt;=9,"Retirar o revisar con urgencia",IF(I18&gt;=4,"Justificar y revisar cada trimestre","Permitir")))</f>
        <v/>
      </c>
    </row>
    <row r="19">
      <c r="A19" s="6" t="n"/>
      <c r="B19" s="6" t="n"/>
      <c r="C19" s="6" t="n"/>
      <c r="D19" s="6" t="n"/>
      <c r="E19" s="6" t="n"/>
      <c r="F19" s="2" t="n"/>
      <c r="G19" s="6" t="n"/>
      <c r="H19" s="6" t="n"/>
      <c r="I19">
        <f>IF(A19="","",D19*2+IF(E19="Sí",4,0)+IF(OR(F19="",$C$2-F19&gt;365),3,0)+IF(G19="Sí",0,3)+IF(H19="Sí",0,2))</f>
        <v/>
      </c>
      <c r="J19">
        <f>IF(A19="","",IF(I19&gt;=9,"Retirar o revisar con urgencia",IF(I19&gt;=4,"Justificar y revisar cada trimestre","Permitir")))</f>
        <v/>
      </c>
    </row>
    <row r="20">
      <c r="A20" s="6" t="n"/>
      <c r="B20" s="6" t="n"/>
      <c r="C20" s="6" t="n"/>
      <c r="D20" s="6" t="n"/>
      <c r="E20" s="6" t="n"/>
      <c r="F20" s="2" t="n"/>
      <c r="G20" s="6" t="n"/>
      <c r="H20" s="6" t="n"/>
      <c r="I20">
        <f>IF(A20="","",D20*2+IF(E20="Sí",4,0)+IF(OR(F20="",$C$2-F20&gt;365),3,0)+IF(G20="Sí",0,3)+IF(H20="Sí",0,2))</f>
        <v/>
      </c>
      <c r="J20">
        <f>IF(A20="","",IF(I20&gt;=9,"Retirar o revisar con urgencia",IF(I20&gt;=4,"Justificar y revisar cada trimestre","Permitir")))</f>
        <v/>
      </c>
    </row>
    <row r="21">
      <c r="A21" s="6" t="n"/>
      <c r="B21" s="6" t="n"/>
      <c r="C21" s="6" t="n"/>
      <c r="D21" s="6" t="n"/>
      <c r="E21" s="6" t="n"/>
      <c r="F21" s="2" t="n"/>
      <c r="G21" s="6" t="n"/>
      <c r="H21" s="6" t="n"/>
      <c r="I21">
        <f>IF(A21="","",D21*2+IF(E21="Sí",4,0)+IF(OR(F21="",$C$2-F21&gt;365),3,0)+IF(G21="Sí",0,3)+IF(H21="Sí",0,2))</f>
        <v/>
      </c>
      <c r="J21">
        <f>IF(A21="","",IF(I21&gt;=9,"Retirar o revisar con urgencia",IF(I21&gt;=4,"Justificar y revisar cada trimestre","Permitir")))</f>
        <v/>
      </c>
    </row>
    <row r="22">
      <c r="A22" s="6" t="n"/>
      <c r="B22" s="6" t="n"/>
      <c r="C22" s="6" t="n"/>
      <c r="D22" s="6" t="n"/>
      <c r="E22" s="6" t="n"/>
      <c r="F22" s="2" t="n"/>
      <c r="G22" s="6" t="n"/>
      <c r="H22" s="6" t="n"/>
      <c r="I22">
        <f>IF(A22="","",D22*2+IF(E22="Sí",4,0)+IF(OR(F22="",$C$2-F22&gt;365),3,0)+IF(G22="Sí",0,3)+IF(H22="Sí",0,2))</f>
        <v/>
      </c>
      <c r="J22">
        <f>IF(A22="","",IF(I22&gt;=9,"Retirar o revisar con urgencia",IF(I22&gt;=4,"Justificar y revisar cada trimestre","Permitir")))</f>
        <v/>
      </c>
    </row>
    <row r="23">
      <c r="A23" s="6" t="n"/>
      <c r="B23" s="6" t="n"/>
      <c r="C23" s="6" t="n"/>
      <c r="D23" s="6" t="n"/>
      <c r="E23" s="6" t="n"/>
      <c r="F23" s="2" t="n"/>
      <c r="G23" s="6" t="n"/>
      <c r="H23" s="6" t="n"/>
      <c r="I23">
        <f>IF(A23="","",D23*2+IF(E23="Sí",4,0)+IF(OR(F23="",$C$2-F23&gt;365),3,0)+IF(G23="Sí",0,3)+IF(H23="Sí",0,2))</f>
        <v/>
      </c>
      <c r="J23">
        <f>IF(A23="","",IF(I23&gt;=9,"Retirar o revisar con urgencia",IF(I23&gt;=4,"Justificar y revisar cada trimestre","Permitir")))</f>
        <v/>
      </c>
    </row>
    <row r="24">
      <c r="A24" s="6" t="n"/>
      <c r="B24" s="6" t="n"/>
      <c r="C24" s="6" t="n"/>
      <c r="D24" s="6" t="n"/>
      <c r="E24" s="6" t="n"/>
      <c r="F24" s="2" t="n"/>
      <c r="G24" s="6" t="n"/>
      <c r="H24" s="6" t="n"/>
      <c r="I24">
        <f>IF(A24="","",D24*2+IF(E24="Sí",4,0)+IF(OR(F24="",$C$2-F24&gt;365),3,0)+IF(G24="Sí",0,3)+IF(H24="Sí",0,2))</f>
        <v/>
      </c>
      <c r="J24">
        <f>IF(A24="","",IF(I24&gt;=9,"Retirar o revisar con urgencia",IF(I24&gt;=4,"Justificar y revisar cada trimestre","Permitir")))</f>
        <v/>
      </c>
    </row>
    <row r="27">
      <c r="A27" t="inlineStr">
        <is>
          <t>Extensiones inventariadas</t>
        </is>
      </c>
      <c r="D27">
        <f>COUNTA(A5:A25)</f>
        <v/>
      </c>
    </row>
    <row r="28">
      <c r="A28" t="inlineStr">
        <is>
          <t>A retirar o revisar con urgencia</t>
        </is>
      </c>
      <c r="D28">
        <f>COUNTIF(J5:J25,"Retirar*")</f>
        <v/>
      </c>
    </row>
    <row r="29">
      <c r="A29" t="inlineStr">
        <is>
          <t>Con acceso a todos los sitios</t>
        </is>
      </c>
      <c r="D29">
        <f>COUNTIF(E5:E25,"Sí")</f>
        <v/>
      </c>
    </row>
    <row r="31">
      <c r="A31" t="inlineStr">
        <is>
          <t>El puntaje mide cuánto podría hacer una extensión, no si es mala: un gestor de contraseñas legítimo suma puntos porque necesita acceso amplio. Decide con el contexto.</t>
        </is>
      </c>
    </row>
  </sheetData>
  <dataValidations count="1">
    <dataValidation sqref="E5:E25 G5:H25" showDropDown="0" showInputMessage="0" showErrorMessage="0" allowBlank="0" type="list">
      <formula1>"Sí,No"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min="1" max="1"/>
    <col width="44" customWidth="1" min="2" max="2"/>
    <col width="52" customWidth="1" min="3" max="3"/>
    <col width="48" customWidth="1" min="4" max="4"/>
  </cols>
  <sheetData>
    <row r="1">
      <c r="A1" s="1" t="inlineStr">
        <is>
          <t>PERMISOS DELICADOS: QUÉ PERMITEN Y CUÁNDO SON LEGÍTIMOS</t>
        </is>
      </c>
    </row>
    <row r="3">
      <c r="A3" s="7" t="inlineStr">
        <is>
          <t>Permiso (nombre en el manifiesto)</t>
        </is>
      </c>
      <c r="B3" s="7" t="inlineStr">
        <is>
          <t>Qué permite</t>
        </is>
      </c>
      <c r="C3" s="7" t="inlineStr">
        <is>
          <t>Riesgo si la extensión es maliciosa o se compromete</t>
        </is>
      </c>
      <c r="D3" s="7" t="inlineStr">
        <is>
          <t>Cuándo puede ser legítimo</t>
        </is>
      </c>
    </row>
    <row r="4">
      <c r="A4" s="8" t="inlineStr">
        <is>
          <t>Acceso a todos los sitios (&lt;all_urls&gt;, *://*/*)</t>
        </is>
      </c>
      <c r="B4" s="8" t="inlineStr">
        <is>
          <t>Leer y modificar el contenido de cualquier página que visites</t>
        </is>
      </c>
      <c r="C4" s="8" t="inlineStr">
        <is>
          <t>Ver lo que escribes, capturar datos de formularios y cambiar lo que ves</t>
        </is>
      </c>
      <c r="D4" s="8" t="inlineStr">
        <is>
          <t>Gestores de contraseñas, bloqueadores de anuncios, traductores</t>
        </is>
      </c>
    </row>
    <row r="5">
      <c r="A5" s="8" t="inlineStr">
        <is>
          <t>cookies</t>
        </is>
      </c>
      <c r="B5" s="8" t="inlineStr">
        <is>
          <t>Leer y modificar cookies de sitios</t>
        </is>
      </c>
      <c r="C5" s="8" t="inlineStr">
        <is>
          <t>Robar sesiones abiertas y suplantarte sin tu contraseña</t>
        </is>
      </c>
      <c r="D5" s="8" t="inlineStr">
        <is>
          <t>Gestores de sesiones, herramientas de privacidad</t>
        </is>
      </c>
    </row>
    <row r="6">
      <c r="A6" s="8" t="inlineStr">
        <is>
          <t>history</t>
        </is>
      </c>
      <c r="B6" s="8" t="inlineStr">
        <is>
          <t>Leer tu historial de navegación</t>
        </is>
      </c>
      <c r="C6" s="8" t="inlineStr">
        <is>
          <t>Perfilarte y vender o filtrar tus hábitos</t>
        </is>
      </c>
      <c r="D6" s="8" t="inlineStr">
        <is>
          <t>Buscadores del historial</t>
        </is>
      </c>
    </row>
    <row r="7">
      <c r="A7" s="8" t="inlineStr">
        <is>
          <t>webRequest / webRequestBlocking</t>
        </is>
      </c>
      <c r="B7" s="8" t="inlineStr">
        <is>
          <t>Ver o bloquear tráfico de red del navegador</t>
        </is>
      </c>
      <c r="C7" s="8" t="inlineStr">
        <is>
          <t>Interceptar y alterar solicitudes</t>
        </is>
      </c>
      <c r="D7" s="8" t="inlineStr">
        <is>
          <t>Bloqueadores de contenido, herramientas de seguridad</t>
        </is>
      </c>
    </row>
    <row r="8">
      <c r="A8" s="8" t="inlineStr">
        <is>
          <t>tabs</t>
        </is>
      </c>
      <c r="B8" s="8" t="inlineStr">
        <is>
          <t>Ver las direcciones y títulos de tus pestañas</t>
        </is>
      </c>
      <c r="C8" s="8" t="inlineStr">
        <is>
          <t>Conocer en qué sitios estás</t>
        </is>
      </c>
      <c r="D8" s="8" t="inlineStr">
        <is>
          <t>Gestores de pestañas</t>
        </is>
      </c>
    </row>
    <row r="9">
      <c r="A9" s="8" t="inlineStr">
        <is>
          <t>clipboardRead</t>
        </is>
      </c>
      <c r="B9" s="8" t="inlineStr">
        <is>
          <t>Leer lo que copias</t>
        </is>
      </c>
      <c r="C9" s="8" t="inlineStr">
        <is>
          <t>Capturar contraseñas, códigos y datos copiados</t>
        </is>
      </c>
      <c r="D9" s="8" t="inlineStr">
        <is>
          <t>Gestores del portapapeles</t>
        </is>
      </c>
    </row>
    <row r="10">
      <c r="A10" s="8" t="inlineStr">
        <is>
          <t>debugger / nativeMessaging</t>
        </is>
      </c>
      <c r="B10" s="8" t="inlineStr">
        <is>
          <t>Controlar el navegador o comunicarse con programas del equipo</t>
        </is>
      </c>
      <c r="C10" s="8" t="inlineStr">
        <is>
          <t>Control profundo del equipo</t>
        </is>
      </c>
      <c r="D10" s="8" t="inlineStr">
        <is>
          <t>Herramientas de desarrollo o de integración con software instalado</t>
        </is>
      </c>
    </row>
    <row r="11">
      <c r="A11" s="8" t="inlineStr">
        <is>
          <t>management</t>
        </is>
      </c>
      <c r="B11" s="8" t="inlineStr">
        <is>
          <t>Ver, activar o desactivar otras extensiones</t>
        </is>
      </c>
      <c r="C11" s="8" t="inlineStr">
        <is>
          <t>Desactivar tu protección o activar otras</t>
        </is>
      </c>
      <c r="D11" s="8" t="inlineStr">
        <is>
          <t>Gestores de extensiones</t>
        </is>
      </c>
    </row>
    <row r="12">
      <c r="A12" s="8" t="inlineStr">
        <is>
          <t>downloads</t>
        </is>
      </c>
      <c r="B12" s="8" t="inlineStr">
        <is>
          <t>Descargar y ver archivos descargados</t>
        </is>
      </c>
      <c r="C12" s="8" t="inlineStr">
        <is>
          <t>Descargar archivos maliciosos o ver tus descargas</t>
        </is>
      </c>
      <c r="D12" s="8" t="inlineStr">
        <is>
          <t>Gestores de descargas</t>
        </is>
      </c>
    </row>
    <row r="13">
      <c r="A13" s="8" t="inlineStr">
        <is>
          <t>proxy</t>
        </is>
      </c>
      <c r="B13" s="8" t="inlineStr">
        <is>
          <t>Cambiar cómo se conecta el navegador a internet</t>
        </is>
      </c>
      <c r="C13" s="8" t="inlineStr">
        <is>
          <t>Desviar todo tu tráfico por otro servidor</t>
        </is>
      </c>
      <c r="D13" s="8" t="inlineStr">
        <is>
          <t>VPN y herramientas de 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" customWidth="1" min="1" max="1"/>
    <col width="90" customWidth="1" min="2" max="2"/>
    <col width="64" customWidth="1" min="3" max="3"/>
  </cols>
  <sheetData>
    <row r="1">
      <c r="A1" s="1" t="inlineStr">
        <is>
          <t>POLÍTICA MODELO PARA EXTENSIONES (adáptala con tu asesor de TI)</t>
        </is>
      </c>
    </row>
    <row r="3">
      <c r="A3" s="7" t="inlineStr">
        <is>
          <t>#</t>
        </is>
      </c>
      <c r="B3" s="7" t="inlineStr">
        <is>
          <t>Regla</t>
        </is>
      </c>
      <c r="C3" s="7" t="inlineStr">
        <is>
          <t>Por qué</t>
        </is>
      </c>
    </row>
    <row r="4">
      <c r="A4" t="n">
        <v>1</v>
      </c>
      <c r="B4" s="8" t="inlineStr">
        <is>
          <t>Solo se instalan extensiones de una lista aprobada por TI en equipos institucionales</t>
        </is>
      </c>
      <c r="C4" s="8" t="inlineStr">
        <is>
          <t>Una extensión puede ver y cambiar lo que haces en el navegador</t>
        </is>
      </c>
    </row>
    <row r="5">
      <c r="A5" t="n">
        <v>2</v>
      </c>
      <c r="B5" s="8" t="inlineStr">
        <is>
          <t>Toda solicitud nueva indica quién la pide, para qué y qué permisos pide</t>
        </is>
      </c>
      <c r="C5" s="8" t="inlineStr">
        <is>
          <t>Si nadie la justifica, no se necesita</t>
        </is>
      </c>
    </row>
    <row r="6">
      <c r="A6" t="n">
        <v>3</v>
      </c>
      <c r="B6" s="8" t="inlineStr">
        <is>
          <t>Se prefiere la extensión con menos permisos que cumpla el trabajo</t>
        </is>
      </c>
      <c r="C6" s="8" t="inlineStr">
        <is>
          <t>Menos permisos, menos daño posible</t>
        </is>
      </c>
    </row>
    <row r="7">
      <c r="A7" t="n">
        <v>4</v>
      </c>
      <c r="B7" s="8" t="inlineStr">
        <is>
          <t>No se instalan extensiones desde fuera de la tienda oficial ni archivos sueltos</t>
        </is>
      </c>
      <c r="C7" s="8" t="inlineStr">
        <is>
          <t>Evita extensiones sin revisión</t>
        </is>
      </c>
    </row>
    <row r="8">
      <c r="A8" t="n">
        <v>5</v>
      </c>
      <c r="B8" s="8" t="inlineStr">
        <is>
          <t>Las cuentas de quienes publican extensiones propias usan verificación en dos pasos</t>
        </is>
      </c>
      <c r="C8" s="8" t="inlineStr">
        <is>
          <t>En 2024 una extensión legítima se comprometió por el phishing a su desarrollador</t>
        </is>
      </c>
    </row>
    <row r="9">
      <c r="A9" t="n">
        <v>6</v>
      </c>
      <c r="B9" s="8" t="inlineStr">
        <is>
          <t>Cada trimestre se revisa el inventario y se retira lo que no se usa o dejó de actualizarse</t>
        </is>
      </c>
      <c r="C9" s="8" t="inlineStr">
        <is>
          <t>Las extensiones abandonadas se vuelven una puerta</t>
        </is>
      </c>
    </row>
    <row r="10">
      <c r="A10" t="n">
        <v>7</v>
      </c>
      <c r="B10" s="8" t="inlineStr">
        <is>
          <t>Los equipos con datos sensibles (estudiantes, finanzas) tienen perfiles de navegador separados y limpios</t>
        </is>
      </c>
      <c r="C10" s="8" t="inlineStr">
        <is>
          <t>Aísla el riesgo</t>
        </is>
      </c>
    </row>
    <row r="11">
      <c r="A11" t="n">
        <v>8</v>
      </c>
      <c r="B11" s="8" t="inlineStr">
        <is>
          <t>Si una extensión aparece comprometida, se desinstala, se cambian las contraseñas y se revisan las sesiones abiertas</t>
        </is>
      </c>
      <c r="C11" s="8" t="inlineStr">
        <is>
          <t>Respuesta rápida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2026-10-10T12:44:37Z</dcterms:created>
  <dcterms:modified xmlns:dcterms="http://purl.org/dc/terms/" xmlns:xsi="http://www.w3.org/2001/XMLSchema-instance" xsi:type="dcterms:W3CDTF">2026-10-10T12:44:37Z</dcterms:modified>
</cp:coreProperties>
</file>