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Inventario" sheetId="3" state="visible" r:id="rId3"/>
    <sheet xmlns:r="http://schemas.openxmlformats.org/officeDocument/2006/relationships" name="Movimi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165" fontId="0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RESUMEN DE LA REVISIÓN</t>
        </is>
      </c>
    </row>
    <row r="3">
      <c r="A3" t="inlineStr">
        <is>
          <t>Activos registrados</t>
        </is>
      </c>
      <c r="B3">
        <f>COUNTA(Inventario!A4:A120)</f>
        <v/>
      </c>
    </row>
    <row r="4">
      <c r="A4" t="inlineStr">
        <is>
          <t>Activos operativos</t>
        </is>
      </c>
      <c r="B4">
        <f>COUNTIF(Inventario!H4:H120,"Operativo")</f>
        <v/>
      </c>
    </row>
    <row r="5">
      <c r="A5" t="inlineStr">
        <is>
          <t>En reparación</t>
        </is>
      </c>
      <c r="B5">
        <f>COUNTIF(Inventario!H4:H120,"En reparación")</f>
        <v/>
      </c>
    </row>
    <row r="6">
      <c r="A6" t="inlineStr">
        <is>
          <t>De baja</t>
        </is>
      </c>
      <c r="B6">
        <f>COUNTIF(Inventario!H4:H120,"Baja")</f>
        <v/>
      </c>
    </row>
    <row r="7">
      <c r="A7" t="inlineStr">
        <is>
          <t>Garantía vencida</t>
        </is>
      </c>
      <c r="B7">
        <f>COUNTIF(Inventario!J4:J120,"Vencida")</f>
        <v/>
      </c>
    </row>
    <row r="8">
      <c r="A8" t="inlineStr">
        <is>
          <t>Garantía vence pronto</t>
        </is>
      </c>
      <c r="B8">
        <f>COUNTIF(Inventario!J4:J120,"Vence pronto")</f>
        <v/>
      </c>
    </row>
    <row r="9">
      <c r="A9" t="inlineStr">
        <is>
          <t>Con vida útil cumplida (sin contar bajas)</t>
        </is>
      </c>
      <c r="B9">
        <f>COUNTIFS(Inventario!L4:L120,"Sí",Inventario!H4:H120,"&lt;&gt;Baja")</f>
        <v/>
      </c>
    </row>
    <row r="10">
      <c r="A10" t="inlineStr">
        <is>
          <t>Activos cuya ubicación o responsable no coincide con los movimientos</t>
        </is>
      </c>
      <c r="B10">
        <f>COUNTIF(Inventario!O4:O120,"No")</f>
        <v/>
      </c>
    </row>
    <row r="11">
      <c r="A11" t="inlineStr">
        <is>
          <t>Series duplicadas (filas)</t>
        </is>
      </c>
      <c r="B11">
        <f>COUNTIF(Inventario!P4:P120,"Sí")</f>
        <v/>
      </c>
    </row>
    <row r="12">
      <c r="A12" t="inlineStr">
        <is>
          <t>Activos sin movimientos</t>
        </is>
      </c>
      <c r="B12">
        <f>COUNTIF(Inventario!M4:M120,"Sin movimientos")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PARÁMETROS</t>
        </is>
      </c>
    </row>
    <row r="3">
      <c r="A3" t="inlineStr">
        <is>
          <t>Fecha de revisión</t>
        </is>
      </c>
      <c r="B3" s="2" t="n">
        <v>46412</v>
      </c>
      <c r="C3" t="inlineStr">
        <is>
          <t>En uso real escribe =HOY() (o =TODAY()).</t>
        </is>
      </c>
    </row>
    <row r="4">
      <c r="A4" t="inlineStr">
        <is>
          <t>Días de aviso antes del vencimiento de garantía</t>
        </is>
      </c>
      <c r="B4" s="3" t="n">
        <v>60</v>
      </c>
    </row>
    <row r="6">
      <c r="A6" s="4" t="inlineStr">
        <is>
          <t>Vida útil por tipo (años)</t>
        </is>
      </c>
    </row>
    <row r="7">
      <c r="A7" t="inlineStr">
        <is>
          <t>Portátil</t>
        </is>
      </c>
      <c r="B7" s="3" t="n">
        <v>4</v>
      </c>
    </row>
    <row r="8">
      <c r="A8" t="inlineStr">
        <is>
          <t>Tableta</t>
        </is>
      </c>
      <c r="B8" s="3" t="n">
        <v>3</v>
      </c>
    </row>
    <row r="9">
      <c r="A9" t="inlineStr">
        <is>
          <t>Proyector</t>
        </is>
      </c>
      <c r="B9" s="3" t="n">
        <v>5</v>
      </c>
    </row>
    <row r="10">
      <c r="A10" t="inlineStr">
        <is>
          <t>Punto de acceso</t>
        </is>
      </c>
      <c r="B10" s="3" t="n">
        <v>6</v>
      </c>
    </row>
    <row r="11">
      <c r="A11" t="inlineStr">
        <is>
          <t>Impresora</t>
        </is>
      </c>
      <c r="B11" s="3" t="n">
        <v>5</v>
      </c>
    </row>
    <row r="12">
      <c r="A12" t="inlineStr">
        <is>
          <t>PC de escritorio</t>
        </is>
      </c>
      <c r="B12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2" customWidth="1" min="4" max="4"/>
    <col width="10" customWidth="1" min="5" max="5"/>
    <col width="22" customWidth="1" min="6" max="6"/>
    <col width="22" customWidth="1" min="7" max="7"/>
    <col width="13" customWidth="1" min="8" max="8"/>
    <col width="12" customWidth="1" min="9" max="9"/>
    <col width="13" customWidth="1" min="10" max="10"/>
    <col width="12" customWidth="1" min="11" max="11"/>
    <col width="11" customWidth="1" min="12" max="12"/>
    <col width="24" customWidth="1" min="13" max="13"/>
    <col width="24" customWidth="1" min="14" max="14"/>
    <col width="12" customWidth="1" min="15" max="15"/>
    <col width="10" customWidth="1" min="16" max="16"/>
  </cols>
  <sheetData>
    <row r="1">
      <c r="A1" s="1" t="inlineStr">
        <is>
          <t>INVENTARIO DE ACTIVOS TECNOLÓGICOS (ejemplo ficticio)</t>
        </is>
      </c>
    </row>
    <row r="3" ht="52" customHeight="1">
      <c r="A3" s="5" t="inlineStr">
        <is>
          <t>ID</t>
        </is>
      </c>
      <c r="B3" s="5" t="inlineStr">
        <is>
          <t>Tipo</t>
        </is>
      </c>
      <c r="C3" s="5" t="inlineStr">
        <is>
          <t>Serie</t>
        </is>
      </c>
      <c r="D3" s="5" t="inlineStr">
        <is>
          <t>Compra</t>
        </is>
      </c>
      <c r="E3" s="5" t="inlineStr">
        <is>
          <t>Garantía (meses)</t>
        </is>
      </c>
      <c r="F3" s="5" t="inlineStr">
        <is>
          <t>Ubicación según inventario</t>
        </is>
      </c>
      <c r="G3" s="5" t="inlineStr">
        <is>
          <t>Responsable según inventario</t>
        </is>
      </c>
      <c r="H3" s="5" t="inlineStr">
        <is>
          <t>Estado</t>
        </is>
      </c>
      <c r="I3" s="5" t="inlineStr">
        <is>
          <t>Garantía vence</t>
        </is>
      </c>
      <c r="J3" s="5" t="inlineStr">
        <is>
          <t>Estado de garantía</t>
        </is>
      </c>
      <c r="K3" s="5" t="inlineStr">
        <is>
          <t>Fin de vida útil</t>
        </is>
      </c>
      <c r="L3" s="5" t="inlineStr">
        <is>
          <t>¿Vida útil cumplida?</t>
        </is>
      </c>
      <c r="M3" s="5" t="inlineStr">
        <is>
          <t>Última ubicación (movimientos)</t>
        </is>
      </c>
      <c r="N3" s="5" t="inlineStr">
        <is>
          <t>Último responsable (movimientos)</t>
        </is>
      </c>
      <c r="O3" s="5" t="inlineStr">
        <is>
          <t>Coincide con el inventario</t>
        </is>
      </c>
      <c r="P3" s="5" t="inlineStr">
        <is>
          <t>Serie duplicada</t>
        </is>
      </c>
    </row>
    <row r="4">
      <c r="A4" s="3" t="inlineStr">
        <is>
          <t>ACT-001</t>
        </is>
      </c>
      <c r="B4" s="3" t="inlineStr">
        <is>
          <t>Portátil</t>
        </is>
      </c>
      <c r="C4" s="3" t="inlineStr">
        <is>
          <t>SN-A1001</t>
        </is>
      </c>
      <c r="D4" s="2" t="n">
        <v>44602</v>
      </c>
      <c r="E4" s="3" t="n">
        <v>24</v>
      </c>
      <c r="F4" s="3" t="inlineStr">
        <is>
          <t>Sala de profesores</t>
        </is>
      </c>
      <c r="G4" s="3" t="inlineStr">
        <is>
          <t>Coordinación</t>
        </is>
      </c>
      <c r="H4" s="3" t="inlineStr">
        <is>
          <t>Operativo</t>
        </is>
      </c>
      <c r="I4" s="6">
        <f>IF(D4="","",EDATE(D4,E4))</f>
        <v/>
      </c>
      <c r="J4">
        <f>IF(D4="","",IF(I4&lt;Parametros!$B$3,"Vencida",IF(I4-Parametros!$B$3&lt;=Parametros!$B$4,"Vence pronto","Vigente")))</f>
        <v/>
      </c>
      <c r="K4" s="6">
        <f>IF(D4="","",EDATE(D4,VLOOKUP(B4,Parametros!$A$7:$B$12,2,FALSE)*12))</f>
        <v/>
      </c>
      <c r="L4">
        <f>IF(D4="","",IF(K4&lt;=Parametros!$B$3,"Sí","No"))</f>
        <v/>
      </c>
      <c r="M4">
        <f>IF(A4="","",IFERROR(LOOKUP(2,1/(Movimientos!$B$4:$B$300=A4),Movimientos!$D$4:$D$300),"Sin movimientos"))</f>
        <v/>
      </c>
      <c r="N4">
        <f>IF(A4="","",IFERROR(LOOKUP(2,1/(Movimientos!$B$4:$B$300=A4),Movimientos!$E$4:$E$300),"Sin movimientos"))</f>
        <v/>
      </c>
      <c r="O4">
        <f>IF(A4="","",IF(AND(F4=M4,G4=N4),"Sí","No"))</f>
        <v/>
      </c>
      <c r="P4">
        <f>IF(C4="","",IF(COUNTIF($C$4:$C$120,C4)&gt;1,"Sí","No"))</f>
        <v/>
      </c>
    </row>
    <row r="5">
      <c r="A5" s="3" t="inlineStr">
        <is>
          <t>ACT-002</t>
        </is>
      </c>
      <c r="B5" s="3" t="inlineStr">
        <is>
          <t>Portátil</t>
        </is>
      </c>
      <c r="C5" s="3" t="inlineStr">
        <is>
          <t>SN-A1002</t>
        </is>
      </c>
      <c r="D5" s="2" t="n">
        <v>44602</v>
      </c>
      <c r="E5" s="3" t="n">
        <v>24</v>
      </c>
      <c r="F5" s="3" t="inlineStr">
        <is>
          <t>Sala de profesores</t>
        </is>
      </c>
      <c r="G5" s="3" t="inlineStr">
        <is>
          <t>Coordinación</t>
        </is>
      </c>
      <c r="H5" s="3" t="inlineStr">
        <is>
          <t>Operativo</t>
        </is>
      </c>
      <c r="I5" s="6">
        <f>IF(D5="","",EDATE(D5,E5))</f>
        <v/>
      </c>
      <c r="J5">
        <f>IF(D5="","",IF(I5&lt;Parametros!$B$3,"Vencida",IF(I5-Parametros!$B$3&lt;=Parametros!$B$4,"Vence pronto","Vigente")))</f>
        <v/>
      </c>
      <c r="K5" s="6">
        <f>IF(D5="","",EDATE(D5,VLOOKUP(B5,Parametros!$A$7:$B$12,2,FALSE)*12))</f>
        <v/>
      </c>
      <c r="L5">
        <f>IF(D5="","",IF(K5&lt;=Parametros!$B$3,"Sí","No"))</f>
        <v/>
      </c>
      <c r="M5">
        <f>IF(A5="","",IFERROR(LOOKUP(2,1/(Movimientos!$B$4:$B$300=A5),Movimientos!$D$4:$D$300),"Sin movimientos"))</f>
        <v/>
      </c>
      <c r="N5">
        <f>IF(A5="","",IFERROR(LOOKUP(2,1/(Movimientos!$B$4:$B$300=A5),Movimientos!$E$4:$E$300),"Sin movimientos"))</f>
        <v/>
      </c>
      <c r="O5">
        <f>IF(A5="","",IF(AND(F5=M5,G5=N5),"Sí","No"))</f>
        <v/>
      </c>
      <c r="P5">
        <f>IF(C5="","",IF(COUNTIF($C$4:$C$120,C5)&gt;1,"Sí","No"))</f>
        <v/>
      </c>
    </row>
    <row r="6">
      <c r="A6" s="3" t="inlineStr">
        <is>
          <t>ACT-003</t>
        </is>
      </c>
      <c r="B6" s="3" t="inlineStr">
        <is>
          <t>Portátil</t>
        </is>
      </c>
      <c r="C6" s="3" t="inlineStr">
        <is>
          <t>SN-A1003</t>
        </is>
      </c>
      <c r="D6" s="2" t="n">
        <v>45143</v>
      </c>
      <c r="E6" s="3" t="n">
        <v>36</v>
      </c>
      <c r="F6" s="3" t="inlineStr">
        <is>
          <t>Aula 301</t>
        </is>
      </c>
      <c r="G6" s="3" t="inlineStr">
        <is>
          <t>Docente Pérez</t>
        </is>
      </c>
      <c r="H6" s="3" t="inlineStr">
        <is>
          <t>Operativo</t>
        </is>
      </c>
      <c r="I6" s="6">
        <f>IF(D6="","",EDATE(D6,E6))</f>
        <v/>
      </c>
      <c r="J6">
        <f>IF(D6="","",IF(I6&lt;Parametros!$B$3,"Vencida",IF(I6-Parametros!$B$3&lt;=Parametros!$B$4,"Vence pronto","Vigente")))</f>
        <v/>
      </c>
      <c r="K6" s="6">
        <f>IF(D6="","",EDATE(D6,VLOOKUP(B6,Parametros!$A$7:$B$12,2,FALSE)*12))</f>
        <v/>
      </c>
      <c r="L6">
        <f>IF(D6="","",IF(K6&lt;=Parametros!$B$3,"Sí","No"))</f>
        <v/>
      </c>
      <c r="M6">
        <f>IF(A6="","",IFERROR(LOOKUP(2,1/(Movimientos!$B$4:$B$300=A6),Movimientos!$D$4:$D$300),"Sin movimientos"))</f>
        <v/>
      </c>
      <c r="N6">
        <f>IF(A6="","",IFERROR(LOOKUP(2,1/(Movimientos!$B$4:$B$300=A6),Movimientos!$E$4:$E$300),"Sin movimientos"))</f>
        <v/>
      </c>
      <c r="O6">
        <f>IF(A6="","",IF(AND(F6=M6,G6=N6),"Sí","No"))</f>
        <v/>
      </c>
      <c r="P6">
        <f>IF(C6="","",IF(COUNTIF($C$4:$C$120,C6)&gt;1,"Sí","No"))</f>
        <v/>
      </c>
    </row>
    <row r="7">
      <c r="A7" s="3" t="inlineStr">
        <is>
          <t>ACT-004</t>
        </is>
      </c>
      <c r="B7" s="3" t="inlineStr">
        <is>
          <t>Portátil</t>
        </is>
      </c>
      <c r="C7" s="3" t="inlineStr">
        <is>
          <t>SN-A1004</t>
        </is>
      </c>
      <c r="D7" s="2" t="n">
        <v>46096</v>
      </c>
      <c r="E7" s="3" t="n">
        <v>36</v>
      </c>
      <c r="F7" s="3" t="inlineStr">
        <is>
          <t>Rectoría</t>
        </is>
      </c>
      <c r="G7" s="3" t="inlineStr">
        <is>
          <t>Rectoría</t>
        </is>
      </c>
      <c r="H7" s="3" t="inlineStr">
        <is>
          <t>Operativo</t>
        </is>
      </c>
      <c r="I7" s="6">
        <f>IF(D7="","",EDATE(D7,E7))</f>
        <v/>
      </c>
      <c r="J7">
        <f>IF(D7="","",IF(I7&lt;Parametros!$B$3,"Vencida",IF(I7-Parametros!$B$3&lt;=Parametros!$B$4,"Vence pronto","Vigente")))</f>
        <v/>
      </c>
      <c r="K7" s="6">
        <f>IF(D7="","",EDATE(D7,VLOOKUP(B7,Parametros!$A$7:$B$12,2,FALSE)*12))</f>
        <v/>
      </c>
      <c r="L7">
        <f>IF(D7="","",IF(K7&lt;=Parametros!$B$3,"Sí","No"))</f>
        <v/>
      </c>
      <c r="M7">
        <f>IF(A7="","",IFERROR(LOOKUP(2,1/(Movimientos!$B$4:$B$300=A7),Movimientos!$D$4:$D$300),"Sin movimientos"))</f>
        <v/>
      </c>
      <c r="N7">
        <f>IF(A7="","",IFERROR(LOOKUP(2,1/(Movimientos!$B$4:$B$300=A7),Movimientos!$E$4:$E$300),"Sin movimientos"))</f>
        <v/>
      </c>
      <c r="O7">
        <f>IF(A7="","",IF(AND(F7=M7,G7=N7),"Sí","No"))</f>
        <v/>
      </c>
      <c r="P7">
        <f>IF(C7="","",IF(COUNTIF($C$4:$C$120,C7)&gt;1,"Sí","No"))</f>
        <v/>
      </c>
    </row>
    <row r="8">
      <c r="A8" s="3" t="inlineStr">
        <is>
          <t>ACT-005</t>
        </is>
      </c>
      <c r="B8" s="3" t="inlineStr">
        <is>
          <t>Tableta</t>
        </is>
      </c>
      <c r="C8" s="3" t="inlineStr">
        <is>
          <t>SN-B2001</t>
        </is>
      </c>
      <c r="D8" s="2" t="n">
        <v>45066</v>
      </c>
      <c r="E8" s="3" t="n">
        <v>12</v>
      </c>
      <c r="F8" s="3" t="inlineStr">
        <is>
          <t>Carro de tabletas</t>
        </is>
      </c>
      <c r="G8" s="3" t="inlineStr">
        <is>
          <t>Biblioteca</t>
        </is>
      </c>
      <c r="H8" s="3" t="inlineStr">
        <is>
          <t>Operativo</t>
        </is>
      </c>
      <c r="I8" s="6">
        <f>IF(D8="","",EDATE(D8,E8))</f>
        <v/>
      </c>
      <c r="J8">
        <f>IF(D8="","",IF(I8&lt;Parametros!$B$3,"Vencida",IF(I8-Parametros!$B$3&lt;=Parametros!$B$4,"Vence pronto","Vigente")))</f>
        <v/>
      </c>
      <c r="K8" s="6">
        <f>IF(D8="","",EDATE(D8,VLOOKUP(B8,Parametros!$A$7:$B$12,2,FALSE)*12))</f>
        <v/>
      </c>
      <c r="L8">
        <f>IF(D8="","",IF(K8&lt;=Parametros!$B$3,"Sí","No"))</f>
        <v/>
      </c>
      <c r="M8">
        <f>IF(A8="","",IFERROR(LOOKUP(2,1/(Movimientos!$B$4:$B$300=A8),Movimientos!$D$4:$D$300),"Sin movimientos"))</f>
        <v/>
      </c>
      <c r="N8">
        <f>IF(A8="","",IFERROR(LOOKUP(2,1/(Movimientos!$B$4:$B$300=A8),Movimientos!$E$4:$E$300),"Sin movimientos"))</f>
        <v/>
      </c>
      <c r="O8">
        <f>IF(A8="","",IF(AND(F8=M8,G8=N8),"Sí","No"))</f>
        <v/>
      </c>
      <c r="P8">
        <f>IF(C8="","",IF(COUNTIF($C$4:$C$120,C8)&gt;1,"Sí","No"))</f>
        <v/>
      </c>
    </row>
    <row r="9">
      <c r="A9" s="3" t="inlineStr">
        <is>
          <t>ACT-006</t>
        </is>
      </c>
      <c r="B9" s="3" t="inlineStr">
        <is>
          <t>Tableta</t>
        </is>
      </c>
      <c r="C9" s="3" t="inlineStr">
        <is>
          <t>SN-B2002</t>
        </is>
      </c>
      <c r="D9" s="2" t="n">
        <v>45066</v>
      </c>
      <c r="E9" s="3" t="n">
        <v>12</v>
      </c>
      <c r="F9" s="3" t="inlineStr">
        <is>
          <t>Carro de tabletas</t>
        </is>
      </c>
      <c r="G9" s="3" t="inlineStr">
        <is>
          <t>Biblioteca</t>
        </is>
      </c>
      <c r="H9" s="3" t="inlineStr">
        <is>
          <t>Operativo</t>
        </is>
      </c>
      <c r="I9" s="6">
        <f>IF(D9="","",EDATE(D9,E9))</f>
        <v/>
      </c>
      <c r="J9">
        <f>IF(D9="","",IF(I9&lt;Parametros!$B$3,"Vencida",IF(I9-Parametros!$B$3&lt;=Parametros!$B$4,"Vence pronto","Vigente")))</f>
        <v/>
      </c>
      <c r="K9" s="6">
        <f>IF(D9="","",EDATE(D9,VLOOKUP(B9,Parametros!$A$7:$B$12,2,FALSE)*12))</f>
        <v/>
      </c>
      <c r="L9">
        <f>IF(D9="","",IF(K9&lt;=Parametros!$B$3,"Sí","No"))</f>
        <v/>
      </c>
      <c r="M9">
        <f>IF(A9="","",IFERROR(LOOKUP(2,1/(Movimientos!$B$4:$B$300=A9),Movimientos!$D$4:$D$300),"Sin movimientos"))</f>
        <v/>
      </c>
      <c r="N9">
        <f>IF(A9="","",IFERROR(LOOKUP(2,1/(Movimientos!$B$4:$B$300=A9),Movimientos!$E$4:$E$300),"Sin movimientos"))</f>
        <v/>
      </c>
      <c r="O9">
        <f>IF(A9="","",IF(AND(F9=M9,G9=N9),"Sí","No"))</f>
        <v/>
      </c>
      <c r="P9">
        <f>IF(C9="","",IF(COUNTIF($C$4:$C$120,C9)&gt;1,"Sí","No"))</f>
        <v/>
      </c>
    </row>
    <row r="10">
      <c r="A10" s="3" t="inlineStr">
        <is>
          <t>ACT-007</t>
        </is>
      </c>
      <c r="B10" s="3" t="inlineStr">
        <is>
          <t>Tableta</t>
        </is>
      </c>
      <c r="C10" s="3" t="inlineStr">
        <is>
          <t>SN-B2003</t>
        </is>
      </c>
      <c r="D10" s="2" t="n">
        <v>45066</v>
      </c>
      <c r="E10" s="3" t="n">
        <v>12</v>
      </c>
      <c r="F10" s="3" t="inlineStr">
        <is>
          <t>Carro de tabletas</t>
        </is>
      </c>
      <c r="G10" s="3" t="inlineStr">
        <is>
          <t>Biblioteca</t>
        </is>
      </c>
      <c r="H10" s="3" t="inlineStr">
        <is>
          <t>En reparación</t>
        </is>
      </c>
      <c r="I10" s="6">
        <f>IF(D10="","",EDATE(D10,E10))</f>
        <v/>
      </c>
      <c r="J10">
        <f>IF(D10="","",IF(I10&lt;Parametros!$B$3,"Vencida",IF(I10-Parametros!$B$3&lt;=Parametros!$B$4,"Vence pronto","Vigente")))</f>
        <v/>
      </c>
      <c r="K10" s="6">
        <f>IF(D10="","",EDATE(D10,VLOOKUP(B10,Parametros!$A$7:$B$12,2,FALSE)*12))</f>
        <v/>
      </c>
      <c r="L10">
        <f>IF(D10="","",IF(K10&lt;=Parametros!$B$3,"Sí","No"))</f>
        <v/>
      </c>
      <c r="M10">
        <f>IF(A10="","",IFERROR(LOOKUP(2,1/(Movimientos!$B$4:$B$300=A10),Movimientos!$D$4:$D$300),"Sin movimientos"))</f>
        <v/>
      </c>
      <c r="N10">
        <f>IF(A10="","",IFERROR(LOOKUP(2,1/(Movimientos!$B$4:$B$300=A10),Movimientos!$E$4:$E$300),"Sin movimientos"))</f>
        <v/>
      </c>
      <c r="O10">
        <f>IF(A10="","",IF(AND(F10=M10,G10=N10),"Sí","No"))</f>
        <v/>
      </c>
      <c r="P10">
        <f>IF(C10="","",IF(COUNTIF($C$4:$C$120,C10)&gt;1,"Sí","No"))</f>
        <v/>
      </c>
    </row>
    <row r="11">
      <c r="A11" s="3" t="inlineStr">
        <is>
          <t>ACT-008</t>
        </is>
      </c>
      <c r="B11" s="3" t="inlineStr">
        <is>
          <t>Proyector</t>
        </is>
      </c>
      <c r="C11" s="3" t="inlineStr">
        <is>
          <t>SN-C3001</t>
        </is>
      </c>
      <c r="D11" s="2" t="n">
        <v>44440</v>
      </c>
      <c r="E11" s="3" t="n">
        <v>24</v>
      </c>
      <c r="F11" s="3" t="inlineStr">
        <is>
          <t>Aula 201</t>
        </is>
      </c>
      <c r="G11" s="3" t="inlineStr">
        <is>
          <t>Docente Gómez</t>
        </is>
      </c>
      <c r="H11" s="3" t="inlineStr">
        <is>
          <t>Operativo</t>
        </is>
      </c>
      <c r="I11" s="6">
        <f>IF(D11="","",EDATE(D11,E11))</f>
        <v/>
      </c>
      <c r="J11">
        <f>IF(D11="","",IF(I11&lt;Parametros!$B$3,"Vencida",IF(I11-Parametros!$B$3&lt;=Parametros!$B$4,"Vence pronto","Vigente")))</f>
        <v/>
      </c>
      <c r="K11" s="6">
        <f>IF(D11="","",EDATE(D11,VLOOKUP(B11,Parametros!$A$7:$B$12,2,FALSE)*12))</f>
        <v/>
      </c>
      <c r="L11">
        <f>IF(D11="","",IF(K11&lt;=Parametros!$B$3,"Sí","No"))</f>
        <v/>
      </c>
      <c r="M11">
        <f>IF(A11="","",IFERROR(LOOKUP(2,1/(Movimientos!$B$4:$B$300=A11),Movimientos!$D$4:$D$300),"Sin movimientos"))</f>
        <v/>
      </c>
      <c r="N11">
        <f>IF(A11="","",IFERROR(LOOKUP(2,1/(Movimientos!$B$4:$B$300=A11),Movimientos!$E$4:$E$300),"Sin movimientos"))</f>
        <v/>
      </c>
      <c r="O11">
        <f>IF(A11="","",IF(AND(F11=M11,G11=N11),"Sí","No"))</f>
        <v/>
      </c>
      <c r="P11">
        <f>IF(C11="","",IF(COUNTIF($C$4:$C$120,C11)&gt;1,"Sí","No"))</f>
        <v/>
      </c>
    </row>
    <row r="12">
      <c r="A12" s="3" t="inlineStr">
        <is>
          <t>ACT-009</t>
        </is>
      </c>
      <c r="B12" s="3" t="inlineStr">
        <is>
          <t>Proyector</t>
        </is>
      </c>
      <c r="C12" s="3" t="inlineStr">
        <is>
          <t>SN-C3002</t>
        </is>
      </c>
      <c r="D12" s="2" t="n">
        <v>44440</v>
      </c>
      <c r="E12" s="3" t="n">
        <v>24</v>
      </c>
      <c r="F12" s="3" t="inlineStr">
        <is>
          <t>Aula 202</t>
        </is>
      </c>
      <c r="G12" s="3" t="inlineStr">
        <is>
          <t>Docente Rojas</t>
        </is>
      </c>
      <c r="H12" s="3" t="inlineStr">
        <is>
          <t>Operativo</t>
        </is>
      </c>
      <c r="I12" s="6">
        <f>IF(D12="","",EDATE(D12,E12))</f>
        <v/>
      </c>
      <c r="J12">
        <f>IF(D12="","",IF(I12&lt;Parametros!$B$3,"Vencida",IF(I12-Parametros!$B$3&lt;=Parametros!$B$4,"Vence pronto","Vigente")))</f>
        <v/>
      </c>
      <c r="K12" s="6">
        <f>IF(D12="","",EDATE(D12,VLOOKUP(B12,Parametros!$A$7:$B$12,2,FALSE)*12))</f>
        <v/>
      </c>
      <c r="L12">
        <f>IF(D12="","",IF(K12&lt;=Parametros!$B$3,"Sí","No"))</f>
        <v/>
      </c>
      <c r="M12">
        <f>IF(A12="","",IFERROR(LOOKUP(2,1/(Movimientos!$B$4:$B$300=A12),Movimientos!$D$4:$D$300),"Sin movimientos"))</f>
        <v/>
      </c>
      <c r="N12">
        <f>IF(A12="","",IFERROR(LOOKUP(2,1/(Movimientos!$B$4:$B$300=A12),Movimientos!$E$4:$E$300),"Sin movimientos"))</f>
        <v/>
      </c>
      <c r="O12">
        <f>IF(A12="","",IF(AND(F12=M12,G12=N12),"Sí","No"))</f>
        <v/>
      </c>
      <c r="P12">
        <f>IF(C12="","",IF(COUNTIF($C$4:$C$120,C12)&gt;1,"Sí","No"))</f>
        <v/>
      </c>
    </row>
    <row r="13">
      <c r="A13" s="3" t="inlineStr">
        <is>
          <t>ACT-010</t>
        </is>
      </c>
      <c r="B13" s="3" t="inlineStr">
        <is>
          <t>Proyector</t>
        </is>
      </c>
      <c r="C13" s="3" t="inlineStr">
        <is>
          <t>SN-C3003</t>
        </is>
      </c>
      <c r="D13" s="2" t="n">
        <v>45608</v>
      </c>
      <c r="E13" s="3" t="n">
        <v>36</v>
      </c>
      <c r="F13" s="3" t="inlineStr">
        <is>
          <t>Aula 203</t>
        </is>
      </c>
      <c r="G13" s="3" t="inlineStr">
        <is>
          <t>Docente Díaz</t>
        </is>
      </c>
      <c r="H13" s="3" t="inlineStr">
        <is>
          <t>Operativo</t>
        </is>
      </c>
      <c r="I13" s="6">
        <f>IF(D13="","",EDATE(D13,E13))</f>
        <v/>
      </c>
      <c r="J13">
        <f>IF(D13="","",IF(I13&lt;Parametros!$B$3,"Vencida",IF(I13-Parametros!$B$3&lt;=Parametros!$B$4,"Vence pronto","Vigente")))</f>
        <v/>
      </c>
      <c r="K13" s="6">
        <f>IF(D13="","",EDATE(D13,VLOOKUP(B13,Parametros!$A$7:$B$12,2,FALSE)*12))</f>
        <v/>
      </c>
      <c r="L13">
        <f>IF(D13="","",IF(K13&lt;=Parametros!$B$3,"Sí","No"))</f>
        <v/>
      </c>
      <c r="M13">
        <f>IF(A13="","",IFERROR(LOOKUP(2,1/(Movimientos!$B$4:$B$300=A13),Movimientos!$D$4:$D$300),"Sin movimientos"))</f>
        <v/>
      </c>
      <c r="N13">
        <f>IF(A13="","",IFERROR(LOOKUP(2,1/(Movimientos!$B$4:$B$300=A13),Movimientos!$E$4:$E$300),"Sin movimientos"))</f>
        <v/>
      </c>
      <c r="O13">
        <f>IF(A13="","",IF(AND(F13=M13,G13=N13),"Sí","No"))</f>
        <v/>
      </c>
      <c r="P13">
        <f>IF(C13="","",IF(COUNTIF($C$4:$C$120,C13)&gt;1,"Sí","No"))</f>
        <v/>
      </c>
    </row>
    <row r="14">
      <c r="A14" s="3" t="inlineStr">
        <is>
          <t>ACT-011</t>
        </is>
      </c>
      <c r="B14" s="3" t="inlineStr">
        <is>
          <t>Punto de acceso</t>
        </is>
      </c>
      <c r="C14" s="3" t="inlineStr">
        <is>
          <t>SN-D4001</t>
        </is>
      </c>
      <c r="D14" s="2" t="n">
        <v>44012</v>
      </c>
      <c r="E14" s="3" t="n">
        <v>24</v>
      </c>
      <c r="F14" s="3" t="inlineStr">
        <is>
          <t>Pasillo piso 2</t>
        </is>
      </c>
      <c r="G14" s="3" t="inlineStr">
        <is>
          <t>Sistemas</t>
        </is>
      </c>
      <c r="H14" s="3" t="inlineStr">
        <is>
          <t>Operativo</t>
        </is>
      </c>
      <c r="I14" s="6">
        <f>IF(D14="","",EDATE(D14,E14))</f>
        <v/>
      </c>
      <c r="J14">
        <f>IF(D14="","",IF(I14&lt;Parametros!$B$3,"Vencida",IF(I14-Parametros!$B$3&lt;=Parametros!$B$4,"Vence pronto","Vigente")))</f>
        <v/>
      </c>
      <c r="K14" s="6">
        <f>IF(D14="","",EDATE(D14,VLOOKUP(B14,Parametros!$A$7:$B$12,2,FALSE)*12))</f>
        <v/>
      </c>
      <c r="L14">
        <f>IF(D14="","",IF(K14&lt;=Parametros!$B$3,"Sí","No"))</f>
        <v/>
      </c>
      <c r="M14">
        <f>IF(A14="","",IFERROR(LOOKUP(2,1/(Movimientos!$B$4:$B$300=A14),Movimientos!$D$4:$D$300),"Sin movimientos"))</f>
        <v/>
      </c>
      <c r="N14">
        <f>IF(A14="","",IFERROR(LOOKUP(2,1/(Movimientos!$B$4:$B$300=A14),Movimientos!$E$4:$E$300),"Sin movimientos"))</f>
        <v/>
      </c>
      <c r="O14">
        <f>IF(A14="","",IF(AND(F14=M14,G14=N14),"Sí","No"))</f>
        <v/>
      </c>
      <c r="P14">
        <f>IF(C14="","",IF(COUNTIF($C$4:$C$120,C14)&gt;1,"Sí","No"))</f>
        <v/>
      </c>
    </row>
    <row r="15">
      <c r="A15" s="3" t="inlineStr">
        <is>
          <t>ACT-012</t>
        </is>
      </c>
      <c r="B15" s="3" t="inlineStr">
        <is>
          <t>Punto de acceso</t>
        </is>
      </c>
      <c r="C15" s="3" t="inlineStr">
        <is>
          <t>SN-D4002</t>
        </is>
      </c>
      <c r="D15" s="2" t="n">
        <v>45481</v>
      </c>
      <c r="E15" s="3" t="n">
        <v>36</v>
      </c>
      <c r="F15" s="3" t="inlineStr">
        <is>
          <t>Pasillo piso 1</t>
        </is>
      </c>
      <c r="G15" s="3" t="inlineStr">
        <is>
          <t>Sistemas</t>
        </is>
      </c>
      <c r="H15" s="3" t="inlineStr">
        <is>
          <t>Operativo</t>
        </is>
      </c>
      <c r="I15" s="6">
        <f>IF(D15="","",EDATE(D15,E15))</f>
        <v/>
      </c>
      <c r="J15">
        <f>IF(D15="","",IF(I15&lt;Parametros!$B$3,"Vencida",IF(I15-Parametros!$B$3&lt;=Parametros!$B$4,"Vence pronto","Vigente")))</f>
        <v/>
      </c>
      <c r="K15" s="6">
        <f>IF(D15="","",EDATE(D15,VLOOKUP(B15,Parametros!$A$7:$B$12,2,FALSE)*12))</f>
        <v/>
      </c>
      <c r="L15">
        <f>IF(D15="","",IF(K15&lt;=Parametros!$B$3,"Sí","No"))</f>
        <v/>
      </c>
      <c r="M15">
        <f>IF(A15="","",IFERROR(LOOKUP(2,1/(Movimientos!$B$4:$B$300=A15),Movimientos!$D$4:$D$300),"Sin movimientos"))</f>
        <v/>
      </c>
      <c r="N15">
        <f>IF(A15="","",IFERROR(LOOKUP(2,1/(Movimientos!$B$4:$B$300=A15),Movimientos!$E$4:$E$300),"Sin movimientos"))</f>
        <v/>
      </c>
      <c r="O15">
        <f>IF(A15="","",IF(AND(F15=M15,G15=N15),"Sí","No"))</f>
        <v/>
      </c>
      <c r="P15">
        <f>IF(C15="","",IF(COUNTIF($C$4:$C$120,C15)&gt;1,"Sí","No"))</f>
        <v/>
      </c>
    </row>
    <row r="16">
      <c r="A16" s="3" t="inlineStr">
        <is>
          <t>ACT-013</t>
        </is>
      </c>
      <c r="B16" s="3" t="inlineStr">
        <is>
          <t>Impresora</t>
        </is>
      </c>
      <c r="C16" s="3" t="inlineStr">
        <is>
          <t>SN-E5001</t>
        </is>
      </c>
      <c r="D16" s="2" t="n">
        <v>44578</v>
      </c>
      <c r="E16" s="3" t="n">
        <v>12</v>
      </c>
      <c r="F16" s="3" t="inlineStr">
        <is>
          <t>Secretaría</t>
        </is>
      </c>
      <c r="G16" s="3" t="inlineStr">
        <is>
          <t>Secretaría</t>
        </is>
      </c>
      <c r="H16" s="3" t="inlineStr">
        <is>
          <t>Operativo</t>
        </is>
      </c>
      <c r="I16" s="6">
        <f>IF(D16="","",EDATE(D16,E16))</f>
        <v/>
      </c>
      <c r="J16">
        <f>IF(D16="","",IF(I16&lt;Parametros!$B$3,"Vencida",IF(I16-Parametros!$B$3&lt;=Parametros!$B$4,"Vence pronto","Vigente")))</f>
        <v/>
      </c>
      <c r="K16" s="6">
        <f>IF(D16="","",EDATE(D16,VLOOKUP(B16,Parametros!$A$7:$B$12,2,FALSE)*12))</f>
        <v/>
      </c>
      <c r="L16">
        <f>IF(D16="","",IF(K16&lt;=Parametros!$B$3,"Sí","No"))</f>
        <v/>
      </c>
      <c r="M16">
        <f>IF(A16="","",IFERROR(LOOKUP(2,1/(Movimientos!$B$4:$B$300=A16),Movimientos!$D$4:$D$300),"Sin movimientos"))</f>
        <v/>
      </c>
      <c r="N16">
        <f>IF(A16="","",IFERROR(LOOKUP(2,1/(Movimientos!$B$4:$B$300=A16),Movimientos!$E$4:$E$300),"Sin movimientos"))</f>
        <v/>
      </c>
      <c r="O16">
        <f>IF(A16="","",IF(AND(F16=M16,G16=N16),"Sí","No"))</f>
        <v/>
      </c>
      <c r="P16">
        <f>IF(C16="","",IF(COUNTIF($C$4:$C$120,C16)&gt;1,"Sí","No"))</f>
        <v/>
      </c>
    </row>
    <row r="17">
      <c r="A17" s="3" t="inlineStr">
        <is>
          <t>ACT-014</t>
        </is>
      </c>
      <c r="B17" s="3" t="inlineStr">
        <is>
          <t>Impresora</t>
        </is>
      </c>
      <c r="C17" s="3" t="inlineStr">
        <is>
          <t>SN-E5002</t>
        </is>
      </c>
      <c r="D17" s="2" t="n">
        <v>45769</v>
      </c>
      <c r="E17" s="3" t="n">
        <v>12</v>
      </c>
      <c r="F17" s="3" t="inlineStr">
        <is>
          <t>Coordinación</t>
        </is>
      </c>
      <c r="G17" s="3" t="inlineStr">
        <is>
          <t>Coordinación</t>
        </is>
      </c>
      <c r="H17" s="3" t="inlineStr">
        <is>
          <t>Operativo</t>
        </is>
      </c>
      <c r="I17" s="6">
        <f>IF(D17="","",EDATE(D17,E17))</f>
        <v/>
      </c>
      <c r="J17">
        <f>IF(D17="","",IF(I17&lt;Parametros!$B$3,"Vencida",IF(I17-Parametros!$B$3&lt;=Parametros!$B$4,"Vence pronto","Vigente")))</f>
        <v/>
      </c>
      <c r="K17" s="6">
        <f>IF(D17="","",EDATE(D17,VLOOKUP(B17,Parametros!$A$7:$B$12,2,FALSE)*12))</f>
        <v/>
      </c>
      <c r="L17">
        <f>IF(D17="","",IF(K17&lt;=Parametros!$B$3,"Sí","No"))</f>
        <v/>
      </c>
      <c r="M17">
        <f>IF(A17="","",IFERROR(LOOKUP(2,1/(Movimientos!$B$4:$B$300=A17),Movimientos!$D$4:$D$300),"Sin movimientos"))</f>
        <v/>
      </c>
      <c r="N17">
        <f>IF(A17="","",IFERROR(LOOKUP(2,1/(Movimientos!$B$4:$B$300=A17),Movimientos!$E$4:$E$300),"Sin movimientos"))</f>
        <v/>
      </c>
      <c r="O17">
        <f>IF(A17="","",IF(AND(F17=M17,G17=N17),"Sí","No"))</f>
        <v/>
      </c>
      <c r="P17">
        <f>IF(C17="","",IF(COUNTIF($C$4:$C$120,C17)&gt;1,"Sí","No"))</f>
        <v/>
      </c>
    </row>
    <row r="18">
      <c r="A18" s="3" t="inlineStr">
        <is>
          <t>ACT-015</t>
        </is>
      </c>
      <c r="B18" s="3" t="inlineStr">
        <is>
          <t>PC de escritorio</t>
        </is>
      </c>
      <c r="C18" s="3" t="inlineStr">
        <is>
          <t>SN-F6001</t>
        </is>
      </c>
      <c r="D18" s="2" t="n">
        <v>44118</v>
      </c>
      <c r="E18" s="3" t="n">
        <v>36</v>
      </c>
      <c r="F18" s="3" t="inlineStr">
        <is>
          <t>Sala de sistemas</t>
        </is>
      </c>
      <c r="G18" s="3" t="inlineStr">
        <is>
          <t>Sistemas</t>
        </is>
      </c>
      <c r="H18" s="3" t="inlineStr">
        <is>
          <t>Operativo</t>
        </is>
      </c>
      <c r="I18" s="6">
        <f>IF(D18="","",EDATE(D18,E18))</f>
        <v/>
      </c>
      <c r="J18">
        <f>IF(D18="","",IF(I18&lt;Parametros!$B$3,"Vencida",IF(I18-Parametros!$B$3&lt;=Parametros!$B$4,"Vence pronto","Vigente")))</f>
        <v/>
      </c>
      <c r="K18" s="6">
        <f>IF(D18="","",EDATE(D18,VLOOKUP(B18,Parametros!$A$7:$B$12,2,FALSE)*12))</f>
        <v/>
      </c>
      <c r="L18">
        <f>IF(D18="","",IF(K18&lt;=Parametros!$B$3,"Sí","No"))</f>
        <v/>
      </c>
      <c r="M18">
        <f>IF(A18="","",IFERROR(LOOKUP(2,1/(Movimientos!$B$4:$B$300=A18),Movimientos!$D$4:$D$300),"Sin movimientos"))</f>
        <v/>
      </c>
      <c r="N18">
        <f>IF(A18="","",IFERROR(LOOKUP(2,1/(Movimientos!$B$4:$B$300=A18),Movimientos!$E$4:$E$300),"Sin movimientos"))</f>
        <v/>
      </c>
      <c r="O18">
        <f>IF(A18="","",IF(AND(F18=M18,G18=N18),"Sí","No"))</f>
        <v/>
      </c>
      <c r="P18">
        <f>IF(C18="","",IF(COUNTIF($C$4:$C$120,C18)&gt;1,"Sí","No"))</f>
        <v/>
      </c>
    </row>
    <row r="19">
      <c r="A19" s="3" t="inlineStr">
        <is>
          <t>ACT-016</t>
        </is>
      </c>
      <c r="B19" s="3" t="inlineStr">
        <is>
          <t>PC de escritorio</t>
        </is>
      </c>
      <c r="C19" s="3" t="inlineStr">
        <is>
          <t>SN-F6002</t>
        </is>
      </c>
      <c r="D19" s="2" t="n">
        <v>44118</v>
      </c>
      <c r="E19" s="3" t="n">
        <v>36</v>
      </c>
      <c r="F19" s="3" t="inlineStr">
        <is>
          <t>Sala de sistemas</t>
        </is>
      </c>
      <c r="G19" s="3" t="inlineStr">
        <is>
          <t>Sistemas</t>
        </is>
      </c>
      <c r="H19" s="3" t="inlineStr">
        <is>
          <t>Operativo</t>
        </is>
      </c>
      <c r="I19" s="6">
        <f>IF(D19="","",EDATE(D19,E19))</f>
        <v/>
      </c>
      <c r="J19">
        <f>IF(D19="","",IF(I19&lt;Parametros!$B$3,"Vencida",IF(I19-Parametros!$B$3&lt;=Parametros!$B$4,"Vence pronto","Vigente")))</f>
        <v/>
      </c>
      <c r="K19" s="6">
        <f>IF(D19="","",EDATE(D19,VLOOKUP(B19,Parametros!$A$7:$B$12,2,FALSE)*12))</f>
        <v/>
      </c>
      <c r="L19">
        <f>IF(D19="","",IF(K19&lt;=Parametros!$B$3,"Sí","No"))</f>
        <v/>
      </c>
      <c r="M19">
        <f>IF(A19="","",IFERROR(LOOKUP(2,1/(Movimientos!$B$4:$B$300=A19),Movimientos!$D$4:$D$300),"Sin movimientos"))</f>
        <v/>
      </c>
      <c r="N19">
        <f>IF(A19="","",IFERROR(LOOKUP(2,1/(Movimientos!$B$4:$B$300=A19),Movimientos!$E$4:$E$300),"Sin movimientos"))</f>
        <v/>
      </c>
      <c r="O19">
        <f>IF(A19="","",IF(AND(F19=M19,G19=N19),"Sí","No"))</f>
        <v/>
      </c>
      <c r="P19">
        <f>IF(C19="","",IF(COUNTIF($C$4:$C$120,C19)&gt;1,"Sí","No"))</f>
        <v/>
      </c>
    </row>
    <row r="20">
      <c r="A20" s="3" t="inlineStr">
        <is>
          <t>ACT-017</t>
        </is>
      </c>
      <c r="B20" s="3" t="inlineStr">
        <is>
          <t>PC de escritorio</t>
        </is>
      </c>
      <c r="C20" s="3" t="inlineStr">
        <is>
          <t>SN-F6003</t>
        </is>
      </c>
      <c r="D20" s="2" t="n">
        <v>44118</v>
      </c>
      <c r="E20" s="3" t="n">
        <v>36</v>
      </c>
      <c r="F20" s="3" t="inlineStr">
        <is>
          <t>Sala de sistemas</t>
        </is>
      </c>
      <c r="G20" s="3" t="inlineStr">
        <is>
          <t>Sistemas</t>
        </is>
      </c>
      <c r="H20" s="3" t="inlineStr">
        <is>
          <t>Baja</t>
        </is>
      </c>
      <c r="I20" s="6">
        <f>IF(D20="","",EDATE(D20,E20))</f>
        <v/>
      </c>
      <c r="J20">
        <f>IF(D20="","",IF(I20&lt;Parametros!$B$3,"Vencida",IF(I20-Parametros!$B$3&lt;=Parametros!$B$4,"Vence pronto","Vigente")))</f>
        <v/>
      </c>
      <c r="K20" s="6">
        <f>IF(D20="","",EDATE(D20,VLOOKUP(B20,Parametros!$A$7:$B$12,2,FALSE)*12))</f>
        <v/>
      </c>
      <c r="L20">
        <f>IF(D20="","",IF(K20&lt;=Parametros!$B$3,"Sí","No"))</f>
        <v/>
      </c>
      <c r="M20">
        <f>IF(A20="","",IFERROR(LOOKUP(2,1/(Movimientos!$B$4:$B$300=A20),Movimientos!$D$4:$D$300),"Sin movimientos"))</f>
        <v/>
      </c>
      <c r="N20">
        <f>IF(A20="","",IFERROR(LOOKUP(2,1/(Movimientos!$B$4:$B$300=A20),Movimientos!$E$4:$E$300),"Sin movimientos"))</f>
        <v/>
      </c>
      <c r="O20">
        <f>IF(A20="","",IF(AND(F20=M20,G20=N20),"Sí","No"))</f>
        <v/>
      </c>
      <c r="P20">
        <f>IF(C20="","",IF(COUNTIF($C$4:$C$120,C20)&gt;1,"Sí","No"))</f>
        <v/>
      </c>
    </row>
    <row r="21">
      <c r="A21" s="3" t="inlineStr">
        <is>
          <t>ACT-018</t>
        </is>
      </c>
      <c r="B21" s="3" t="inlineStr">
        <is>
          <t>Portátil</t>
        </is>
      </c>
      <c r="C21" s="3" t="inlineStr">
        <is>
          <t>SN-A1005</t>
        </is>
      </c>
      <c r="D21" s="2" t="n">
        <v>45903</v>
      </c>
      <c r="E21" s="3" t="n">
        <v>18</v>
      </c>
      <c r="F21" s="3" t="inlineStr">
        <is>
          <t>Aula 302</t>
        </is>
      </c>
      <c r="G21" s="3" t="inlineStr">
        <is>
          <t>Docente Torres</t>
        </is>
      </c>
      <c r="H21" s="3" t="inlineStr">
        <is>
          <t>Operativo</t>
        </is>
      </c>
      <c r="I21" s="6">
        <f>IF(D21="","",EDATE(D21,E21))</f>
        <v/>
      </c>
      <c r="J21">
        <f>IF(D21="","",IF(I21&lt;Parametros!$B$3,"Vencida",IF(I21-Parametros!$B$3&lt;=Parametros!$B$4,"Vence pronto","Vigente")))</f>
        <v/>
      </c>
      <c r="K21" s="6">
        <f>IF(D21="","",EDATE(D21,VLOOKUP(B21,Parametros!$A$7:$B$12,2,FALSE)*12))</f>
        <v/>
      </c>
      <c r="L21">
        <f>IF(D21="","",IF(K21&lt;=Parametros!$B$3,"Sí","No"))</f>
        <v/>
      </c>
      <c r="M21">
        <f>IF(A21="","",IFERROR(LOOKUP(2,1/(Movimientos!$B$4:$B$300=A21),Movimientos!$D$4:$D$300),"Sin movimientos"))</f>
        <v/>
      </c>
      <c r="N21">
        <f>IF(A21="","",IFERROR(LOOKUP(2,1/(Movimientos!$B$4:$B$300=A21),Movimientos!$E$4:$E$300),"Sin movimientos"))</f>
        <v/>
      </c>
      <c r="O21">
        <f>IF(A21="","",IF(AND(F21=M21,G21=N21),"Sí","No"))</f>
        <v/>
      </c>
      <c r="P21">
        <f>IF(C21="","",IF(COUNTIF($C$4:$C$120,C21)&gt;1,"Sí","No"))</f>
        <v/>
      </c>
    </row>
    <row r="22">
      <c r="A22" s="3" t="inlineStr">
        <is>
          <t>ACT-019</t>
        </is>
      </c>
      <c r="B22" s="3" t="inlineStr">
        <is>
          <t>Tableta</t>
        </is>
      </c>
      <c r="C22" s="3" t="inlineStr">
        <is>
          <t>SN-B2004</t>
        </is>
      </c>
      <c r="D22" s="2" t="n">
        <v>45699</v>
      </c>
      <c r="E22" s="3" t="n">
        <v>24</v>
      </c>
      <c r="F22" s="3" t="inlineStr">
        <is>
          <t>Carro de tabletas</t>
        </is>
      </c>
      <c r="G22" s="3" t="inlineStr">
        <is>
          <t>Biblioteca</t>
        </is>
      </c>
      <c r="H22" s="3" t="inlineStr">
        <is>
          <t>Operativo</t>
        </is>
      </c>
      <c r="I22" s="6">
        <f>IF(D22="","",EDATE(D22,E22))</f>
        <v/>
      </c>
      <c r="J22">
        <f>IF(D22="","",IF(I22&lt;Parametros!$B$3,"Vencida",IF(I22-Parametros!$B$3&lt;=Parametros!$B$4,"Vence pronto","Vigente")))</f>
        <v/>
      </c>
      <c r="K22" s="6">
        <f>IF(D22="","",EDATE(D22,VLOOKUP(B22,Parametros!$A$7:$B$12,2,FALSE)*12))</f>
        <v/>
      </c>
      <c r="L22">
        <f>IF(D22="","",IF(K22&lt;=Parametros!$B$3,"Sí","No"))</f>
        <v/>
      </c>
      <c r="M22">
        <f>IF(A22="","",IFERROR(LOOKUP(2,1/(Movimientos!$B$4:$B$300=A22),Movimientos!$D$4:$D$300),"Sin movimientos"))</f>
        <v/>
      </c>
      <c r="N22">
        <f>IF(A22="","",IFERROR(LOOKUP(2,1/(Movimientos!$B$4:$B$300=A22),Movimientos!$E$4:$E$300),"Sin movimientos"))</f>
        <v/>
      </c>
      <c r="O22">
        <f>IF(A22="","",IF(AND(F22=M22,G22=N22),"Sí","No"))</f>
        <v/>
      </c>
      <c r="P22">
        <f>IF(C22="","",IF(COUNTIF($C$4:$C$120,C22)&gt;1,"Sí","No"))</f>
        <v/>
      </c>
    </row>
    <row r="23">
      <c r="A23" s="3" t="inlineStr">
        <is>
          <t>ACT-020</t>
        </is>
      </c>
      <c r="B23" s="3" t="inlineStr">
        <is>
          <t>Proyector</t>
        </is>
      </c>
      <c r="C23" s="3" t="inlineStr">
        <is>
          <t>SN-C3004</t>
        </is>
      </c>
      <c r="D23" s="2" t="n">
        <v>45814</v>
      </c>
      <c r="E23" s="3" t="n">
        <v>24</v>
      </c>
      <c r="F23" s="3" t="inlineStr">
        <is>
          <t>Aula 204</t>
        </is>
      </c>
      <c r="G23" s="3" t="inlineStr">
        <is>
          <t>Docente Vega</t>
        </is>
      </c>
      <c r="H23" s="3" t="inlineStr">
        <is>
          <t>Operativo</t>
        </is>
      </c>
      <c r="I23" s="6">
        <f>IF(D23="","",EDATE(D23,E23))</f>
        <v/>
      </c>
      <c r="J23">
        <f>IF(D23="","",IF(I23&lt;Parametros!$B$3,"Vencida",IF(I23-Parametros!$B$3&lt;=Parametros!$B$4,"Vence pronto","Vigente")))</f>
        <v/>
      </c>
      <c r="K23" s="6">
        <f>IF(D23="","",EDATE(D23,VLOOKUP(B23,Parametros!$A$7:$B$12,2,FALSE)*12))</f>
        <v/>
      </c>
      <c r="L23">
        <f>IF(D23="","",IF(K23&lt;=Parametros!$B$3,"Sí","No"))</f>
        <v/>
      </c>
      <c r="M23">
        <f>IF(A23="","",IFERROR(LOOKUP(2,1/(Movimientos!$B$4:$B$300=A23),Movimientos!$D$4:$D$300),"Sin movimientos"))</f>
        <v/>
      </c>
      <c r="N23">
        <f>IF(A23="","",IFERROR(LOOKUP(2,1/(Movimientos!$B$4:$B$300=A23),Movimientos!$E$4:$E$300),"Sin movimientos"))</f>
        <v/>
      </c>
      <c r="O23">
        <f>IF(A23="","",IF(AND(F23=M23,G23=N23),"Sí","No"))</f>
        <v/>
      </c>
      <c r="P23">
        <f>IF(C23="","",IF(COUNTIF($C$4:$C$120,C23)&gt;1,"Sí","No"))</f>
        <v/>
      </c>
    </row>
    <row r="24">
      <c r="A24" s="3" t="n"/>
      <c r="B24" s="3" t="n"/>
      <c r="C24" s="3" t="n"/>
      <c r="D24" s="2" t="n"/>
      <c r="E24" s="3" t="n"/>
      <c r="F24" s="3" t="n"/>
      <c r="G24" s="3" t="n"/>
      <c r="H24" s="3" t="n"/>
      <c r="I24" s="6">
        <f>IF(D24="","",EDATE(D24,E24))</f>
        <v/>
      </c>
      <c r="J24">
        <f>IF(D24="","",IF(I24&lt;Parametros!$B$3,"Vencida",IF(I24-Parametros!$B$3&lt;=Parametros!$B$4,"Vence pronto","Vigente")))</f>
        <v/>
      </c>
      <c r="K24" s="6">
        <f>IF(D24="","",EDATE(D24,VLOOKUP(B24,Parametros!$A$7:$B$12,2,FALSE)*12))</f>
        <v/>
      </c>
      <c r="L24">
        <f>IF(D24="","",IF(K24&lt;=Parametros!$B$3,"Sí","No"))</f>
        <v/>
      </c>
      <c r="M24">
        <f>IF(A24="","",IFERROR(LOOKUP(2,1/(Movimientos!$B$4:$B$300=A24),Movimientos!$D$4:$D$300),"Sin movimientos"))</f>
        <v/>
      </c>
      <c r="N24">
        <f>IF(A24="","",IFERROR(LOOKUP(2,1/(Movimientos!$B$4:$B$300=A24),Movimientos!$E$4:$E$300),"Sin movimientos"))</f>
        <v/>
      </c>
      <c r="O24">
        <f>IF(A24="","",IF(AND(F24=M24,G24=N24),"Sí","No"))</f>
        <v/>
      </c>
      <c r="P24">
        <f>IF(C24="","",IF(COUNTIF($C$4:$C$120,C24)&gt;1,"Sí","No"))</f>
        <v/>
      </c>
    </row>
    <row r="25">
      <c r="A25" s="3" t="n"/>
      <c r="B25" s="3" t="n"/>
      <c r="C25" s="3" t="n"/>
      <c r="D25" s="2" t="n"/>
      <c r="E25" s="3" t="n"/>
      <c r="F25" s="3" t="n"/>
      <c r="G25" s="3" t="n"/>
      <c r="H25" s="3" t="n"/>
      <c r="I25" s="6">
        <f>IF(D25="","",EDATE(D25,E25))</f>
        <v/>
      </c>
      <c r="J25">
        <f>IF(D25="","",IF(I25&lt;Parametros!$B$3,"Vencida",IF(I25-Parametros!$B$3&lt;=Parametros!$B$4,"Vence pronto","Vigente")))</f>
        <v/>
      </c>
      <c r="K25" s="6">
        <f>IF(D25="","",EDATE(D25,VLOOKUP(B25,Parametros!$A$7:$B$12,2,FALSE)*12))</f>
        <v/>
      </c>
      <c r="L25">
        <f>IF(D25="","",IF(K25&lt;=Parametros!$B$3,"Sí","No"))</f>
        <v/>
      </c>
      <c r="M25">
        <f>IF(A25="","",IFERROR(LOOKUP(2,1/(Movimientos!$B$4:$B$300=A25),Movimientos!$D$4:$D$300),"Sin movimientos"))</f>
        <v/>
      </c>
      <c r="N25">
        <f>IF(A25="","",IFERROR(LOOKUP(2,1/(Movimientos!$B$4:$B$300=A25),Movimientos!$E$4:$E$300),"Sin movimientos"))</f>
        <v/>
      </c>
      <c r="O25">
        <f>IF(A25="","",IF(AND(F25=M25,G25=N25),"Sí","No"))</f>
        <v/>
      </c>
      <c r="P25">
        <f>IF(C25="","",IF(COUNTIF($C$4:$C$120,C25)&gt;1,"Sí","No"))</f>
        <v/>
      </c>
    </row>
    <row r="26">
      <c r="A26" s="3" t="n"/>
      <c r="B26" s="3" t="n"/>
      <c r="C26" s="3" t="n"/>
      <c r="D26" s="2" t="n"/>
      <c r="E26" s="3" t="n"/>
      <c r="F26" s="3" t="n"/>
      <c r="G26" s="3" t="n"/>
      <c r="H26" s="3" t="n"/>
      <c r="I26" s="6">
        <f>IF(D26="","",EDATE(D26,E26))</f>
        <v/>
      </c>
      <c r="J26">
        <f>IF(D26="","",IF(I26&lt;Parametros!$B$3,"Vencida",IF(I26-Parametros!$B$3&lt;=Parametros!$B$4,"Vence pronto","Vigente")))</f>
        <v/>
      </c>
      <c r="K26" s="6">
        <f>IF(D26="","",EDATE(D26,VLOOKUP(B26,Parametros!$A$7:$B$12,2,FALSE)*12))</f>
        <v/>
      </c>
      <c r="L26">
        <f>IF(D26="","",IF(K26&lt;=Parametros!$B$3,"Sí","No"))</f>
        <v/>
      </c>
      <c r="M26">
        <f>IF(A26="","",IFERROR(LOOKUP(2,1/(Movimientos!$B$4:$B$300=A26),Movimientos!$D$4:$D$300),"Sin movimientos"))</f>
        <v/>
      </c>
      <c r="N26">
        <f>IF(A26="","",IFERROR(LOOKUP(2,1/(Movimientos!$B$4:$B$300=A26),Movimientos!$E$4:$E$300),"Sin movimientos"))</f>
        <v/>
      </c>
      <c r="O26">
        <f>IF(A26="","",IF(AND(F26=M26,G26=N26),"Sí","No"))</f>
        <v/>
      </c>
      <c r="P26">
        <f>IF(C26="","",IF(COUNTIF($C$4:$C$120,C26)&gt;1,"Sí","No"))</f>
        <v/>
      </c>
    </row>
    <row r="27">
      <c r="A27" s="3" t="n"/>
      <c r="B27" s="3" t="n"/>
      <c r="C27" s="3" t="n"/>
      <c r="D27" s="2" t="n"/>
      <c r="E27" s="3" t="n"/>
      <c r="F27" s="3" t="n"/>
      <c r="G27" s="3" t="n"/>
      <c r="H27" s="3" t="n"/>
      <c r="I27" s="6">
        <f>IF(D27="","",EDATE(D27,E27))</f>
        <v/>
      </c>
      <c r="J27">
        <f>IF(D27="","",IF(I27&lt;Parametros!$B$3,"Vencida",IF(I27-Parametros!$B$3&lt;=Parametros!$B$4,"Vence pronto","Vigente")))</f>
        <v/>
      </c>
      <c r="K27" s="6">
        <f>IF(D27="","",EDATE(D27,VLOOKUP(B27,Parametros!$A$7:$B$12,2,FALSE)*12))</f>
        <v/>
      </c>
      <c r="L27">
        <f>IF(D27="","",IF(K27&lt;=Parametros!$B$3,"Sí","No"))</f>
        <v/>
      </c>
      <c r="M27">
        <f>IF(A27="","",IFERROR(LOOKUP(2,1/(Movimientos!$B$4:$B$300=A27),Movimientos!$D$4:$D$300),"Sin movimientos"))</f>
        <v/>
      </c>
      <c r="N27">
        <f>IF(A27="","",IFERROR(LOOKUP(2,1/(Movimientos!$B$4:$B$300=A27),Movimientos!$E$4:$E$300),"Sin movimientos"))</f>
        <v/>
      </c>
      <c r="O27">
        <f>IF(A27="","",IF(AND(F27=M27,G27=N27),"Sí","No"))</f>
        <v/>
      </c>
      <c r="P27">
        <f>IF(C27="","",IF(COUNTIF($C$4:$C$120,C27)&gt;1,"Sí","No"))</f>
        <v/>
      </c>
    </row>
    <row r="28">
      <c r="A28" s="3" t="n"/>
      <c r="B28" s="3" t="n"/>
      <c r="C28" s="3" t="n"/>
      <c r="D28" s="2" t="n"/>
      <c r="E28" s="3" t="n"/>
      <c r="F28" s="3" t="n"/>
      <c r="G28" s="3" t="n"/>
      <c r="H28" s="3" t="n"/>
      <c r="I28" s="6">
        <f>IF(D28="","",EDATE(D28,E28))</f>
        <v/>
      </c>
      <c r="J28">
        <f>IF(D28="","",IF(I28&lt;Parametros!$B$3,"Vencida",IF(I28-Parametros!$B$3&lt;=Parametros!$B$4,"Vence pronto","Vigente")))</f>
        <v/>
      </c>
      <c r="K28" s="6">
        <f>IF(D28="","",EDATE(D28,VLOOKUP(B28,Parametros!$A$7:$B$12,2,FALSE)*12))</f>
        <v/>
      </c>
      <c r="L28">
        <f>IF(D28="","",IF(K28&lt;=Parametros!$B$3,"Sí","No"))</f>
        <v/>
      </c>
      <c r="M28">
        <f>IF(A28="","",IFERROR(LOOKUP(2,1/(Movimientos!$B$4:$B$300=A28),Movimientos!$D$4:$D$300),"Sin movimientos"))</f>
        <v/>
      </c>
      <c r="N28">
        <f>IF(A28="","",IFERROR(LOOKUP(2,1/(Movimientos!$B$4:$B$300=A28),Movimientos!$E$4:$E$300),"Sin movimientos"))</f>
        <v/>
      </c>
      <c r="O28">
        <f>IF(A28="","",IF(AND(F28=M28,G28=N28),"Sí","No"))</f>
        <v/>
      </c>
      <c r="P28">
        <f>IF(C28="","",IF(COUNTIF($C$4:$C$120,C28)&gt;1,"Sí","No"))</f>
        <v/>
      </c>
    </row>
    <row r="29">
      <c r="A29" s="3" t="n"/>
      <c r="B29" s="3" t="n"/>
      <c r="C29" s="3" t="n"/>
      <c r="D29" s="2" t="n"/>
      <c r="E29" s="3" t="n"/>
      <c r="F29" s="3" t="n"/>
      <c r="G29" s="3" t="n"/>
      <c r="H29" s="3" t="n"/>
      <c r="I29" s="6">
        <f>IF(D29="","",EDATE(D29,E29))</f>
        <v/>
      </c>
      <c r="J29">
        <f>IF(D29="","",IF(I29&lt;Parametros!$B$3,"Vencida",IF(I29-Parametros!$B$3&lt;=Parametros!$B$4,"Vence pronto","Vigente")))</f>
        <v/>
      </c>
      <c r="K29" s="6">
        <f>IF(D29="","",EDATE(D29,VLOOKUP(B29,Parametros!$A$7:$B$12,2,FALSE)*12))</f>
        <v/>
      </c>
      <c r="L29">
        <f>IF(D29="","",IF(K29&lt;=Parametros!$B$3,"Sí","No"))</f>
        <v/>
      </c>
      <c r="M29">
        <f>IF(A29="","",IFERROR(LOOKUP(2,1/(Movimientos!$B$4:$B$300=A29),Movimientos!$D$4:$D$300),"Sin movimientos"))</f>
        <v/>
      </c>
      <c r="N29">
        <f>IF(A29="","",IFERROR(LOOKUP(2,1/(Movimientos!$B$4:$B$300=A29),Movimientos!$E$4:$E$300),"Sin movimientos"))</f>
        <v/>
      </c>
      <c r="O29">
        <f>IF(A29="","",IF(AND(F29=M29,G29=N29),"Sí","No"))</f>
        <v/>
      </c>
      <c r="P29">
        <f>IF(C29="","",IF(COUNTIF($C$4:$C$120,C29)&gt;1,"Sí","No"))</f>
        <v/>
      </c>
    </row>
    <row r="30">
      <c r="A30" s="3" t="n"/>
      <c r="B30" s="3" t="n"/>
      <c r="C30" s="3" t="n"/>
      <c r="D30" s="2" t="n"/>
      <c r="E30" s="3" t="n"/>
      <c r="F30" s="3" t="n"/>
      <c r="G30" s="3" t="n"/>
      <c r="H30" s="3" t="n"/>
      <c r="I30" s="6">
        <f>IF(D30="","",EDATE(D30,E30))</f>
        <v/>
      </c>
      <c r="J30">
        <f>IF(D30="","",IF(I30&lt;Parametros!$B$3,"Vencida",IF(I30-Parametros!$B$3&lt;=Parametros!$B$4,"Vence pronto","Vigente")))</f>
        <v/>
      </c>
      <c r="K30" s="6">
        <f>IF(D30="","",EDATE(D30,VLOOKUP(B30,Parametros!$A$7:$B$12,2,FALSE)*12))</f>
        <v/>
      </c>
      <c r="L30">
        <f>IF(D30="","",IF(K30&lt;=Parametros!$B$3,"Sí","No"))</f>
        <v/>
      </c>
      <c r="M30">
        <f>IF(A30="","",IFERROR(LOOKUP(2,1/(Movimientos!$B$4:$B$300=A30),Movimientos!$D$4:$D$300),"Sin movimientos"))</f>
        <v/>
      </c>
      <c r="N30">
        <f>IF(A30="","",IFERROR(LOOKUP(2,1/(Movimientos!$B$4:$B$300=A30),Movimientos!$E$4:$E$300),"Sin movimientos"))</f>
        <v/>
      </c>
      <c r="O30">
        <f>IF(A30="","",IF(AND(F30=M30,G30=N30),"Sí","No"))</f>
        <v/>
      </c>
      <c r="P30">
        <f>IF(C30="","",IF(COUNTIF($C$4:$C$120,C30)&gt;1,"Sí","No"))</f>
        <v/>
      </c>
    </row>
    <row r="31">
      <c r="A31" s="3" t="n"/>
      <c r="B31" s="3" t="n"/>
      <c r="C31" s="3" t="n"/>
      <c r="D31" s="2" t="n"/>
      <c r="E31" s="3" t="n"/>
      <c r="F31" s="3" t="n"/>
      <c r="G31" s="3" t="n"/>
      <c r="H31" s="3" t="n"/>
      <c r="I31" s="6">
        <f>IF(D31="","",EDATE(D31,E31))</f>
        <v/>
      </c>
      <c r="J31">
        <f>IF(D31="","",IF(I31&lt;Parametros!$B$3,"Vencida",IF(I31-Parametros!$B$3&lt;=Parametros!$B$4,"Vence pronto","Vigente")))</f>
        <v/>
      </c>
      <c r="K31" s="6">
        <f>IF(D31="","",EDATE(D31,VLOOKUP(B31,Parametros!$A$7:$B$12,2,FALSE)*12))</f>
        <v/>
      </c>
      <c r="L31">
        <f>IF(D31="","",IF(K31&lt;=Parametros!$B$3,"Sí","No"))</f>
        <v/>
      </c>
      <c r="M31">
        <f>IF(A31="","",IFERROR(LOOKUP(2,1/(Movimientos!$B$4:$B$300=A31),Movimientos!$D$4:$D$300),"Sin movimientos"))</f>
        <v/>
      </c>
      <c r="N31">
        <f>IF(A31="","",IFERROR(LOOKUP(2,1/(Movimientos!$B$4:$B$300=A31),Movimientos!$E$4:$E$300),"Sin movimientos"))</f>
        <v/>
      </c>
      <c r="O31">
        <f>IF(A31="","",IF(AND(F31=M31,G31=N31),"Sí","No"))</f>
        <v/>
      </c>
      <c r="P31">
        <f>IF(C31="","",IF(COUNTIF($C$4:$C$120,C31)&gt;1,"Sí","No"))</f>
        <v/>
      </c>
    </row>
    <row r="32">
      <c r="A32" s="3" t="n"/>
      <c r="B32" s="3" t="n"/>
      <c r="C32" s="3" t="n"/>
      <c r="D32" s="2" t="n"/>
      <c r="E32" s="3" t="n"/>
      <c r="F32" s="3" t="n"/>
      <c r="G32" s="3" t="n"/>
      <c r="H32" s="3" t="n"/>
      <c r="I32" s="6">
        <f>IF(D32="","",EDATE(D32,E32))</f>
        <v/>
      </c>
      <c r="J32">
        <f>IF(D32="","",IF(I32&lt;Parametros!$B$3,"Vencida",IF(I32-Parametros!$B$3&lt;=Parametros!$B$4,"Vence pronto","Vigente")))</f>
        <v/>
      </c>
      <c r="K32" s="6">
        <f>IF(D32="","",EDATE(D32,VLOOKUP(B32,Parametros!$A$7:$B$12,2,FALSE)*12))</f>
        <v/>
      </c>
      <c r="L32">
        <f>IF(D32="","",IF(K32&lt;=Parametros!$B$3,"Sí","No"))</f>
        <v/>
      </c>
      <c r="M32">
        <f>IF(A32="","",IFERROR(LOOKUP(2,1/(Movimientos!$B$4:$B$300=A32),Movimientos!$D$4:$D$300),"Sin movimientos"))</f>
        <v/>
      </c>
      <c r="N32">
        <f>IF(A32="","",IFERROR(LOOKUP(2,1/(Movimientos!$B$4:$B$300=A32),Movimientos!$E$4:$E$300),"Sin movimientos"))</f>
        <v/>
      </c>
      <c r="O32">
        <f>IF(A32="","",IF(AND(F32=M32,G32=N32),"Sí","No"))</f>
        <v/>
      </c>
      <c r="P32">
        <f>IF(C32="","",IF(COUNTIF($C$4:$C$120,C32)&gt;1,"Sí","No"))</f>
        <v/>
      </c>
    </row>
    <row r="33">
      <c r="A33" s="3" t="n"/>
      <c r="B33" s="3" t="n"/>
      <c r="C33" s="3" t="n"/>
      <c r="D33" s="2" t="n"/>
      <c r="E33" s="3" t="n"/>
      <c r="F33" s="3" t="n"/>
      <c r="G33" s="3" t="n"/>
      <c r="H33" s="3" t="n"/>
      <c r="I33" s="6">
        <f>IF(D33="","",EDATE(D33,E33))</f>
        <v/>
      </c>
      <c r="J33">
        <f>IF(D33="","",IF(I33&lt;Parametros!$B$3,"Vencida",IF(I33-Parametros!$B$3&lt;=Parametros!$B$4,"Vence pronto","Vigente")))</f>
        <v/>
      </c>
      <c r="K33" s="6">
        <f>IF(D33="","",EDATE(D33,VLOOKUP(B33,Parametros!$A$7:$B$12,2,FALSE)*12))</f>
        <v/>
      </c>
      <c r="L33">
        <f>IF(D33="","",IF(K33&lt;=Parametros!$B$3,"Sí","No"))</f>
        <v/>
      </c>
      <c r="M33">
        <f>IF(A33="","",IFERROR(LOOKUP(2,1/(Movimientos!$B$4:$B$300=A33),Movimientos!$D$4:$D$300),"Sin movimientos"))</f>
        <v/>
      </c>
      <c r="N33">
        <f>IF(A33="","",IFERROR(LOOKUP(2,1/(Movimientos!$B$4:$B$300=A33),Movimientos!$E$4:$E$300),"Sin movimientos"))</f>
        <v/>
      </c>
      <c r="O33">
        <f>IF(A33="","",IF(AND(F33=M33,G33=N33),"Sí","No"))</f>
        <v/>
      </c>
      <c r="P33">
        <f>IF(C33="","",IF(COUNTIF($C$4:$C$120,C33)&gt;1,"Sí","No"))</f>
        <v/>
      </c>
    </row>
    <row r="34">
      <c r="A34" s="3" t="n"/>
      <c r="B34" s="3" t="n"/>
      <c r="C34" s="3" t="n"/>
      <c r="D34" s="2" t="n"/>
      <c r="E34" s="3" t="n"/>
      <c r="F34" s="3" t="n"/>
      <c r="G34" s="3" t="n"/>
      <c r="H34" s="3" t="n"/>
      <c r="I34" s="6">
        <f>IF(D34="","",EDATE(D34,E34))</f>
        <v/>
      </c>
      <c r="J34">
        <f>IF(D34="","",IF(I34&lt;Parametros!$B$3,"Vencida",IF(I34-Parametros!$B$3&lt;=Parametros!$B$4,"Vence pronto","Vigente")))</f>
        <v/>
      </c>
      <c r="K34" s="6">
        <f>IF(D34="","",EDATE(D34,VLOOKUP(B34,Parametros!$A$7:$B$12,2,FALSE)*12))</f>
        <v/>
      </c>
      <c r="L34">
        <f>IF(D34="","",IF(K34&lt;=Parametros!$B$3,"Sí","No"))</f>
        <v/>
      </c>
      <c r="M34">
        <f>IF(A34="","",IFERROR(LOOKUP(2,1/(Movimientos!$B$4:$B$300=A34),Movimientos!$D$4:$D$300),"Sin movimientos"))</f>
        <v/>
      </c>
      <c r="N34">
        <f>IF(A34="","",IFERROR(LOOKUP(2,1/(Movimientos!$B$4:$B$300=A34),Movimientos!$E$4:$E$300),"Sin movimientos"))</f>
        <v/>
      </c>
      <c r="O34">
        <f>IF(A34="","",IF(AND(F34=M34,G34=N34),"Sí","No"))</f>
        <v/>
      </c>
      <c r="P34">
        <f>IF(C34="","",IF(COUNTIF($C$4:$C$120,C34)&gt;1,"Sí","No"))</f>
        <v/>
      </c>
    </row>
    <row r="35">
      <c r="A35" s="3" t="n"/>
      <c r="B35" s="3" t="n"/>
      <c r="C35" s="3" t="n"/>
      <c r="D35" s="2" t="n"/>
      <c r="E35" s="3" t="n"/>
      <c r="F35" s="3" t="n"/>
      <c r="G35" s="3" t="n"/>
      <c r="H35" s="3" t="n"/>
      <c r="I35" s="6">
        <f>IF(D35="","",EDATE(D35,E35))</f>
        <v/>
      </c>
      <c r="J35">
        <f>IF(D35="","",IF(I35&lt;Parametros!$B$3,"Vencida",IF(I35-Parametros!$B$3&lt;=Parametros!$B$4,"Vence pronto","Vigente")))</f>
        <v/>
      </c>
      <c r="K35" s="6">
        <f>IF(D35="","",EDATE(D35,VLOOKUP(B35,Parametros!$A$7:$B$12,2,FALSE)*12))</f>
        <v/>
      </c>
      <c r="L35">
        <f>IF(D35="","",IF(K35&lt;=Parametros!$B$3,"Sí","No"))</f>
        <v/>
      </c>
      <c r="M35">
        <f>IF(A35="","",IFERROR(LOOKUP(2,1/(Movimientos!$B$4:$B$300=A35),Movimientos!$D$4:$D$300),"Sin movimientos"))</f>
        <v/>
      </c>
      <c r="N35">
        <f>IF(A35="","",IFERROR(LOOKUP(2,1/(Movimientos!$B$4:$B$300=A35),Movimientos!$E$4:$E$300),"Sin movimientos"))</f>
        <v/>
      </c>
      <c r="O35">
        <f>IF(A35="","",IF(AND(F35=M35,G35=N35),"Sí","No"))</f>
        <v/>
      </c>
      <c r="P35">
        <f>IF(C35="","",IF(COUNTIF($C$4:$C$120,C35)&gt;1,"Sí","No"))</f>
        <v/>
      </c>
    </row>
    <row r="36">
      <c r="A36" s="3" t="n"/>
      <c r="B36" s="3" t="n"/>
      <c r="C36" s="3" t="n"/>
      <c r="D36" s="2" t="n"/>
      <c r="E36" s="3" t="n"/>
      <c r="F36" s="3" t="n"/>
      <c r="G36" s="3" t="n"/>
      <c r="H36" s="3" t="n"/>
      <c r="I36" s="6">
        <f>IF(D36="","",EDATE(D36,E36))</f>
        <v/>
      </c>
      <c r="J36">
        <f>IF(D36="","",IF(I36&lt;Parametros!$B$3,"Vencida",IF(I36-Parametros!$B$3&lt;=Parametros!$B$4,"Vence pronto","Vigente")))</f>
        <v/>
      </c>
      <c r="K36" s="6">
        <f>IF(D36="","",EDATE(D36,VLOOKUP(B36,Parametros!$A$7:$B$12,2,FALSE)*12))</f>
        <v/>
      </c>
      <c r="L36">
        <f>IF(D36="","",IF(K36&lt;=Parametros!$B$3,"Sí","No"))</f>
        <v/>
      </c>
      <c r="M36">
        <f>IF(A36="","",IFERROR(LOOKUP(2,1/(Movimientos!$B$4:$B$300=A36),Movimientos!$D$4:$D$300),"Sin movimientos"))</f>
        <v/>
      </c>
      <c r="N36">
        <f>IF(A36="","",IFERROR(LOOKUP(2,1/(Movimientos!$B$4:$B$300=A36),Movimientos!$E$4:$E$300),"Sin movimientos"))</f>
        <v/>
      </c>
      <c r="O36">
        <f>IF(A36="","",IF(AND(F36=M36,G36=N36),"Sí","No"))</f>
        <v/>
      </c>
      <c r="P36">
        <f>IF(C36="","",IF(COUNTIF($C$4:$C$120,C36)&gt;1,"Sí","No"))</f>
        <v/>
      </c>
    </row>
    <row r="37">
      <c r="A37" s="3" t="n"/>
      <c r="B37" s="3" t="n"/>
      <c r="C37" s="3" t="n"/>
      <c r="D37" s="2" t="n"/>
      <c r="E37" s="3" t="n"/>
      <c r="F37" s="3" t="n"/>
      <c r="G37" s="3" t="n"/>
      <c r="H37" s="3" t="n"/>
      <c r="I37" s="6">
        <f>IF(D37="","",EDATE(D37,E37))</f>
        <v/>
      </c>
      <c r="J37">
        <f>IF(D37="","",IF(I37&lt;Parametros!$B$3,"Vencida",IF(I37-Parametros!$B$3&lt;=Parametros!$B$4,"Vence pronto","Vigente")))</f>
        <v/>
      </c>
      <c r="K37" s="6">
        <f>IF(D37="","",EDATE(D37,VLOOKUP(B37,Parametros!$A$7:$B$12,2,FALSE)*12))</f>
        <v/>
      </c>
      <c r="L37">
        <f>IF(D37="","",IF(K37&lt;=Parametros!$B$3,"Sí","No"))</f>
        <v/>
      </c>
      <c r="M37">
        <f>IF(A37="","",IFERROR(LOOKUP(2,1/(Movimientos!$B$4:$B$300=A37),Movimientos!$D$4:$D$300),"Sin movimientos"))</f>
        <v/>
      </c>
      <c r="N37">
        <f>IF(A37="","",IFERROR(LOOKUP(2,1/(Movimientos!$B$4:$B$300=A37),Movimientos!$E$4:$E$300),"Sin movimientos"))</f>
        <v/>
      </c>
      <c r="O37">
        <f>IF(A37="","",IF(AND(F37=M37,G37=N37),"Sí","No"))</f>
        <v/>
      </c>
      <c r="P37">
        <f>IF(C37="","",IF(COUNTIF($C$4:$C$120,C37)&gt;1,"Sí","No"))</f>
        <v/>
      </c>
    </row>
    <row r="38">
      <c r="A38" s="3" t="n"/>
      <c r="B38" s="3" t="n"/>
      <c r="C38" s="3" t="n"/>
      <c r="D38" s="2" t="n"/>
      <c r="E38" s="3" t="n"/>
      <c r="F38" s="3" t="n"/>
      <c r="G38" s="3" t="n"/>
      <c r="H38" s="3" t="n"/>
      <c r="I38" s="6">
        <f>IF(D38="","",EDATE(D38,E38))</f>
        <v/>
      </c>
      <c r="J38">
        <f>IF(D38="","",IF(I38&lt;Parametros!$B$3,"Vencida",IF(I38-Parametros!$B$3&lt;=Parametros!$B$4,"Vence pronto","Vigente")))</f>
        <v/>
      </c>
      <c r="K38" s="6">
        <f>IF(D38="","",EDATE(D38,VLOOKUP(B38,Parametros!$A$7:$B$12,2,FALSE)*12))</f>
        <v/>
      </c>
      <c r="L38">
        <f>IF(D38="","",IF(K38&lt;=Parametros!$B$3,"Sí","No"))</f>
        <v/>
      </c>
      <c r="M38">
        <f>IF(A38="","",IFERROR(LOOKUP(2,1/(Movimientos!$B$4:$B$300=A38),Movimientos!$D$4:$D$300),"Sin movimientos"))</f>
        <v/>
      </c>
      <c r="N38">
        <f>IF(A38="","",IFERROR(LOOKUP(2,1/(Movimientos!$B$4:$B$300=A38),Movimientos!$E$4:$E$300),"Sin movimientos"))</f>
        <v/>
      </c>
      <c r="O38">
        <f>IF(A38="","",IF(AND(F38=M38,G38=N38),"Sí","No"))</f>
        <v/>
      </c>
      <c r="P38">
        <f>IF(C38="","",IF(COUNTIF($C$4:$C$120,C38)&gt;1,"Sí","No"))</f>
        <v/>
      </c>
    </row>
    <row r="39">
      <c r="A39" s="3" t="n"/>
      <c r="B39" s="3" t="n"/>
      <c r="C39" s="3" t="n"/>
      <c r="D39" s="2" t="n"/>
      <c r="E39" s="3" t="n"/>
      <c r="F39" s="3" t="n"/>
      <c r="G39" s="3" t="n"/>
      <c r="H39" s="3" t="n"/>
      <c r="I39" s="6">
        <f>IF(D39="","",EDATE(D39,E39))</f>
        <v/>
      </c>
      <c r="J39">
        <f>IF(D39="","",IF(I39&lt;Parametros!$B$3,"Vencida",IF(I39-Parametros!$B$3&lt;=Parametros!$B$4,"Vence pronto","Vigente")))</f>
        <v/>
      </c>
      <c r="K39" s="6">
        <f>IF(D39="","",EDATE(D39,VLOOKUP(B39,Parametros!$A$7:$B$12,2,FALSE)*12))</f>
        <v/>
      </c>
      <c r="L39">
        <f>IF(D39="","",IF(K39&lt;=Parametros!$B$3,"Sí","No"))</f>
        <v/>
      </c>
      <c r="M39">
        <f>IF(A39="","",IFERROR(LOOKUP(2,1/(Movimientos!$B$4:$B$300=A39),Movimientos!$D$4:$D$300),"Sin movimientos"))</f>
        <v/>
      </c>
      <c r="N39">
        <f>IF(A39="","",IFERROR(LOOKUP(2,1/(Movimientos!$B$4:$B$300=A39),Movimientos!$E$4:$E$300),"Sin movimientos"))</f>
        <v/>
      </c>
      <c r="O39">
        <f>IF(A39="","",IF(AND(F39=M39,G39=N39),"Sí","No"))</f>
        <v/>
      </c>
      <c r="P39">
        <f>IF(C39="","",IF(COUNTIF($C$4:$C$120,C39)&gt;1,"Sí","No"))</f>
        <v/>
      </c>
    </row>
    <row r="40">
      <c r="A40" s="3" t="n"/>
      <c r="B40" s="3" t="n"/>
      <c r="C40" s="3" t="n"/>
      <c r="D40" s="2" t="n"/>
      <c r="E40" s="3" t="n"/>
      <c r="F40" s="3" t="n"/>
      <c r="G40" s="3" t="n"/>
      <c r="H40" s="3" t="n"/>
      <c r="I40" s="6">
        <f>IF(D40="","",EDATE(D40,E40))</f>
        <v/>
      </c>
      <c r="J40">
        <f>IF(D40="","",IF(I40&lt;Parametros!$B$3,"Vencida",IF(I40-Parametros!$B$3&lt;=Parametros!$B$4,"Vence pronto","Vigente")))</f>
        <v/>
      </c>
      <c r="K40" s="6">
        <f>IF(D40="","",EDATE(D40,VLOOKUP(B40,Parametros!$A$7:$B$12,2,FALSE)*12))</f>
        <v/>
      </c>
      <c r="L40">
        <f>IF(D40="","",IF(K40&lt;=Parametros!$B$3,"Sí","No"))</f>
        <v/>
      </c>
      <c r="M40">
        <f>IF(A40="","",IFERROR(LOOKUP(2,1/(Movimientos!$B$4:$B$300=A40),Movimientos!$D$4:$D$300),"Sin movimientos"))</f>
        <v/>
      </c>
      <c r="N40">
        <f>IF(A40="","",IFERROR(LOOKUP(2,1/(Movimientos!$B$4:$B$300=A40),Movimientos!$E$4:$E$300),"Sin movimientos"))</f>
        <v/>
      </c>
      <c r="O40">
        <f>IF(A40="","",IF(AND(F40=M40,G40=N40),"Sí","No"))</f>
        <v/>
      </c>
      <c r="P40">
        <f>IF(C40="","",IF(COUNTIF($C$4:$C$120,C40)&gt;1,"Sí","No"))</f>
        <v/>
      </c>
    </row>
    <row r="41">
      <c r="A41" s="3" t="n"/>
      <c r="B41" s="3" t="n"/>
      <c r="C41" s="3" t="n"/>
      <c r="D41" s="2" t="n"/>
      <c r="E41" s="3" t="n"/>
      <c r="F41" s="3" t="n"/>
      <c r="G41" s="3" t="n"/>
      <c r="H41" s="3" t="n"/>
      <c r="I41" s="6">
        <f>IF(D41="","",EDATE(D41,E41))</f>
        <v/>
      </c>
      <c r="J41">
        <f>IF(D41="","",IF(I41&lt;Parametros!$B$3,"Vencida",IF(I41-Parametros!$B$3&lt;=Parametros!$B$4,"Vence pronto","Vigente")))</f>
        <v/>
      </c>
      <c r="K41" s="6">
        <f>IF(D41="","",EDATE(D41,VLOOKUP(B41,Parametros!$A$7:$B$12,2,FALSE)*12))</f>
        <v/>
      </c>
      <c r="L41">
        <f>IF(D41="","",IF(K41&lt;=Parametros!$B$3,"Sí","No"))</f>
        <v/>
      </c>
      <c r="M41">
        <f>IF(A41="","",IFERROR(LOOKUP(2,1/(Movimientos!$B$4:$B$300=A41),Movimientos!$D$4:$D$300),"Sin movimientos"))</f>
        <v/>
      </c>
      <c r="N41">
        <f>IF(A41="","",IFERROR(LOOKUP(2,1/(Movimientos!$B$4:$B$300=A41),Movimientos!$E$4:$E$300),"Sin movimientos"))</f>
        <v/>
      </c>
      <c r="O41">
        <f>IF(A41="","",IF(AND(F41=M41,G41=N41),"Sí","No"))</f>
        <v/>
      </c>
      <c r="P41">
        <f>IF(C41="","",IF(COUNTIF($C$4:$C$120,C41)&gt;1,"Sí","No"))</f>
        <v/>
      </c>
    </row>
    <row r="42">
      <c r="A42" s="3" t="n"/>
      <c r="B42" s="3" t="n"/>
      <c r="C42" s="3" t="n"/>
      <c r="D42" s="2" t="n"/>
      <c r="E42" s="3" t="n"/>
      <c r="F42" s="3" t="n"/>
      <c r="G42" s="3" t="n"/>
      <c r="H42" s="3" t="n"/>
      <c r="I42" s="6">
        <f>IF(D42="","",EDATE(D42,E42))</f>
        <v/>
      </c>
      <c r="J42">
        <f>IF(D42="","",IF(I42&lt;Parametros!$B$3,"Vencida",IF(I42-Parametros!$B$3&lt;=Parametros!$B$4,"Vence pronto","Vigente")))</f>
        <v/>
      </c>
      <c r="K42" s="6">
        <f>IF(D42="","",EDATE(D42,VLOOKUP(B42,Parametros!$A$7:$B$12,2,FALSE)*12))</f>
        <v/>
      </c>
      <c r="L42">
        <f>IF(D42="","",IF(K42&lt;=Parametros!$B$3,"Sí","No"))</f>
        <v/>
      </c>
      <c r="M42">
        <f>IF(A42="","",IFERROR(LOOKUP(2,1/(Movimientos!$B$4:$B$300=A42),Movimientos!$D$4:$D$300),"Sin movimientos"))</f>
        <v/>
      </c>
      <c r="N42">
        <f>IF(A42="","",IFERROR(LOOKUP(2,1/(Movimientos!$B$4:$B$300=A42),Movimientos!$E$4:$E$300),"Sin movimientos"))</f>
        <v/>
      </c>
      <c r="O42">
        <f>IF(A42="","",IF(AND(F42=M42,G42=N42),"Sí","No"))</f>
        <v/>
      </c>
      <c r="P42">
        <f>IF(C42="","",IF(COUNTIF($C$4:$C$120,C42)&gt;1,"Sí","No"))</f>
        <v/>
      </c>
    </row>
    <row r="43">
      <c r="A43" s="3" t="n"/>
      <c r="B43" s="3" t="n"/>
      <c r="C43" s="3" t="n"/>
      <c r="D43" s="2" t="n"/>
      <c r="E43" s="3" t="n"/>
      <c r="F43" s="3" t="n"/>
      <c r="G43" s="3" t="n"/>
      <c r="H43" s="3" t="n"/>
      <c r="I43" s="6">
        <f>IF(D43="","",EDATE(D43,E43))</f>
        <v/>
      </c>
      <c r="J43">
        <f>IF(D43="","",IF(I43&lt;Parametros!$B$3,"Vencida",IF(I43-Parametros!$B$3&lt;=Parametros!$B$4,"Vence pronto","Vigente")))</f>
        <v/>
      </c>
      <c r="K43" s="6">
        <f>IF(D43="","",EDATE(D43,VLOOKUP(B43,Parametros!$A$7:$B$12,2,FALSE)*12))</f>
        <v/>
      </c>
      <c r="L43">
        <f>IF(D43="","",IF(K43&lt;=Parametros!$B$3,"Sí","No"))</f>
        <v/>
      </c>
      <c r="M43">
        <f>IF(A43="","",IFERROR(LOOKUP(2,1/(Movimientos!$B$4:$B$300=A43),Movimientos!$D$4:$D$300),"Sin movimientos"))</f>
        <v/>
      </c>
      <c r="N43">
        <f>IF(A43="","",IFERROR(LOOKUP(2,1/(Movimientos!$B$4:$B$300=A43),Movimientos!$E$4:$E$300),"Sin movimientos"))</f>
        <v/>
      </c>
      <c r="O43">
        <f>IF(A43="","",IF(AND(F43=M43,G43=N43),"Sí","No"))</f>
        <v/>
      </c>
      <c r="P43">
        <f>IF(C43="","",IF(COUNTIF($C$4:$C$120,C43)&gt;1,"Sí","No"))</f>
        <v/>
      </c>
    </row>
    <row r="44">
      <c r="A44" s="3" t="n"/>
      <c r="B44" s="3" t="n"/>
      <c r="C44" s="3" t="n"/>
      <c r="D44" s="2" t="n"/>
      <c r="E44" s="3" t="n"/>
      <c r="F44" s="3" t="n"/>
      <c r="G44" s="3" t="n"/>
      <c r="H44" s="3" t="n"/>
      <c r="I44" s="6">
        <f>IF(D44="","",EDATE(D44,E44))</f>
        <v/>
      </c>
      <c r="J44">
        <f>IF(D44="","",IF(I44&lt;Parametros!$B$3,"Vencida",IF(I44-Parametros!$B$3&lt;=Parametros!$B$4,"Vence pronto","Vigente")))</f>
        <v/>
      </c>
      <c r="K44" s="6">
        <f>IF(D44="","",EDATE(D44,VLOOKUP(B44,Parametros!$A$7:$B$12,2,FALSE)*12))</f>
        <v/>
      </c>
      <c r="L44">
        <f>IF(D44="","",IF(K44&lt;=Parametros!$B$3,"Sí","No"))</f>
        <v/>
      </c>
      <c r="M44">
        <f>IF(A44="","",IFERROR(LOOKUP(2,1/(Movimientos!$B$4:$B$300=A44),Movimientos!$D$4:$D$300),"Sin movimientos"))</f>
        <v/>
      </c>
      <c r="N44">
        <f>IF(A44="","",IFERROR(LOOKUP(2,1/(Movimientos!$B$4:$B$300=A44),Movimientos!$E$4:$E$300),"Sin movimientos"))</f>
        <v/>
      </c>
      <c r="O44">
        <f>IF(A44="","",IF(AND(F44=M44,G44=N44),"Sí","No"))</f>
        <v/>
      </c>
      <c r="P44">
        <f>IF(C44="","",IF(COUNTIF($C$4:$C$120,C44)&gt;1,"Sí","No"))</f>
        <v/>
      </c>
    </row>
    <row r="45">
      <c r="A45" s="3" t="n"/>
      <c r="B45" s="3" t="n"/>
      <c r="C45" s="3" t="n"/>
      <c r="D45" s="2" t="n"/>
      <c r="E45" s="3" t="n"/>
      <c r="F45" s="3" t="n"/>
      <c r="G45" s="3" t="n"/>
      <c r="H45" s="3" t="n"/>
      <c r="I45" s="6">
        <f>IF(D45="","",EDATE(D45,E45))</f>
        <v/>
      </c>
      <c r="J45">
        <f>IF(D45="","",IF(I45&lt;Parametros!$B$3,"Vencida",IF(I45-Parametros!$B$3&lt;=Parametros!$B$4,"Vence pronto","Vigente")))</f>
        <v/>
      </c>
      <c r="K45" s="6">
        <f>IF(D45="","",EDATE(D45,VLOOKUP(B45,Parametros!$A$7:$B$12,2,FALSE)*12))</f>
        <v/>
      </c>
      <c r="L45">
        <f>IF(D45="","",IF(K45&lt;=Parametros!$B$3,"Sí","No"))</f>
        <v/>
      </c>
      <c r="M45">
        <f>IF(A45="","",IFERROR(LOOKUP(2,1/(Movimientos!$B$4:$B$300=A45),Movimientos!$D$4:$D$300),"Sin movimientos"))</f>
        <v/>
      </c>
      <c r="N45">
        <f>IF(A45="","",IFERROR(LOOKUP(2,1/(Movimientos!$B$4:$B$300=A45),Movimientos!$E$4:$E$300),"Sin movimientos"))</f>
        <v/>
      </c>
      <c r="O45">
        <f>IF(A45="","",IF(AND(F45=M45,G45=N45),"Sí","No"))</f>
        <v/>
      </c>
      <c r="P45">
        <f>IF(C45="","",IF(COUNTIF($C$4:$C$120,C45)&gt;1,"Sí","No"))</f>
        <v/>
      </c>
    </row>
    <row r="46">
      <c r="A46" s="3" t="n"/>
      <c r="B46" s="3" t="n"/>
      <c r="C46" s="3" t="n"/>
      <c r="D46" s="2" t="n"/>
      <c r="E46" s="3" t="n"/>
      <c r="F46" s="3" t="n"/>
      <c r="G46" s="3" t="n"/>
      <c r="H46" s="3" t="n"/>
      <c r="I46" s="6">
        <f>IF(D46="","",EDATE(D46,E46))</f>
        <v/>
      </c>
      <c r="J46">
        <f>IF(D46="","",IF(I46&lt;Parametros!$B$3,"Vencida",IF(I46-Parametros!$B$3&lt;=Parametros!$B$4,"Vence pronto","Vigente")))</f>
        <v/>
      </c>
      <c r="K46" s="6">
        <f>IF(D46="","",EDATE(D46,VLOOKUP(B46,Parametros!$A$7:$B$12,2,FALSE)*12))</f>
        <v/>
      </c>
      <c r="L46">
        <f>IF(D46="","",IF(K46&lt;=Parametros!$B$3,"Sí","No"))</f>
        <v/>
      </c>
      <c r="M46">
        <f>IF(A46="","",IFERROR(LOOKUP(2,1/(Movimientos!$B$4:$B$300=A46),Movimientos!$D$4:$D$300),"Sin movimientos"))</f>
        <v/>
      </c>
      <c r="N46">
        <f>IF(A46="","",IFERROR(LOOKUP(2,1/(Movimientos!$B$4:$B$300=A46),Movimientos!$E$4:$E$300),"Sin movimientos"))</f>
        <v/>
      </c>
      <c r="O46">
        <f>IF(A46="","",IF(AND(F46=M46,G46=N46),"Sí","No"))</f>
        <v/>
      </c>
      <c r="P46">
        <f>IF(C46="","",IF(COUNTIF($C$4:$C$120,C46)&gt;1,"Sí","No"))</f>
        <v/>
      </c>
    </row>
    <row r="47">
      <c r="A47" s="3" t="n"/>
      <c r="B47" s="3" t="n"/>
      <c r="C47" s="3" t="n"/>
      <c r="D47" s="2" t="n"/>
      <c r="E47" s="3" t="n"/>
      <c r="F47" s="3" t="n"/>
      <c r="G47" s="3" t="n"/>
      <c r="H47" s="3" t="n"/>
      <c r="I47" s="6">
        <f>IF(D47="","",EDATE(D47,E47))</f>
        <v/>
      </c>
      <c r="J47">
        <f>IF(D47="","",IF(I47&lt;Parametros!$B$3,"Vencida",IF(I47-Parametros!$B$3&lt;=Parametros!$B$4,"Vence pronto","Vigente")))</f>
        <v/>
      </c>
      <c r="K47" s="6">
        <f>IF(D47="","",EDATE(D47,VLOOKUP(B47,Parametros!$A$7:$B$12,2,FALSE)*12))</f>
        <v/>
      </c>
      <c r="L47">
        <f>IF(D47="","",IF(K47&lt;=Parametros!$B$3,"Sí","No"))</f>
        <v/>
      </c>
      <c r="M47">
        <f>IF(A47="","",IFERROR(LOOKUP(2,1/(Movimientos!$B$4:$B$300=A47),Movimientos!$D$4:$D$300),"Sin movimientos"))</f>
        <v/>
      </c>
      <c r="N47">
        <f>IF(A47="","",IFERROR(LOOKUP(2,1/(Movimientos!$B$4:$B$300=A47),Movimientos!$E$4:$E$300),"Sin movimientos"))</f>
        <v/>
      </c>
      <c r="O47">
        <f>IF(A47="","",IF(AND(F47=M47,G47=N47),"Sí","No"))</f>
        <v/>
      </c>
      <c r="P47">
        <f>IF(C47="","",IF(COUNTIF($C$4:$C$120,C47)&gt;1,"Sí","No"))</f>
        <v/>
      </c>
    </row>
    <row r="48">
      <c r="A48" s="3" t="n"/>
      <c r="B48" s="3" t="n"/>
      <c r="C48" s="3" t="n"/>
      <c r="D48" s="2" t="n"/>
      <c r="E48" s="3" t="n"/>
      <c r="F48" s="3" t="n"/>
      <c r="G48" s="3" t="n"/>
      <c r="H48" s="3" t="n"/>
      <c r="I48" s="6">
        <f>IF(D48="","",EDATE(D48,E48))</f>
        <v/>
      </c>
      <c r="J48">
        <f>IF(D48="","",IF(I48&lt;Parametros!$B$3,"Vencida",IF(I48-Parametros!$B$3&lt;=Parametros!$B$4,"Vence pronto","Vigente")))</f>
        <v/>
      </c>
      <c r="K48" s="6">
        <f>IF(D48="","",EDATE(D48,VLOOKUP(B48,Parametros!$A$7:$B$12,2,FALSE)*12))</f>
        <v/>
      </c>
      <c r="L48">
        <f>IF(D48="","",IF(K48&lt;=Parametros!$B$3,"Sí","No"))</f>
        <v/>
      </c>
      <c r="M48">
        <f>IF(A48="","",IFERROR(LOOKUP(2,1/(Movimientos!$B$4:$B$300=A48),Movimientos!$D$4:$D$300),"Sin movimientos"))</f>
        <v/>
      </c>
      <c r="N48">
        <f>IF(A48="","",IFERROR(LOOKUP(2,1/(Movimientos!$B$4:$B$300=A48),Movimientos!$E$4:$E$300),"Sin movimientos"))</f>
        <v/>
      </c>
      <c r="O48">
        <f>IF(A48="","",IF(AND(F48=M48,G48=N48),"Sí","No"))</f>
        <v/>
      </c>
      <c r="P48">
        <f>IF(C48="","",IF(COUNTIF($C$4:$C$120,C48)&gt;1,"Sí","No"))</f>
        <v/>
      </c>
    </row>
    <row r="49">
      <c r="A49" s="3" t="n"/>
      <c r="B49" s="3" t="n"/>
      <c r="C49" s="3" t="n"/>
      <c r="D49" s="2" t="n"/>
      <c r="E49" s="3" t="n"/>
      <c r="F49" s="3" t="n"/>
      <c r="G49" s="3" t="n"/>
      <c r="H49" s="3" t="n"/>
      <c r="I49" s="6">
        <f>IF(D49="","",EDATE(D49,E49))</f>
        <v/>
      </c>
      <c r="J49">
        <f>IF(D49="","",IF(I49&lt;Parametros!$B$3,"Vencida",IF(I49-Parametros!$B$3&lt;=Parametros!$B$4,"Vence pronto","Vigente")))</f>
        <v/>
      </c>
      <c r="K49" s="6">
        <f>IF(D49="","",EDATE(D49,VLOOKUP(B49,Parametros!$A$7:$B$12,2,FALSE)*12))</f>
        <v/>
      </c>
      <c r="L49">
        <f>IF(D49="","",IF(K49&lt;=Parametros!$B$3,"Sí","No"))</f>
        <v/>
      </c>
      <c r="M49">
        <f>IF(A49="","",IFERROR(LOOKUP(2,1/(Movimientos!$B$4:$B$300=A49),Movimientos!$D$4:$D$300),"Sin movimientos"))</f>
        <v/>
      </c>
      <c r="N49">
        <f>IF(A49="","",IFERROR(LOOKUP(2,1/(Movimientos!$B$4:$B$300=A49),Movimientos!$E$4:$E$300),"Sin movimientos"))</f>
        <v/>
      </c>
      <c r="O49">
        <f>IF(A49="","",IF(AND(F49=M49,G49=N49),"Sí","No"))</f>
        <v/>
      </c>
      <c r="P49">
        <f>IF(C49="","",IF(COUNTIF($C$4:$C$120,C49)&gt;1,"Sí","No"))</f>
        <v/>
      </c>
    </row>
    <row r="50">
      <c r="A50" s="3" t="n"/>
      <c r="B50" s="3" t="n"/>
      <c r="C50" s="3" t="n"/>
      <c r="D50" s="2" t="n"/>
      <c r="E50" s="3" t="n"/>
      <c r="F50" s="3" t="n"/>
      <c r="G50" s="3" t="n"/>
      <c r="H50" s="3" t="n"/>
      <c r="I50" s="6">
        <f>IF(D50="","",EDATE(D50,E50))</f>
        <v/>
      </c>
      <c r="J50">
        <f>IF(D50="","",IF(I50&lt;Parametros!$B$3,"Vencida",IF(I50-Parametros!$B$3&lt;=Parametros!$B$4,"Vence pronto","Vigente")))</f>
        <v/>
      </c>
      <c r="K50" s="6">
        <f>IF(D50="","",EDATE(D50,VLOOKUP(B50,Parametros!$A$7:$B$12,2,FALSE)*12))</f>
        <v/>
      </c>
      <c r="L50">
        <f>IF(D50="","",IF(K50&lt;=Parametros!$B$3,"Sí","No"))</f>
        <v/>
      </c>
      <c r="M50">
        <f>IF(A50="","",IFERROR(LOOKUP(2,1/(Movimientos!$B$4:$B$300=A50),Movimientos!$D$4:$D$300),"Sin movimientos"))</f>
        <v/>
      </c>
      <c r="N50">
        <f>IF(A50="","",IFERROR(LOOKUP(2,1/(Movimientos!$B$4:$B$300=A50),Movimientos!$E$4:$E$300),"Sin movimientos"))</f>
        <v/>
      </c>
      <c r="O50">
        <f>IF(A50="","",IF(AND(F50=M50,G50=N50),"Sí","No"))</f>
        <v/>
      </c>
      <c r="P50">
        <f>IF(C50="","",IF(COUNTIF($C$4:$C$120,C50)&gt;1,"Sí","No"))</f>
        <v/>
      </c>
    </row>
    <row r="51">
      <c r="A51" s="3" t="n"/>
      <c r="B51" s="3" t="n"/>
      <c r="C51" s="3" t="n"/>
      <c r="D51" s="2" t="n"/>
      <c r="E51" s="3" t="n"/>
      <c r="F51" s="3" t="n"/>
      <c r="G51" s="3" t="n"/>
      <c r="H51" s="3" t="n"/>
      <c r="I51" s="6">
        <f>IF(D51="","",EDATE(D51,E51))</f>
        <v/>
      </c>
      <c r="J51">
        <f>IF(D51="","",IF(I51&lt;Parametros!$B$3,"Vencida",IF(I51-Parametros!$B$3&lt;=Parametros!$B$4,"Vence pronto","Vigente")))</f>
        <v/>
      </c>
      <c r="K51" s="6">
        <f>IF(D51="","",EDATE(D51,VLOOKUP(B51,Parametros!$A$7:$B$12,2,FALSE)*12))</f>
        <v/>
      </c>
      <c r="L51">
        <f>IF(D51="","",IF(K51&lt;=Parametros!$B$3,"Sí","No"))</f>
        <v/>
      </c>
      <c r="M51">
        <f>IF(A51="","",IFERROR(LOOKUP(2,1/(Movimientos!$B$4:$B$300=A51),Movimientos!$D$4:$D$300),"Sin movimientos"))</f>
        <v/>
      </c>
      <c r="N51">
        <f>IF(A51="","",IFERROR(LOOKUP(2,1/(Movimientos!$B$4:$B$300=A51),Movimientos!$E$4:$E$300),"Sin movimientos"))</f>
        <v/>
      </c>
      <c r="O51">
        <f>IF(A51="","",IF(AND(F51=M51,G51=N51),"Sí","No"))</f>
        <v/>
      </c>
      <c r="P51">
        <f>IF(C51="","",IF(COUNTIF($C$4:$C$120,C51)&gt;1,"Sí","No"))</f>
        <v/>
      </c>
    </row>
    <row r="52">
      <c r="A52" s="3" t="n"/>
      <c r="B52" s="3" t="n"/>
      <c r="C52" s="3" t="n"/>
      <c r="D52" s="2" t="n"/>
      <c r="E52" s="3" t="n"/>
      <c r="F52" s="3" t="n"/>
      <c r="G52" s="3" t="n"/>
      <c r="H52" s="3" t="n"/>
      <c r="I52" s="6">
        <f>IF(D52="","",EDATE(D52,E52))</f>
        <v/>
      </c>
      <c r="J52">
        <f>IF(D52="","",IF(I52&lt;Parametros!$B$3,"Vencida",IF(I52-Parametros!$B$3&lt;=Parametros!$B$4,"Vence pronto","Vigente")))</f>
        <v/>
      </c>
      <c r="K52" s="6">
        <f>IF(D52="","",EDATE(D52,VLOOKUP(B52,Parametros!$A$7:$B$12,2,FALSE)*12))</f>
        <v/>
      </c>
      <c r="L52">
        <f>IF(D52="","",IF(K52&lt;=Parametros!$B$3,"Sí","No"))</f>
        <v/>
      </c>
      <c r="M52">
        <f>IF(A52="","",IFERROR(LOOKUP(2,1/(Movimientos!$B$4:$B$300=A52),Movimientos!$D$4:$D$300),"Sin movimientos"))</f>
        <v/>
      </c>
      <c r="N52">
        <f>IF(A52="","",IFERROR(LOOKUP(2,1/(Movimientos!$B$4:$B$300=A52),Movimientos!$E$4:$E$300),"Sin movimientos"))</f>
        <v/>
      </c>
      <c r="O52">
        <f>IF(A52="","",IF(AND(F52=M52,G52=N52),"Sí","No"))</f>
        <v/>
      </c>
      <c r="P52">
        <f>IF(C52="","",IF(COUNTIF($C$4:$C$120,C52)&gt;1,"Sí","No"))</f>
        <v/>
      </c>
    </row>
    <row r="53">
      <c r="A53" s="3" t="n"/>
      <c r="B53" s="3" t="n"/>
      <c r="C53" s="3" t="n"/>
      <c r="D53" s="2" t="n"/>
      <c r="E53" s="3" t="n"/>
      <c r="F53" s="3" t="n"/>
      <c r="G53" s="3" t="n"/>
      <c r="H53" s="3" t="n"/>
      <c r="I53" s="6">
        <f>IF(D53="","",EDATE(D53,E53))</f>
        <v/>
      </c>
      <c r="J53">
        <f>IF(D53="","",IF(I53&lt;Parametros!$B$3,"Vencida",IF(I53-Parametros!$B$3&lt;=Parametros!$B$4,"Vence pronto","Vigente")))</f>
        <v/>
      </c>
      <c r="K53" s="6">
        <f>IF(D53="","",EDATE(D53,VLOOKUP(B53,Parametros!$A$7:$B$12,2,FALSE)*12))</f>
        <v/>
      </c>
      <c r="L53">
        <f>IF(D53="","",IF(K53&lt;=Parametros!$B$3,"Sí","No"))</f>
        <v/>
      </c>
      <c r="M53">
        <f>IF(A53="","",IFERROR(LOOKUP(2,1/(Movimientos!$B$4:$B$300=A53),Movimientos!$D$4:$D$300),"Sin movimientos"))</f>
        <v/>
      </c>
      <c r="N53">
        <f>IF(A53="","",IFERROR(LOOKUP(2,1/(Movimientos!$B$4:$B$300=A53),Movimientos!$E$4:$E$300),"Sin movimientos"))</f>
        <v/>
      </c>
      <c r="O53">
        <f>IF(A53="","",IF(AND(F53=M53,G53=N53),"Sí","No"))</f>
        <v/>
      </c>
      <c r="P53">
        <f>IF(C53="","",IF(COUNTIF($C$4:$C$120,C53)&gt;1,"Sí","No"))</f>
        <v/>
      </c>
    </row>
    <row r="54">
      <c r="A54" s="3" t="n"/>
      <c r="B54" s="3" t="n"/>
      <c r="C54" s="3" t="n"/>
      <c r="D54" s="2" t="n"/>
      <c r="E54" s="3" t="n"/>
      <c r="F54" s="3" t="n"/>
      <c r="G54" s="3" t="n"/>
      <c r="H54" s="3" t="n"/>
      <c r="I54" s="6">
        <f>IF(D54="","",EDATE(D54,E54))</f>
        <v/>
      </c>
      <c r="J54">
        <f>IF(D54="","",IF(I54&lt;Parametros!$B$3,"Vencida",IF(I54-Parametros!$B$3&lt;=Parametros!$B$4,"Vence pronto","Vigente")))</f>
        <v/>
      </c>
      <c r="K54" s="6">
        <f>IF(D54="","",EDATE(D54,VLOOKUP(B54,Parametros!$A$7:$B$12,2,FALSE)*12))</f>
        <v/>
      </c>
      <c r="L54">
        <f>IF(D54="","",IF(K54&lt;=Parametros!$B$3,"Sí","No"))</f>
        <v/>
      </c>
      <c r="M54">
        <f>IF(A54="","",IFERROR(LOOKUP(2,1/(Movimientos!$B$4:$B$300=A54),Movimientos!$D$4:$D$300),"Sin movimientos"))</f>
        <v/>
      </c>
      <c r="N54">
        <f>IF(A54="","",IFERROR(LOOKUP(2,1/(Movimientos!$B$4:$B$300=A54),Movimientos!$E$4:$E$300),"Sin movimientos"))</f>
        <v/>
      </c>
      <c r="O54">
        <f>IF(A54="","",IF(AND(F54=M54,G54=N54),"Sí","No"))</f>
        <v/>
      </c>
      <c r="P54">
        <f>IF(C54="","",IF(COUNTIF($C$4:$C$120,C54)&gt;1,"Sí","No"))</f>
        <v/>
      </c>
    </row>
    <row r="55">
      <c r="A55" s="3" t="n"/>
      <c r="B55" s="3" t="n"/>
      <c r="C55" s="3" t="n"/>
      <c r="D55" s="2" t="n"/>
      <c r="E55" s="3" t="n"/>
      <c r="F55" s="3" t="n"/>
      <c r="G55" s="3" t="n"/>
      <c r="H55" s="3" t="n"/>
      <c r="I55" s="6">
        <f>IF(D55="","",EDATE(D55,E55))</f>
        <v/>
      </c>
      <c r="J55">
        <f>IF(D55="","",IF(I55&lt;Parametros!$B$3,"Vencida",IF(I55-Parametros!$B$3&lt;=Parametros!$B$4,"Vence pronto","Vigente")))</f>
        <v/>
      </c>
      <c r="K55" s="6">
        <f>IF(D55="","",EDATE(D55,VLOOKUP(B55,Parametros!$A$7:$B$12,2,FALSE)*12))</f>
        <v/>
      </c>
      <c r="L55">
        <f>IF(D55="","",IF(K55&lt;=Parametros!$B$3,"Sí","No"))</f>
        <v/>
      </c>
      <c r="M55">
        <f>IF(A55="","",IFERROR(LOOKUP(2,1/(Movimientos!$B$4:$B$300=A55),Movimientos!$D$4:$D$300),"Sin movimientos"))</f>
        <v/>
      </c>
      <c r="N55">
        <f>IF(A55="","",IFERROR(LOOKUP(2,1/(Movimientos!$B$4:$B$300=A55),Movimientos!$E$4:$E$300),"Sin movimientos"))</f>
        <v/>
      </c>
      <c r="O55">
        <f>IF(A55="","",IF(AND(F55=M55,G55=N55),"Sí","No"))</f>
        <v/>
      </c>
      <c r="P55">
        <f>IF(C55="","",IF(COUNTIF($C$4:$C$120,C55)&gt;1,"Sí","No"))</f>
        <v/>
      </c>
    </row>
    <row r="56">
      <c r="A56" s="3" t="n"/>
      <c r="B56" s="3" t="n"/>
      <c r="C56" s="3" t="n"/>
      <c r="D56" s="2" t="n"/>
      <c r="E56" s="3" t="n"/>
      <c r="F56" s="3" t="n"/>
      <c r="G56" s="3" t="n"/>
      <c r="H56" s="3" t="n"/>
      <c r="I56" s="6">
        <f>IF(D56="","",EDATE(D56,E56))</f>
        <v/>
      </c>
      <c r="J56">
        <f>IF(D56="","",IF(I56&lt;Parametros!$B$3,"Vencida",IF(I56-Parametros!$B$3&lt;=Parametros!$B$4,"Vence pronto","Vigente")))</f>
        <v/>
      </c>
      <c r="K56" s="6">
        <f>IF(D56="","",EDATE(D56,VLOOKUP(B56,Parametros!$A$7:$B$12,2,FALSE)*12))</f>
        <v/>
      </c>
      <c r="L56">
        <f>IF(D56="","",IF(K56&lt;=Parametros!$B$3,"Sí","No"))</f>
        <v/>
      </c>
      <c r="M56">
        <f>IF(A56="","",IFERROR(LOOKUP(2,1/(Movimientos!$B$4:$B$300=A56),Movimientos!$D$4:$D$300),"Sin movimientos"))</f>
        <v/>
      </c>
      <c r="N56">
        <f>IF(A56="","",IFERROR(LOOKUP(2,1/(Movimientos!$B$4:$B$300=A56),Movimientos!$E$4:$E$300),"Sin movimientos"))</f>
        <v/>
      </c>
      <c r="O56">
        <f>IF(A56="","",IF(AND(F56=M56,G56=N56),"Sí","No"))</f>
        <v/>
      </c>
      <c r="P56">
        <f>IF(C56="","",IF(COUNTIF($C$4:$C$120,C56)&gt;1,"Sí","No"))</f>
        <v/>
      </c>
    </row>
    <row r="57">
      <c r="A57" s="3" t="n"/>
      <c r="B57" s="3" t="n"/>
      <c r="C57" s="3" t="n"/>
      <c r="D57" s="2" t="n"/>
      <c r="E57" s="3" t="n"/>
      <c r="F57" s="3" t="n"/>
      <c r="G57" s="3" t="n"/>
      <c r="H57" s="3" t="n"/>
      <c r="I57" s="6">
        <f>IF(D57="","",EDATE(D57,E57))</f>
        <v/>
      </c>
      <c r="J57">
        <f>IF(D57="","",IF(I57&lt;Parametros!$B$3,"Vencida",IF(I57-Parametros!$B$3&lt;=Parametros!$B$4,"Vence pronto","Vigente")))</f>
        <v/>
      </c>
      <c r="K57" s="6">
        <f>IF(D57="","",EDATE(D57,VLOOKUP(B57,Parametros!$A$7:$B$12,2,FALSE)*12))</f>
        <v/>
      </c>
      <c r="L57">
        <f>IF(D57="","",IF(K57&lt;=Parametros!$B$3,"Sí","No"))</f>
        <v/>
      </c>
      <c r="M57">
        <f>IF(A57="","",IFERROR(LOOKUP(2,1/(Movimientos!$B$4:$B$300=A57),Movimientos!$D$4:$D$300),"Sin movimientos"))</f>
        <v/>
      </c>
      <c r="N57">
        <f>IF(A57="","",IFERROR(LOOKUP(2,1/(Movimientos!$B$4:$B$300=A57),Movimientos!$E$4:$E$300),"Sin movimientos"))</f>
        <v/>
      </c>
      <c r="O57">
        <f>IF(A57="","",IF(AND(F57=M57,G57=N57),"Sí","No"))</f>
        <v/>
      </c>
      <c r="P57">
        <f>IF(C57="","",IF(COUNTIF($C$4:$C$120,C57)&gt;1,"Sí","No"))</f>
        <v/>
      </c>
    </row>
    <row r="58">
      <c r="A58" s="3" t="n"/>
      <c r="B58" s="3" t="n"/>
      <c r="C58" s="3" t="n"/>
      <c r="D58" s="2" t="n"/>
      <c r="E58" s="3" t="n"/>
      <c r="F58" s="3" t="n"/>
      <c r="G58" s="3" t="n"/>
      <c r="H58" s="3" t="n"/>
      <c r="I58" s="6">
        <f>IF(D58="","",EDATE(D58,E58))</f>
        <v/>
      </c>
      <c r="J58">
        <f>IF(D58="","",IF(I58&lt;Parametros!$B$3,"Vencida",IF(I58-Parametros!$B$3&lt;=Parametros!$B$4,"Vence pronto","Vigente")))</f>
        <v/>
      </c>
      <c r="K58" s="6">
        <f>IF(D58="","",EDATE(D58,VLOOKUP(B58,Parametros!$A$7:$B$12,2,FALSE)*12))</f>
        <v/>
      </c>
      <c r="L58">
        <f>IF(D58="","",IF(K58&lt;=Parametros!$B$3,"Sí","No"))</f>
        <v/>
      </c>
      <c r="M58">
        <f>IF(A58="","",IFERROR(LOOKUP(2,1/(Movimientos!$B$4:$B$300=A58),Movimientos!$D$4:$D$300),"Sin movimientos"))</f>
        <v/>
      </c>
      <c r="N58">
        <f>IF(A58="","",IFERROR(LOOKUP(2,1/(Movimientos!$B$4:$B$300=A58),Movimientos!$E$4:$E$300),"Sin movimientos"))</f>
        <v/>
      </c>
      <c r="O58">
        <f>IF(A58="","",IF(AND(F58=M58,G58=N58),"Sí","No"))</f>
        <v/>
      </c>
      <c r="P58">
        <f>IF(C58="","",IF(COUNTIF($C$4:$C$120,C58)&gt;1,"Sí","No"))</f>
        <v/>
      </c>
    </row>
    <row r="59">
      <c r="A59" s="3" t="n"/>
      <c r="B59" s="3" t="n"/>
      <c r="C59" s="3" t="n"/>
      <c r="D59" s="2" t="n"/>
      <c r="E59" s="3" t="n"/>
      <c r="F59" s="3" t="n"/>
      <c r="G59" s="3" t="n"/>
      <c r="H59" s="3" t="n"/>
      <c r="I59" s="6">
        <f>IF(D59="","",EDATE(D59,E59))</f>
        <v/>
      </c>
      <c r="J59">
        <f>IF(D59="","",IF(I59&lt;Parametros!$B$3,"Vencida",IF(I59-Parametros!$B$3&lt;=Parametros!$B$4,"Vence pronto","Vigente")))</f>
        <v/>
      </c>
      <c r="K59" s="6">
        <f>IF(D59="","",EDATE(D59,VLOOKUP(B59,Parametros!$A$7:$B$12,2,FALSE)*12))</f>
        <v/>
      </c>
      <c r="L59">
        <f>IF(D59="","",IF(K59&lt;=Parametros!$B$3,"Sí","No"))</f>
        <v/>
      </c>
      <c r="M59">
        <f>IF(A59="","",IFERROR(LOOKUP(2,1/(Movimientos!$B$4:$B$300=A59),Movimientos!$D$4:$D$300),"Sin movimientos"))</f>
        <v/>
      </c>
      <c r="N59">
        <f>IF(A59="","",IFERROR(LOOKUP(2,1/(Movimientos!$B$4:$B$300=A59),Movimientos!$E$4:$E$300),"Sin movimientos"))</f>
        <v/>
      </c>
      <c r="O59">
        <f>IF(A59="","",IF(AND(F59=M59,G59=N59),"Sí","No"))</f>
        <v/>
      </c>
      <c r="P59">
        <f>IF(C59="","",IF(COUNTIF($C$4:$C$120,C59)&gt;1,"Sí","No"))</f>
        <v/>
      </c>
    </row>
    <row r="60">
      <c r="A60" s="3" t="n"/>
      <c r="B60" s="3" t="n"/>
      <c r="C60" s="3" t="n"/>
      <c r="D60" s="2" t="n"/>
      <c r="E60" s="3" t="n"/>
      <c r="F60" s="3" t="n"/>
      <c r="G60" s="3" t="n"/>
      <c r="H60" s="3" t="n"/>
      <c r="I60" s="6">
        <f>IF(D60="","",EDATE(D60,E60))</f>
        <v/>
      </c>
      <c r="J60">
        <f>IF(D60="","",IF(I60&lt;Parametros!$B$3,"Vencida",IF(I60-Parametros!$B$3&lt;=Parametros!$B$4,"Vence pronto","Vigente")))</f>
        <v/>
      </c>
      <c r="K60" s="6">
        <f>IF(D60="","",EDATE(D60,VLOOKUP(B60,Parametros!$A$7:$B$12,2,FALSE)*12))</f>
        <v/>
      </c>
      <c r="L60">
        <f>IF(D60="","",IF(K60&lt;=Parametros!$B$3,"Sí","No"))</f>
        <v/>
      </c>
      <c r="M60">
        <f>IF(A60="","",IFERROR(LOOKUP(2,1/(Movimientos!$B$4:$B$300=A60),Movimientos!$D$4:$D$300),"Sin movimientos"))</f>
        <v/>
      </c>
      <c r="N60">
        <f>IF(A60="","",IFERROR(LOOKUP(2,1/(Movimientos!$B$4:$B$300=A60),Movimientos!$E$4:$E$300),"Sin movimientos"))</f>
        <v/>
      </c>
      <c r="O60">
        <f>IF(A60="","",IF(AND(F60=M60,G60=N60),"Sí","No"))</f>
        <v/>
      </c>
      <c r="P60">
        <f>IF(C60="","",IF(COUNTIF($C$4:$C$120,C60)&gt;1,"Sí","No"))</f>
        <v/>
      </c>
    </row>
    <row r="61">
      <c r="A61" s="3" t="n"/>
      <c r="B61" s="3" t="n"/>
      <c r="C61" s="3" t="n"/>
      <c r="D61" s="2" t="n"/>
      <c r="E61" s="3" t="n"/>
      <c r="F61" s="3" t="n"/>
      <c r="G61" s="3" t="n"/>
      <c r="H61" s="3" t="n"/>
      <c r="I61" s="6">
        <f>IF(D61="","",EDATE(D61,E61))</f>
        <v/>
      </c>
      <c r="J61">
        <f>IF(D61="","",IF(I61&lt;Parametros!$B$3,"Vencida",IF(I61-Parametros!$B$3&lt;=Parametros!$B$4,"Vence pronto","Vigente")))</f>
        <v/>
      </c>
      <c r="K61" s="6">
        <f>IF(D61="","",EDATE(D61,VLOOKUP(B61,Parametros!$A$7:$B$12,2,FALSE)*12))</f>
        <v/>
      </c>
      <c r="L61">
        <f>IF(D61="","",IF(K61&lt;=Parametros!$B$3,"Sí","No"))</f>
        <v/>
      </c>
      <c r="M61">
        <f>IF(A61="","",IFERROR(LOOKUP(2,1/(Movimientos!$B$4:$B$300=A61),Movimientos!$D$4:$D$300),"Sin movimientos"))</f>
        <v/>
      </c>
      <c r="N61">
        <f>IF(A61="","",IFERROR(LOOKUP(2,1/(Movimientos!$B$4:$B$300=A61),Movimientos!$E$4:$E$300),"Sin movimientos"))</f>
        <v/>
      </c>
      <c r="O61">
        <f>IF(A61="","",IF(AND(F61=M61,G61=N61),"Sí","No"))</f>
        <v/>
      </c>
      <c r="P61">
        <f>IF(C61="","",IF(COUNTIF($C$4:$C$120,C61)&gt;1,"Sí","No"))</f>
        <v/>
      </c>
    </row>
    <row r="62">
      <c r="A62" s="3" t="n"/>
      <c r="B62" s="3" t="n"/>
      <c r="C62" s="3" t="n"/>
      <c r="D62" s="2" t="n"/>
      <c r="E62" s="3" t="n"/>
      <c r="F62" s="3" t="n"/>
      <c r="G62" s="3" t="n"/>
      <c r="H62" s="3" t="n"/>
      <c r="I62" s="6">
        <f>IF(D62="","",EDATE(D62,E62))</f>
        <v/>
      </c>
      <c r="J62">
        <f>IF(D62="","",IF(I62&lt;Parametros!$B$3,"Vencida",IF(I62-Parametros!$B$3&lt;=Parametros!$B$4,"Vence pronto","Vigente")))</f>
        <v/>
      </c>
      <c r="K62" s="6">
        <f>IF(D62="","",EDATE(D62,VLOOKUP(B62,Parametros!$A$7:$B$12,2,FALSE)*12))</f>
        <v/>
      </c>
      <c r="L62">
        <f>IF(D62="","",IF(K62&lt;=Parametros!$B$3,"Sí","No"))</f>
        <v/>
      </c>
      <c r="M62">
        <f>IF(A62="","",IFERROR(LOOKUP(2,1/(Movimientos!$B$4:$B$300=A62),Movimientos!$D$4:$D$300),"Sin movimientos"))</f>
        <v/>
      </c>
      <c r="N62">
        <f>IF(A62="","",IFERROR(LOOKUP(2,1/(Movimientos!$B$4:$B$300=A62),Movimientos!$E$4:$E$300),"Sin movimientos"))</f>
        <v/>
      </c>
      <c r="O62">
        <f>IF(A62="","",IF(AND(F62=M62,G62=N62),"Sí","No"))</f>
        <v/>
      </c>
      <c r="P62">
        <f>IF(C62="","",IF(COUNTIF($C$4:$C$120,C62)&gt;1,"Sí","No"))</f>
        <v/>
      </c>
    </row>
    <row r="63">
      <c r="A63" s="3" t="n"/>
      <c r="B63" s="3" t="n"/>
      <c r="C63" s="3" t="n"/>
      <c r="D63" s="2" t="n"/>
      <c r="E63" s="3" t="n"/>
      <c r="F63" s="3" t="n"/>
      <c r="G63" s="3" t="n"/>
      <c r="H63" s="3" t="n"/>
      <c r="I63" s="6">
        <f>IF(D63="","",EDATE(D63,E63))</f>
        <v/>
      </c>
      <c r="J63">
        <f>IF(D63="","",IF(I63&lt;Parametros!$B$3,"Vencida",IF(I63-Parametros!$B$3&lt;=Parametros!$B$4,"Vence pronto","Vigente")))</f>
        <v/>
      </c>
      <c r="K63" s="6">
        <f>IF(D63="","",EDATE(D63,VLOOKUP(B63,Parametros!$A$7:$B$12,2,FALSE)*12))</f>
        <v/>
      </c>
      <c r="L63">
        <f>IF(D63="","",IF(K63&lt;=Parametros!$B$3,"Sí","No"))</f>
        <v/>
      </c>
      <c r="M63">
        <f>IF(A63="","",IFERROR(LOOKUP(2,1/(Movimientos!$B$4:$B$300=A63),Movimientos!$D$4:$D$300),"Sin movimientos"))</f>
        <v/>
      </c>
      <c r="N63">
        <f>IF(A63="","",IFERROR(LOOKUP(2,1/(Movimientos!$B$4:$B$300=A63),Movimientos!$E$4:$E$300),"Sin movimientos"))</f>
        <v/>
      </c>
      <c r="O63">
        <f>IF(A63="","",IF(AND(F63=M63,G63=N63),"Sí","No"))</f>
        <v/>
      </c>
      <c r="P63">
        <f>IF(C63="","",IF(COUNTIF($C$4:$C$120,C63)&gt;1,"Sí","No"))</f>
        <v/>
      </c>
    </row>
    <row r="64">
      <c r="A64" s="3" t="n"/>
      <c r="B64" s="3" t="n"/>
      <c r="C64" s="3" t="n"/>
      <c r="D64" s="2" t="n"/>
      <c r="E64" s="3" t="n"/>
      <c r="F64" s="3" t="n"/>
      <c r="G64" s="3" t="n"/>
      <c r="H64" s="3" t="n"/>
      <c r="I64" s="6">
        <f>IF(D64="","",EDATE(D64,E64))</f>
        <v/>
      </c>
      <c r="J64">
        <f>IF(D64="","",IF(I64&lt;Parametros!$B$3,"Vencida",IF(I64-Parametros!$B$3&lt;=Parametros!$B$4,"Vence pronto","Vigente")))</f>
        <v/>
      </c>
      <c r="K64" s="6">
        <f>IF(D64="","",EDATE(D64,VLOOKUP(B64,Parametros!$A$7:$B$12,2,FALSE)*12))</f>
        <v/>
      </c>
      <c r="L64">
        <f>IF(D64="","",IF(K64&lt;=Parametros!$B$3,"Sí","No"))</f>
        <v/>
      </c>
      <c r="M64">
        <f>IF(A64="","",IFERROR(LOOKUP(2,1/(Movimientos!$B$4:$B$300=A64),Movimientos!$D$4:$D$300),"Sin movimientos"))</f>
        <v/>
      </c>
      <c r="N64">
        <f>IF(A64="","",IFERROR(LOOKUP(2,1/(Movimientos!$B$4:$B$300=A64),Movimientos!$E$4:$E$300),"Sin movimientos"))</f>
        <v/>
      </c>
      <c r="O64">
        <f>IF(A64="","",IF(AND(F64=M64,G64=N64),"Sí","No"))</f>
        <v/>
      </c>
      <c r="P64">
        <f>IF(C64="","",IF(COUNTIF($C$4:$C$120,C64)&gt;1,"Sí","No"))</f>
        <v/>
      </c>
    </row>
    <row r="65">
      <c r="A65" s="3" t="n"/>
      <c r="B65" s="3" t="n"/>
      <c r="C65" s="3" t="n"/>
      <c r="D65" s="2" t="n"/>
      <c r="E65" s="3" t="n"/>
      <c r="F65" s="3" t="n"/>
      <c r="G65" s="3" t="n"/>
      <c r="H65" s="3" t="n"/>
      <c r="I65" s="6">
        <f>IF(D65="","",EDATE(D65,E65))</f>
        <v/>
      </c>
      <c r="J65">
        <f>IF(D65="","",IF(I65&lt;Parametros!$B$3,"Vencida",IF(I65-Parametros!$B$3&lt;=Parametros!$B$4,"Vence pronto","Vigente")))</f>
        <v/>
      </c>
      <c r="K65" s="6">
        <f>IF(D65="","",EDATE(D65,VLOOKUP(B65,Parametros!$A$7:$B$12,2,FALSE)*12))</f>
        <v/>
      </c>
      <c r="L65">
        <f>IF(D65="","",IF(K65&lt;=Parametros!$B$3,"Sí","No"))</f>
        <v/>
      </c>
      <c r="M65">
        <f>IF(A65="","",IFERROR(LOOKUP(2,1/(Movimientos!$B$4:$B$300=A65),Movimientos!$D$4:$D$300),"Sin movimientos"))</f>
        <v/>
      </c>
      <c r="N65">
        <f>IF(A65="","",IFERROR(LOOKUP(2,1/(Movimientos!$B$4:$B$300=A65),Movimientos!$E$4:$E$300),"Sin movimientos"))</f>
        <v/>
      </c>
      <c r="O65">
        <f>IF(A65="","",IF(AND(F65=M65,G65=N65),"Sí","No"))</f>
        <v/>
      </c>
      <c r="P65">
        <f>IF(C65="","",IF(COUNTIF($C$4:$C$120,C65)&gt;1,"Sí","No"))</f>
        <v/>
      </c>
    </row>
    <row r="66">
      <c r="A66" s="3" t="n"/>
      <c r="B66" s="3" t="n"/>
      <c r="C66" s="3" t="n"/>
      <c r="D66" s="2" t="n"/>
      <c r="E66" s="3" t="n"/>
      <c r="F66" s="3" t="n"/>
      <c r="G66" s="3" t="n"/>
      <c r="H66" s="3" t="n"/>
      <c r="I66" s="6">
        <f>IF(D66="","",EDATE(D66,E66))</f>
        <v/>
      </c>
      <c r="J66">
        <f>IF(D66="","",IF(I66&lt;Parametros!$B$3,"Vencida",IF(I66-Parametros!$B$3&lt;=Parametros!$B$4,"Vence pronto","Vigente")))</f>
        <v/>
      </c>
      <c r="K66" s="6">
        <f>IF(D66="","",EDATE(D66,VLOOKUP(B66,Parametros!$A$7:$B$12,2,FALSE)*12))</f>
        <v/>
      </c>
      <c r="L66">
        <f>IF(D66="","",IF(K66&lt;=Parametros!$B$3,"Sí","No"))</f>
        <v/>
      </c>
      <c r="M66">
        <f>IF(A66="","",IFERROR(LOOKUP(2,1/(Movimientos!$B$4:$B$300=A66),Movimientos!$D$4:$D$300),"Sin movimientos"))</f>
        <v/>
      </c>
      <c r="N66">
        <f>IF(A66="","",IFERROR(LOOKUP(2,1/(Movimientos!$B$4:$B$300=A66),Movimientos!$E$4:$E$300),"Sin movimientos"))</f>
        <v/>
      </c>
      <c r="O66">
        <f>IF(A66="","",IF(AND(F66=M66,G66=N66),"Sí","No"))</f>
        <v/>
      </c>
      <c r="P66">
        <f>IF(C66="","",IF(COUNTIF($C$4:$C$120,C66)&gt;1,"Sí","No"))</f>
        <v/>
      </c>
    </row>
    <row r="67">
      <c r="A67" s="3" t="n"/>
      <c r="B67" s="3" t="n"/>
      <c r="C67" s="3" t="n"/>
      <c r="D67" s="2" t="n"/>
      <c r="E67" s="3" t="n"/>
      <c r="F67" s="3" t="n"/>
      <c r="G67" s="3" t="n"/>
      <c r="H67" s="3" t="n"/>
      <c r="I67" s="6">
        <f>IF(D67="","",EDATE(D67,E67))</f>
        <v/>
      </c>
      <c r="J67">
        <f>IF(D67="","",IF(I67&lt;Parametros!$B$3,"Vencida",IF(I67-Parametros!$B$3&lt;=Parametros!$B$4,"Vence pronto","Vigente")))</f>
        <v/>
      </c>
      <c r="K67" s="6">
        <f>IF(D67="","",EDATE(D67,VLOOKUP(B67,Parametros!$A$7:$B$12,2,FALSE)*12))</f>
        <v/>
      </c>
      <c r="L67">
        <f>IF(D67="","",IF(K67&lt;=Parametros!$B$3,"Sí","No"))</f>
        <v/>
      </c>
      <c r="M67">
        <f>IF(A67="","",IFERROR(LOOKUP(2,1/(Movimientos!$B$4:$B$300=A67),Movimientos!$D$4:$D$300),"Sin movimientos"))</f>
        <v/>
      </c>
      <c r="N67">
        <f>IF(A67="","",IFERROR(LOOKUP(2,1/(Movimientos!$B$4:$B$300=A67),Movimientos!$E$4:$E$300),"Sin movimientos"))</f>
        <v/>
      </c>
      <c r="O67">
        <f>IF(A67="","",IF(AND(F67=M67,G67=N67),"Sí","No"))</f>
        <v/>
      </c>
      <c r="P67">
        <f>IF(C67="","",IF(COUNTIF($C$4:$C$120,C67)&gt;1,"Sí","No"))</f>
        <v/>
      </c>
    </row>
    <row r="68">
      <c r="A68" s="3" t="n"/>
      <c r="B68" s="3" t="n"/>
      <c r="C68" s="3" t="n"/>
      <c r="D68" s="2" t="n"/>
      <c r="E68" s="3" t="n"/>
      <c r="F68" s="3" t="n"/>
      <c r="G68" s="3" t="n"/>
      <c r="H68" s="3" t="n"/>
      <c r="I68" s="6">
        <f>IF(D68="","",EDATE(D68,E68))</f>
        <v/>
      </c>
      <c r="J68">
        <f>IF(D68="","",IF(I68&lt;Parametros!$B$3,"Vencida",IF(I68-Parametros!$B$3&lt;=Parametros!$B$4,"Vence pronto","Vigente")))</f>
        <v/>
      </c>
      <c r="K68" s="6">
        <f>IF(D68="","",EDATE(D68,VLOOKUP(B68,Parametros!$A$7:$B$12,2,FALSE)*12))</f>
        <v/>
      </c>
      <c r="L68">
        <f>IF(D68="","",IF(K68&lt;=Parametros!$B$3,"Sí","No"))</f>
        <v/>
      </c>
      <c r="M68">
        <f>IF(A68="","",IFERROR(LOOKUP(2,1/(Movimientos!$B$4:$B$300=A68),Movimientos!$D$4:$D$300),"Sin movimientos"))</f>
        <v/>
      </c>
      <c r="N68">
        <f>IF(A68="","",IFERROR(LOOKUP(2,1/(Movimientos!$B$4:$B$300=A68),Movimientos!$E$4:$E$300),"Sin movimientos"))</f>
        <v/>
      </c>
      <c r="O68">
        <f>IF(A68="","",IF(AND(F68=M68,G68=N68),"Sí","No"))</f>
        <v/>
      </c>
      <c r="P68">
        <f>IF(C68="","",IF(COUNTIF($C$4:$C$120,C68)&gt;1,"Sí","No"))</f>
        <v/>
      </c>
    </row>
    <row r="69">
      <c r="A69" s="3" t="n"/>
      <c r="B69" s="3" t="n"/>
      <c r="C69" s="3" t="n"/>
      <c r="D69" s="2" t="n"/>
      <c r="E69" s="3" t="n"/>
      <c r="F69" s="3" t="n"/>
      <c r="G69" s="3" t="n"/>
      <c r="H69" s="3" t="n"/>
      <c r="I69" s="6">
        <f>IF(D69="","",EDATE(D69,E69))</f>
        <v/>
      </c>
      <c r="J69">
        <f>IF(D69="","",IF(I69&lt;Parametros!$B$3,"Vencida",IF(I69-Parametros!$B$3&lt;=Parametros!$B$4,"Vence pronto","Vigente")))</f>
        <v/>
      </c>
      <c r="K69" s="6">
        <f>IF(D69="","",EDATE(D69,VLOOKUP(B69,Parametros!$A$7:$B$12,2,FALSE)*12))</f>
        <v/>
      </c>
      <c r="L69">
        <f>IF(D69="","",IF(K69&lt;=Parametros!$B$3,"Sí","No"))</f>
        <v/>
      </c>
      <c r="M69">
        <f>IF(A69="","",IFERROR(LOOKUP(2,1/(Movimientos!$B$4:$B$300=A69),Movimientos!$D$4:$D$300),"Sin movimientos"))</f>
        <v/>
      </c>
      <c r="N69">
        <f>IF(A69="","",IFERROR(LOOKUP(2,1/(Movimientos!$B$4:$B$300=A69),Movimientos!$E$4:$E$300),"Sin movimientos"))</f>
        <v/>
      </c>
      <c r="O69">
        <f>IF(A69="","",IF(AND(F69=M69,G69=N69),"Sí","No"))</f>
        <v/>
      </c>
      <c r="P69">
        <f>IF(C69="","",IF(COUNTIF($C$4:$C$120,C69)&gt;1,"Sí","No"))</f>
        <v/>
      </c>
    </row>
    <row r="70">
      <c r="A70" s="3" t="n"/>
      <c r="B70" s="3" t="n"/>
      <c r="C70" s="3" t="n"/>
      <c r="D70" s="2" t="n"/>
      <c r="E70" s="3" t="n"/>
      <c r="F70" s="3" t="n"/>
      <c r="G70" s="3" t="n"/>
      <c r="H70" s="3" t="n"/>
      <c r="I70" s="6">
        <f>IF(D70="","",EDATE(D70,E70))</f>
        <v/>
      </c>
      <c r="J70">
        <f>IF(D70="","",IF(I70&lt;Parametros!$B$3,"Vencida",IF(I70-Parametros!$B$3&lt;=Parametros!$B$4,"Vence pronto","Vigente")))</f>
        <v/>
      </c>
      <c r="K70" s="6">
        <f>IF(D70="","",EDATE(D70,VLOOKUP(B70,Parametros!$A$7:$B$12,2,FALSE)*12))</f>
        <v/>
      </c>
      <c r="L70">
        <f>IF(D70="","",IF(K70&lt;=Parametros!$B$3,"Sí","No"))</f>
        <v/>
      </c>
      <c r="M70">
        <f>IF(A70="","",IFERROR(LOOKUP(2,1/(Movimientos!$B$4:$B$300=A70),Movimientos!$D$4:$D$300),"Sin movimientos"))</f>
        <v/>
      </c>
      <c r="N70">
        <f>IF(A70="","",IFERROR(LOOKUP(2,1/(Movimientos!$B$4:$B$300=A70),Movimientos!$E$4:$E$300),"Sin movimientos"))</f>
        <v/>
      </c>
      <c r="O70">
        <f>IF(A70="","",IF(AND(F70=M70,G70=N70),"Sí","No"))</f>
        <v/>
      </c>
      <c r="P70">
        <f>IF(C70="","",IF(COUNTIF($C$4:$C$120,C70)&gt;1,"Sí","No"))</f>
        <v/>
      </c>
    </row>
    <row r="71">
      <c r="A71" s="3" t="n"/>
      <c r="B71" s="3" t="n"/>
      <c r="C71" s="3" t="n"/>
      <c r="D71" s="2" t="n"/>
      <c r="E71" s="3" t="n"/>
      <c r="F71" s="3" t="n"/>
      <c r="G71" s="3" t="n"/>
      <c r="H71" s="3" t="n"/>
      <c r="I71" s="6">
        <f>IF(D71="","",EDATE(D71,E71))</f>
        <v/>
      </c>
      <c r="J71">
        <f>IF(D71="","",IF(I71&lt;Parametros!$B$3,"Vencida",IF(I71-Parametros!$B$3&lt;=Parametros!$B$4,"Vence pronto","Vigente")))</f>
        <v/>
      </c>
      <c r="K71" s="6">
        <f>IF(D71="","",EDATE(D71,VLOOKUP(B71,Parametros!$A$7:$B$12,2,FALSE)*12))</f>
        <v/>
      </c>
      <c r="L71">
        <f>IF(D71="","",IF(K71&lt;=Parametros!$B$3,"Sí","No"))</f>
        <v/>
      </c>
      <c r="M71">
        <f>IF(A71="","",IFERROR(LOOKUP(2,1/(Movimientos!$B$4:$B$300=A71),Movimientos!$D$4:$D$300),"Sin movimientos"))</f>
        <v/>
      </c>
      <c r="N71">
        <f>IF(A71="","",IFERROR(LOOKUP(2,1/(Movimientos!$B$4:$B$300=A71),Movimientos!$E$4:$E$300),"Sin movimientos"))</f>
        <v/>
      </c>
      <c r="O71">
        <f>IF(A71="","",IF(AND(F71=M71,G71=N71),"Sí","No"))</f>
        <v/>
      </c>
      <c r="P71">
        <f>IF(C71="","",IF(COUNTIF($C$4:$C$120,C71)&gt;1,"Sí","No"))</f>
        <v/>
      </c>
    </row>
    <row r="72">
      <c r="A72" s="3" t="n"/>
      <c r="B72" s="3" t="n"/>
      <c r="C72" s="3" t="n"/>
      <c r="D72" s="2" t="n"/>
      <c r="E72" s="3" t="n"/>
      <c r="F72" s="3" t="n"/>
      <c r="G72" s="3" t="n"/>
      <c r="H72" s="3" t="n"/>
      <c r="I72" s="6">
        <f>IF(D72="","",EDATE(D72,E72))</f>
        <v/>
      </c>
      <c r="J72">
        <f>IF(D72="","",IF(I72&lt;Parametros!$B$3,"Vencida",IF(I72-Parametros!$B$3&lt;=Parametros!$B$4,"Vence pronto","Vigente")))</f>
        <v/>
      </c>
      <c r="K72" s="6">
        <f>IF(D72="","",EDATE(D72,VLOOKUP(B72,Parametros!$A$7:$B$12,2,FALSE)*12))</f>
        <v/>
      </c>
      <c r="L72">
        <f>IF(D72="","",IF(K72&lt;=Parametros!$B$3,"Sí","No"))</f>
        <v/>
      </c>
      <c r="M72">
        <f>IF(A72="","",IFERROR(LOOKUP(2,1/(Movimientos!$B$4:$B$300=A72),Movimientos!$D$4:$D$300),"Sin movimientos"))</f>
        <v/>
      </c>
      <c r="N72">
        <f>IF(A72="","",IFERROR(LOOKUP(2,1/(Movimientos!$B$4:$B$300=A72),Movimientos!$E$4:$E$300),"Sin movimientos"))</f>
        <v/>
      </c>
      <c r="O72">
        <f>IF(A72="","",IF(AND(F72=M72,G72=N72),"Sí","No"))</f>
        <v/>
      </c>
      <c r="P72">
        <f>IF(C72="","",IF(COUNTIF($C$4:$C$120,C72)&gt;1,"Sí","No"))</f>
        <v/>
      </c>
    </row>
    <row r="73">
      <c r="A73" s="3" t="n"/>
      <c r="B73" s="3" t="n"/>
      <c r="C73" s="3" t="n"/>
      <c r="D73" s="2" t="n"/>
      <c r="E73" s="3" t="n"/>
      <c r="F73" s="3" t="n"/>
      <c r="G73" s="3" t="n"/>
      <c r="H73" s="3" t="n"/>
      <c r="I73" s="6">
        <f>IF(D73="","",EDATE(D73,E73))</f>
        <v/>
      </c>
      <c r="J73">
        <f>IF(D73="","",IF(I73&lt;Parametros!$B$3,"Vencida",IF(I73-Parametros!$B$3&lt;=Parametros!$B$4,"Vence pronto","Vigente")))</f>
        <v/>
      </c>
      <c r="K73" s="6">
        <f>IF(D73="","",EDATE(D73,VLOOKUP(B73,Parametros!$A$7:$B$12,2,FALSE)*12))</f>
        <v/>
      </c>
      <c r="L73">
        <f>IF(D73="","",IF(K73&lt;=Parametros!$B$3,"Sí","No"))</f>
        <v/>
      </c>
      <c r="M73">
        <f>IF(A73="","",IFERROR(LOOKUP(2,1/(Movimientos!$B$4:$B$300=A73),Movimientos!$D$4:$D$300),"Sin movimientos"))</f>
        <v/>
      </c>
      <c r="N73">
        <f>IF(A73="","",IFERROR(LOOKUP(2,1/(Movimientos!$B$4:$B$300=A73),Movimientos!$E$4:$E$300),"Sin movimientos"))</f>
        <v/>
      </c>
      <c r="O73">
        <f>IF(A73="","",IF(AND(F73=M73,G73=N73),"Sí","No"))</f>
        <v/>
      </c>
      <c r="P73">
        <f>IF(C73="","",IF(COUNTIF($C$4:$C$120,C73)&gt;1,"Sí","No"))</f>
        <v/>
      </c>
    </row>
    <row r="74">
      <c r="A74" s="3" t="n"/>
      <c r="B74" s="3" t="n"/>
      <c r="C74" s="3" t="n"/>
      <c r="D74" s="2" t="n"/>
      <c r="E74" s="3" t="n"/>
      <c r="F74" s="3" t="n"/>
      <c r="G74" s="3" t="n"/>
      <c r="H74" s="3" t="n"/>
      <c r="I74" s="6">
        <f>IF(D74="","",EDATE(D74,E74))</f>
        <v/>
      </c>
      <c r="J74">
        <f>IF(D74="","",IF(I74&lt;Parametros!$B$3,"Vencida",IF(I74-Parametros!$B$3&lt;=Parametros!$B$4,"Vence pronto","Vigente")))</f>
        <v/>
      </c>
      <c r="K74" s="6">
        <f>IF(D74="","",EDATE(D74,VLOOKUP(B74,Parametros!$A$7:$B$12,2,FALSE)*12))</f>
        <v/>
      </c>
      <c r="L74">
        <f>IF(D74="","",IF(K74&lt;=Parametros!$B$3,"Sí","No"))</f>
        <v/>
      </c>
      <c r="M74">
        <f>IF(A74="","",IFERROR(LOOKUP(2,1/(Movimientos!$B$4:$B$300=A74),Movimientos!$D$4:$D$300),"Sin movimientos"))</f>
        <v/>
      </c>
      <c r="N74">
        <f>IF(A74="","",IFERROR(LOOKUP(2,1/(Movimientos!$B$4:$B$300=A74),Movimientos!$E$4:$E$300),"Sin movimientos"))</f>
        <v/>
      </c>
      <c r="O74">
        <f>IF(A74="","",IF(AND(F74=M74,G74=N74),"Sí","No"))</f>
        <v/>
      </c>
      <c r="P74">
        <f>IF(C74="","",IF(COUNTIF($C$4:$C$120,C74)&gt;1,"Sí","No"))</f>
        <v/>
      </c>
    </row>
    <row r="75">
      <c r="A75" s="3" t="n"/>
      <c r="B75" s="3" t="n"/>
      <c r="C75" s="3" t="n"/>
      <c r="D75" s="2" t="n"/>
      <c r="E75" s="3" t="n"/>
      <c r="F75" s="3" t="n"/>
      <c r="G75" s="3" t="n"/>
      <c r="H75" s="3" t="n"/>
      <c r="I75" s="6">
        <f>IF(D75="","",EDATE(D75,E75))</f>
        <v/>
      </c>
      <c r="J75">
        <f>IF(D75="","",IF(I75&lt;Parametros!$B$3,"Vencida",IF(I75-Parametros!$B$3&lt;=Parametros!$B$4,"Vence pronto","Vigente")))</f>
        <v/>
      </c>
      <c r="K75" s="6">
        <f>IF(D75="","",EDATE(D75,VLOOKUP(B75,Parametros!$A$7:$B$12,2,FALSE)*12))</f>
        <v/>
      </c>
      <c r="L75">
        <f>IF(D75="","",IF(K75&lt;=Parametros!$B$3,"Sí","No"))</f>
        <v/>
      </c>
      <c r="M75">
        <f>IF(A75="","",IFERROR(LOOKUP(2,1/(Movimientos!$B$4:$B$300=A75),Movimientos!$D$4:$D$300),"Sin movimientos"))</f>
        <v/>
      </c>
      <c r="N75">
        <f>IF(A75="","",IFERROR(LOOKUP(2,1/(Movimientos!$B$4:$B$300=A75),Movimientos!$E$4:$E$300),"Sin movimientos"))</f>
        <v/>
      </c>
      <c r="O75">
        <f>IF(A75="","",IF(AND(F75=M75,G75=N75),"Sí","No"))</f>
        <v/>
      </c>
      <c r="P75">
        <f>IF(C75="","",IF(COUNTIF($C$4:$C$120,C75)&gt;1,"Sí","No"))</f>
        <v/>
      </c>
    </row>
    <row r="76">
      <c r="A76" s="3" t="n"/>
      <c r="B76" s="3" t="n"/>
      <c r="C76" s="3" t="n"/>
      <c r="D76" s="2" t="n"/>
      <c r="E76" s="3" t="n"/>
      <c r="F76" s="3" t="n"/>
      <c r="G76" s="3" t="n"/>
      <c r="H76" s="3" t="n"/>
      <c r="I76" s="6">
        <f>IF(D76="","",EDATE(D76,E76))</f>
        <v/>
      </c>
      <c r="J76">
        <f>IF(D76="","",IF(I76&lt;Parametros!$B$3,"Vencida",IF(I76-Parametros!$B$3&lt;=Parametros!$B$4,"Vence pronto","Vigente")))</f>
        <v/>
      </c>
      <c r="K76" s="6">
        <f>IF(D76="","",EDATE(D76,VLOOKUP(B76,Parametros!$A$7:$B$12,2,FALSE)*12))</f>
        <v/>
      </c>
      <c r="L76">
        <f>IF(D76="","",IF(K76&lt;=Parametros!$B$3,"Sí","No"))</f>
        <v/>
      </c>
      <c r="M76">
        <f>IF(A76="","",IFERROR(LOOKUP(2,1/(Movimientos!$B$4:$B$300=A76),Movimientos!$D$4:$D$300),"Sin movimientos"))</f>
        <v/>
      </c>
      <c r="N76">
        <f>IF(A76="","",IFERROR(LOOKUP(2,1/(Movimientos!$B$4:$B$300=A76),Movimientos!$E$4:$E$300),"Sin movimientos"))</f>
        <v/>
      </c>
      <c r="O76">
        <f>IF(A76="","",IF(AND(F76=M76,G76=N76),"Sí","No"))</f>
        <v/>
      </c>
      <c r="P76">
        <f>IF(C76="","",IF(COUNTIF($C$4:$C$120,C76)&gt;1,"Sí","No"))</f>
        <v/>
      </c>
    </row>
    <row r="77">
      <c r="A77" s="3" t="n"/>
      <c r="B77" s="3" t="n"/>
      <c r="C77" s="3" t="n"/>
      <c r="D77" s="2" t="n"/>
      <c r="E77" s="3" t="n"/>
      <c r="F77" s="3" t="n"/>
      <c r="G77" s="3" t="n"/>
      <c r="H77" s="3" t="n"/>
      <c r="I77" s="6">
        <f>IF(D77="","",EDATE(D77,E77))</f>
        <v/>
      </c>
      <c r="J77">
        <f>IF(D77="","",IF(I77&lt;Parametros!$B$3,"Vencida",IF(I77-Parametros!$B$3&lt;=Parametros!$B$4,"Vence pronto","Vigente")))</f>
        <v/>
      </c>
      <c r="K77" s="6">
        <f>IF(D77="","",EDATE(D77,VLOOKUP(B77,Parametros!$A$7:$B$12,2,FALSE)*12))</f>
        <v/>
      </c>
      <c r="L77">
        <f>IF(D77="","",IF(K77&lt;=Parametros!$B$3,"Sí","No"))</f>
        <v/>
      </c>
      <c r="M77">
        <f>IF(A77="","",IFERROR(LOOKUP(2,1/(Movimientos!$B$4:$B$300=A77),Movimientos!$D$4:$D$300),"Sin movimientos"))</f>
        <v/>
      </c>
      <c r="N77">
        <f>IF(A77="","",IFERROR(LOOKUP(2,1/(Movimientos!$B$4:$B$300=A77),Movimientos!$E$4:$E$300),"Sin movimientos"))</f>
        <v/>
      </c>
      <c r="O77">
        <f>IF(A77="","",IF(AND(F77=M77,G77=N77),"Sí","No"))</f>
        <v/>
      </c>
      <c r="P77">
        <f>IF(C77="","",IF(COUNTIF($C$4:$C$120,C77)&gt;1,"Sí","No"))</f>
        <v/>
      </c>
    </row>
    <row r="78">
      <c r="A78" s="3" t="n"/>
      <c r="B78" s="3" t="n"/>
      <c r="C78" s="3" t="n"/>
      <c r="D78" s="2" t="n"/>
      <c r="E78" s="3" t="n"/>
      <c r="F78" s="3" t="n"/>
      <c r="G78" s="3" t="n"/>
      <c r="H78" s="3" t="n"/>
      <c r="I78" s="6">
        <f>IF(D78="","",EDATE(D78,E78))</f>
        <v/>
      </c>
      <c r="J78">
        <f>IF(D78="","",IF(I78&lt;Parametros!$B$3,"Vencida",IF(I78-Parametros!$B$3&lt;=Parametros!$B$4,"Vence pronto","Vigente")))</f>
        <v/>
      </c>
      <c r="K78" s="6">
        <f>IF(D78="","",EDATE(D78,VLOOKUP(B78,Parametros!$A$7:$B$12,2,FALSE)*12))</f>
        <v/>
      </c>
      <c r="L78">
        <f>IF(D78="","",IF(K78&lt;=Parametros!$B$3,"Sí","No"))</f>
        <v/>
      </c>
      <c r="M78">
        <f>IF(A78="","",IFERROR(LOOKUP(2,1/(Movimientos!$B$4:$B$300=A78),Movimientos!$D$4:$D$300),"Sin movimientos"))</f>
        <v/>
      </c>
      <c r="N78">
        <f>IF(A78="","",IFERROR(LOOKUP(2,1/(Movimientos!$B$4:$B$300=A78),Movimientos!$E$4:$E$300),"Sin movimientos"))</f>
        <v/>
      </c>
      <c r="O78">
        <f>IF(A78="","",IF(AND(F78=M78,G78=N78),"Sí","No"))</f>
        <v/>
      </c>
      <c r="P78">
        <f>IF(C78="","",IF(COUNTIF($C$4:$C$120,C78)&gt;1,"Sí","No"))</f>
        <v/>
      </c>
    </row>
    <row r="79">
      <c r="A79" s="3" t="n"/>
      <c r="B79" s="3" t="n"/>
      <c r="C79" s="3" t="n"/>
      <c r="D79" s="2" t="n"/>
      <c r="E79" s="3" t="n"/>
      <c r="F79" s="3" t="n"/>
      <c r="G79" s="3" t="n"/>
      <c r="H79" s="3" t="n"/>
      <c r="I79" s="6">
        <f>IF(D79="","",EDATE(D79,E79))</f>
        <v/>
      </c>
      <c r="J79">
        <f>IF(D79="","",IF(I79&lt;Parametros!$B$3,"Vencida",IF(I79-Parametros!$B$3&lt;=Parametros!$B$4,"Vence pronto","Vigente")))</f>
        <v/>
      </c>
      <c r="K79" s="6">
        <f>IF(D79="","",EDATE(D79,VLOOKUP(B79,Parametros!$A$7:$B$12,2,FALSE)*12))</f>
        <v/>
      </c>
      <c r="L79">
        <f>IF(D79="","",IF(K79&lt;=Parametros!$B$3,"Sí","No"))</f>
        <v/>
      </c>
      <c r="M79">
        <f>IF(A79="","",IFERROR(LOOKUP(2,1/(Movimientos!$B$4:$B$300=A79),Movimientos!$D$4:$D$300),"Sin movimientos"))</f>
        <v/>
      </c>
      <c r="N79">
        <f>IF(A79="","",IFERROR(LOOKUP(2,1/(Movimientos!$B$4:$B$300=A79),Movimientos!$E$4:$E$300),"Sin movimientos"))</f>
        <v/>
      </c>
      <c r="O79">
        <f>IF(A79="","",IF(AND(F79=M79,G79=N79),"Sí","No"))</f>
        <v/>
      </c>
      <c r="P79">
        <f>IF(C79="","",IF(COUNTIF($C$4:$C$120,C79)&gt;1,"Sí","No"))</f>
        <v/>
      </c>
    </row>
    <row r="80">
      <c r="A80" s="3" t="n"/>
      <c r="B80" s="3" t="n"/>
      <c r="C80" s="3" t="n"/>
      <c r="D80" s="2" t="n"/>
      <c r="E80" s="3" t="n"/>
      <c r="F80" s="3" t="n"/>
      <c r="G80" s="3" t="n"/>
      <c r="H80" s="3" t="n"/>
      <c r="I80" s="6">
        <f>IF(D80="","",EDATE(D80,E80))</f>
        <v/>
      </c>
      <c r="J80">
        <f>IF(D80="","",IF(I80&lt;Parametros!$B$3,"Vencida",IF(I80-Parametros!$B$3&lt;=Parametros!$B$4,"Vence pronto","Vigente")))</f>
        <v/>
      </c>
      <c r="K80" s="6">
        <f>IF(D80="","",EDATE(D80,VLOOKUP(B80,Parametros!$A$7:$B$12,2,FALSE)*12))</f>
        <v/>
      </c>
      <c r="L80">
        <f>IF(D80="","",IF(K80&lt;=Parametros!$B$3,"Sí","No"))</f>
        <v/>
      </c>
      <c r="M80">
        <f>IF(A80="","",IFERROR(LOOKUP(2,1/(Movimientos!$B$4:$B$300=A80),Movimientos!$D$4:$D$300),"Sin movimientos"))</f>
        <v/>
      </c>
      <c r="N80">
        <f>IF(A80="","",IFERROR(LOOKUP(2,1/(Movimientos!$B$4:$B$300=A80),Movimientos!$E$4:$E$300),"Sin movimientos"))</f>
        <v/>
      </c>
      <c r="O80">
        <f>IF(A80="","",IF(AND(F80=M80,G80=N80),"Sí","No"))</f>
        <v/>
      </c>
      <c r="P80">
        <f>IF(C80="","",IF(COUNTIF($C$4:$C$120,C80)&gt;1,"Sí","No"))</f>
        <v/>
      </c>
    </row>
    <row r="81">
      <c r="A81" s="3" t="n"/>
      <c r="B81" s="3" t="n"/>
      <c r="C81" s="3" t="n"/>
      <c r="D81" s="2" t="n"/>
      <c r="E81" s="3" t="n"/>
      <c r="F81" s="3" t="n"/>
      <c r="G81" s="3" t="n"/>
      <c r="H81" s="3" t="n"/>
      <c r="I81" s="6">
        <f>IF(D81="","",EDATE(D81,E81))</f>
        <v/>
      </c>
      <c r="J81">
        <f>IF(D81="","",IF(I81&lt;Parametros!$B$3,"Vencida",IF(I81-Parametros!$B$3&lt;=Parametros!$B$4,"Vence pronto","Vigente")))</f>
        <v/>
      </c>
      <c r="K81" s="6">
        <f>IF(D81="","",EDATE(D81,VLOOKUP(B81,Parametros!$A$7:$B$12,2,FALSE)*12))</f>
        <v/>
      </c>
      <c r="L81">
        <f>IF(D81="","",IF(K81&lt;=Parametros!$B$3,"Sí","No"))</f>
        <v/>
      </c>
      <c r="M81">
        <f>IF(A81="","",IFERROR(LOOKUP(2,1/(Movimientos!$B$4:$B$300=A81),Movimientos!$D$4:$D$300),"Sin movimientos"))</f>
        <v/>
      </c>
      <c r="N81">
        <f>IF(A81="","",IFERROR(LOOKUP(2,1/(Movimientos!$B$4:$B$300=A81),Movimientos!$E$4:$E$300),"Sin movimientos"))</f>
        <v/>
      </c>
      <c r="O81">
        <f>IF(A81="","",IF(AND(F81=M81,G81=N81),"Sí","No"))</f>
        <v/>
      </c>
      <c r="P81">
        <f>IF(C81="","",IF(COUNTIF($C$4:$C$120,C81)&gt;1,"Sí","No"))</f>
        <v/>
      </c>
    </row>
    <row r="82">
      <c r="A82" s="3" t="n"/>
      <c r="B82" s="3" t="n"/>
      <c r="C82" s="3" t="n"/>
      <c r="D82" s="2" t="n"/>
      <c r="E82" s="3" t="n"/>
      <c r="F82" s="3" t="n"/>
      <c r="G82" s="3" t="n"/>
      <c r="H82" s="3" t="n"/>
      <c r="I82" s="6">
        <f>IF(D82="","",EDATE(D82,E82))</f>
        <v/>
      </c>
      <c r="J82">
        <f>IF(D82="","",IF(I82&lt;Parametros!$B$3,"Vencida",IF(I82-Parametros!$B$3&lt;=Parametros!$B$4,"Vence pronto","Vigente")))</f>
        <v/>
      </c>
      <c r="K82" s="6">
        <f>IF(D82="","",EDATE(D82,VLOOKUP(B82,Parametros!$A$7:$B$12,2,FALSE)*12))</f>
        <v/>
      </c>
      <c r="L82">
        <f>IF(D82="","",IF(K82&lt;=Parametros!$B$3,"Sí","No"))</f>
        <v/>
      </c>
      <c r="M82">
        <f>IF(A82="","",IFERROR(LOOKUP(2,1/(Movimientos!$B$4:$B$300=A82),Movimientos!$D$4:$D$300),"Sin movimientos"))</f>
        <v/>
      </c>
      <c r="N82">
        <f>IF(A82="","",IFERROR(LOOKUP(2,1/(Movimientos!$B$4:$B$300=A82),Movimientos!$E$4:$E$300),"Sin movimientos"))</f>
        <v/>
      </c>
      <c r="O82">
        <f>IF(A82="","",IF(AND(F82=M82,G82=N82),"Sí","No"))</f>
        <v/>
      </c>
      <c r="P82">
        <f>IF(C82="","",IF(COUNTIF($C$4:$C$120,C82)&gt;1,"Sí","No"))</f>
        <v/>
      </c>
    </row>
    <row r="83">
      <c r="A83" s="3" t="n"/>
      <c r="B83" s="3" t="n"/>
      <c r="C83" s="3" t="n"/>
      <c r="D83" s="2" t="n"/>
      <c r="E83" s="3" t="n"/>
      <c r="F83" s="3" t="n"/>
      <c r="G83" s="3" t="n"/>
      <c r="H83" s="3" t="n"/>
      <c r="I83" s="6">
        <f>IF(D83="","",EDATE(D83,E83))</f>
        <v/>
      </c>
      <c r="J83">
        <f>IF(D83="","",IF(I83&lt;Parametros!$B$3,"Vencida",IF(I83-Parametros!$B$3&lt;=Parametros!$B$4,"Vence pronto","Vigente")))</f>
        <v/>
      </c>
      <c r="K83" s="6">
        <f>IF(D83="","",EDATE(D83,VLOOKUP(B83,Parametros!$A$7:$B$12,2,FALSE)*12))</f>
        <v/>
      </c>
      <c r="L83">
        <f>IF(D83="","",IF(K83&lt;=Parametros!$B$3,"Sí","No"))</f>
        <v/>
      </c>
      <c r="M83">
        <f>IF(A83="","",IFERROR(LOOKUP(2,1/(Movimientos!$B$4:$B$300=A83),Movimientos!$D$4:$D$300),"Sin movimientos"))</f>
        <v/>
      </c>
      <c r="N83">
        <f>IF(A83="","",IFERROR(LOOKUP(2,1/(Movimientos!$B$4:$B$300=A83),Movimientos!$E$4:$E$300),"Sin movimientos"))</f>
        <v/>
      </c>
      <c r="O83">
        <f>IF(A83="","",IF(AND(F83=M83,G83=N83),"Sí","No"))</f>
        <v/>
      </c>
      <c r="P83">
        <f>IF(C83="","",IF(COUNTIF($C$4:$C$120,C83)&gt;1,"Sí","No"))</f>
        <v/>
      </c>
    </row>
    <row r="84">
      <c r="A84" s="3" t="n"/>
      <c r="B84" s="3" t="n"/>
      <c r="C84" s="3" t="n"/>
      <c r="D84" s="2" t="n"/>
      <c r="E84" s="3" t="n"/>
      <c r="F84" s="3" t="n"/>
      <c r="G84" s="3" t="n"/>
      <c r="H84" s="3" t="n"/>
      <c r="I84" s="6">
        <f>IF(D84="","",EDATE(D84,E84))</f>
        <v/>
      </c>
      <c r="J84">
        <f>IF(D84="","",IF(I84&lt;Parametros!$B$3,"Vencida",IF(I84-Parametros!$B$3&lt;=Parametros!$B$4,"Vence pronto","Vigente")))</f>
        <v/>
      </c>
      <c r="K84" s="6">
        <f>IF(D84="","",EDATE(D84,VLOOKUP(B84,Parametros!$A$7:$B$12,2,FALSE)*12))</f>
        <v/>
      </c>
      <c r="L84">
        <f>IF(D84="","",IF(K84&lt;=Parametros!$B$3,"Sí","No"))</f>
        <v/>
      </c>
      <c r="M84">
        <f>IF(A84="","",IFERROR(LOOKUP(2,1/(Movimientos!$B$4:$B$300=A84),Movimientos!$D$4:$D$300),"Sin movimientos"))</f>
        <v/>
      </c>
      <c r="N84">
        <f>IF(A84="","",IFERROR(LOOKUP(2,1/(Movimientos!$B$4:$B$300=A84),Movimientos!$E$4:$E$300),"Sin movimientos"))</f>
        <v/>
      </c>
      <c r="O84">
        <f>IF(A84="","",IF(AND(F84=M84,G84=N84),"Sí","No"))</f>
        <v/>
      </c>
      <c r="P84">
        <f>IF(C84="","",IF(COUNTIF($C$4:$C$120,C84)&gt;1,"Sí","No"))</f>
        <v/>
      </c>
    </row>
    <row r="85">
      <c r="A85" s="3" t="n"/>
      <c r="B85" s="3" t="n"/>
      <c r="C85" s="3" t="n"/>
      <c r="D85" s="2" t="n"/>
      <c r="E85" s="3" t="n"/>
      <c r="F85" s="3" t="n"/>
      <c r="G85" s="3" t="n"/>
      <c r="H85" s="3" t="n"/>
      <c r="I85" s="6">
        <f>IF(D85="","",EDATE(D85,E85))</f>
        <v/>
      </c>
      <c r="J85">
        <f>IF(D85="","",IF(I85&lt;Parametros!$B$3,"Vencida",IF(I85-Parametros!$B$3&lt;=Parametros!$B$4,"Vence pronto","Vigente")))</f>
        <v/>
      </c>
      <c r="K85" s="6">
        <f>IF(D85="","",EDATE(D85,VLOOKUP(B85,Parametros!$A$7:$B$12,2,FALSE)*12))</f>
        <v/>
      </c>
      <c r="L85">
        <f>IF(D85="","",IF(K85&lt;=Parametros!$B$3,"Sí","No"))</f>
        <v/>
      </c>
      <c r="M85">
        <f>IF(A85="","",IFERROR(LOOKUP(2,1/(Movimientos!$B$4:$B$300=A85),Movimientos!$D$4:$D$300),"Sin movimientos"))</f>
        <v/>
      </c>
      <c r="N85">
        <f>IF(A85="","",IFERROR(LOOKUP(2,1/(Movimientos!$B$4:$B$300=A85),Movimientos!$E$4:$E$300),"Sin movimientos"))</f>
        <v/>
      </c>
      <c r="O85">
        <f>IF(A85="","",IF(AND(F85=M85,G85=N85),"Sí","No"))</f>
        <v/>
      </c>
      <c r="P85">
        <f>IF(C85="","",IF(COUNTIF($C$4:$C$120,C85)&gt;1,"Sí","No"))</f>
        <v/>
      </c>
    </row>
    <row r="86">
      <c r="A86" s="3" t="n"/>
      <c r="B86" s="3" t="n"/>
      <c r="C86" s="3" t="n"/>
      <c r="D86" s="2" t="n"/>
      <c r="E86" s="3" t="n"/>
      <c r="F86" s="3" t="n"/>
      <c r="G86" s="3" t="n"/>
      <c r="H86" s="3" t="n"/>
      <c r="I86" s="6">
        <f>IF(D86="","",EDATE(D86,E86))</f>
        <v/>
      </c>
      <c r="J86">
        <f>IF(D86="","",IF(I86&lt;Parametros!$B$3,"Vencida",IF(I86-Parametros!$B$3&lt;=Parametros!$B$4,"Vence pronto","Vigente")))</f>
        <v/>
      </c>
      <c r="K86" s="6">
        <f>IF(D86="","",EDATE(D86,VLOOKUP(B86,Parametros!$A$7:$B$12,2,FALSE)*12))</f>
        <v/>
      </c>
      <c r="L86">
        <f>IF(D86="","",IF(K86&lt;=Parametros!$B$3,"Sí","No"))</f>
        <v/>
      </c>
      <c r="M86">
        <f>IF(A86="","",IFERROR(LOOKUP(2,1/(Movimientos!$B$4:$B$300=A86),Movimientos!$D$4:$D$300),"Sin movimientos"))</f>
        <v/>
      </c>
      <c r="N86">
        <f>IF(A86="","",IFERROR(LOOKUP(2,1/(Movimientos!$B$4:$B$300=A86),Movimientos!$E$4:$E$300),"Sin movimientos"))</f>
        <v/>
      </c>
      <c r="O86">
        <f>IF(A86="","",IF(AND(F86=M86,G86=N86),"Sí","No"))</f>
        <v/>
      </c>
      <c r="P86">
        <f>IF(C86="","",IF(COUNTIF($C$4:$C$120,C86)&gt;1,"Sí","No"))</f>
        <v/>
      </c>
    </row>
    <row r="87">
      <c r="A87" s="3" t="n"/>
      <c r="B87" s="3" t="n"/>
      <c r="C87" s="3" t="n"/>
      <c r="D87" s="2" t="n"/>
      <c r="E87" s="3" t="n"/>
      <c r="F87" s="3" t="n"/>
      <c r="G87" s="3" t="n"/>
      <c r="H87" s="3" t="n"/>
      <c r="I87" s="6">
        <f>IF(D87="","",EDATE(D87,E87))</f>
        <v/>
      </c>
      <c r="J87">
        <f>IF(D87="","",IF(I87&lt;Parametros!$B$3,"Vencida",IF(I87-Parametros!$B$3&lt;=Parametros!$B$4,"Vence pronto","Vigente")))</f>
        <v/>
      </c>
      <c r="K87" s="6">
        <f>IF(D87="","",EDATE(D87,VLOOKUP(B87,Parametros!$A$7:$B$12,2,FALSE)*12))</f>
        <v/>
      </c>
      <c r="L87">
        <f>IF(D87="","",IF(K87&lt;=Parametros!$B$3,"Sí","No"))</f>
        <v/>
      </c>
      <c r="M87">
        <f>IF(A87="","",IFERROR(LOOKUP(2,1/(Movimientos!$B$4:$B$300=A87),Movimientos!$D$4:$D$300),"Sin movimientos"))</f>
        <v/>
      </c>
      <c r="N87">
        <f>IF(A87="","",IFERROR(LOOKUP(2,1/(Movimientos!$B$4:$B$300=A87),Movimientos!$E$4:$E$300),"Sin movimientos"))</f>
        <v/>
      </c>
      <c r="O87">
        <f>IF(A87="","",IF(AND(F87=M87,G87=N87),"Sí","No"))</f>
        <v/>
      </c>
      <c r="P87">
        <f>IF(C87="","",IF(COUNTIF($C$4:$C$120,C87)&gt;1,"Sí","No"))</f>
        <v/>
      </c>
    </row>
    <row r="88">
      <c r="A88" s="3" t="n"/>
      <c r="B88" s="3" t="n"/>
      <c r="C88" s="3" t="n"/>
      <c r="D88" s="2" t="n"/>
      <c r="E88" s="3" t="n"/>
      <c r="F88" s="3" t="n"/>
      <c r="G88" s="3" t="n"/>
      <c r="H88" s="3" t="n"/>
      <c r="I88" s="6">
        <f>IF(D88="","",EDATE(D88,E88))</f>
        <v/>
      </c>
      <c r="J88">
        <f>IF(D88="","",IF(I88&lt;Parametros!$B$3,"Vencida",IF(I88-Parametros!$B$3&lt;=Parametros!$B$4,"Vence pronto","Vigente")))</f>
        <v/>
      </c>
      <c r="K88" s="6">
        <f>IF(D88="","",EDATE(D88,VLOOKUP(B88,Parametros!$A$7:$B$12,2,FALSE)*12))</f>
        <v/>
      </c>
      <c r="L88">
        <f>IF(D88="","",IF(K88&lt;=Parametros!$B$3,"Sí","No"))</f>
        <v/>
      </c>
      <c r="M88">
        <f>IF(A88="","",IFERROR(LOOKUP(2,1/(Movimientos!$B$4:$B$300=A88),Movimientos!$D$4:$D$300),"Sin movimientos"))</f>
        <v/>
      </c>
      <c r="N88">
        <f>IF(A88="","",IFERROR(LOOKUP(2,1/(Movimientos!$B$4:$B$300=A88),Movimientos!$E$4:$E$300),"Sin movimientos"))</f>
        <v/>
      </c>
      <c r="O88">
        <f>IF(A88="","",IF(AND(F88=M88,G88=N88),"Sí","No"))</f>
        <v/>
      </c>
      <c r="P88">
        <f>IF(C88="","",IF(COUNTIF($C$4:$C$120,C88)&gt;1,"Sí","No"))</f>
        <v/>
      </c>
    </row>
    <row r="89">
      <c r="A89" s="3" t="n"/>
      <c r="B89" s="3" t="n"/>
      <c r="C89" s="3" t="n"/>
      <c r="D89" s="2" t="n"/>
      <c r="E89" s="3" t="n"/>
      <c r="F89" s="3" t="n"/>
      <c r="G89" s="3" t="n"/>
      <c r="H89" s="3" t="n"/>
      <c r="I89" s="6">
        <f>IF(D89="","",EDATE(D89,E89))</f>
        <v/>
      </c>
      <c r="J89">
        <f>IF(D89="","",IF(I89&lt;Parametros!$B$3,"Vencida",IF(I89-Parametros!$B$3&lt;=Parametros!$B$4,"Vence pronto","Vigente")))</f>
        <v/>
      </c>
      <c r="K89" s="6">
        <f>IF(D89="","",EDATE(D89,VLOOKUP(B89,Parametros!$A$7:$B$12,2,FALSE)*12))</f>
        <v/>
      </c>
      <c r="L89">
        <f>IF(D89="","",IF(K89&lt;=Parametros!$B$3,"Sí","No"))</f>
        <v/>
      </c>
      <c r="M89">
        <f>IF(A89="","",IFERROR(LOOKUP(2,1/(Movimientos!$B$4:$B$300=A89),Movimientos!$D$4:$D$300),"Sin movimientos"))</f>
        <v/>
      </c>
      <c r="N89">
        <f>IF(A89="","",IFERROR(LOOKUP(2,1/(Movimientos!$B$4:$B$300=A89),Movimientos!$E$4:$E$300),"Sin movimientos"))</f>
        <v/>
      </c>
      <c r="O89">
        <f>IF(A89="","",IF(AND(F89=M89,G89=N89),"Sí","No"))</f>
        <v/>
      </c>
      <c r="P89">
        <f>IF(C89="","",IF(COUNTIF($C$4:$C$120,C89)&gt;1,"Sí","No"))</f>
        <v/>
      </c>
    </row>
    <row r="90">
      <c r="A90" s="3" t="n"/>
      <c r="B90" s="3" t="n"/>
      <c r="C90" s="3" t="n"/>
      <c r="D90" s="2" t="n"/>
      <c r="E90" s="3" t="n"/>
      <c r="F90" s="3" t="n"/>
      <c r="G90" s="3" t="n"/>
      <c r="H90" s="3" t="n"/>
      <c r="I90" s="6">
        <f>IF(D90="","",EDATE(D90,E90))</f>
        <v/>
      </c>
      <c r="J90">
        <f>IF(D90="","",IF(I90&lt;Parametros!$B$3,"Vencida",IF(I90-Parametros!$B$3&lt;=Parametros!$B$4,"Vence pronto","Vigente")))</f>
        <v/>
      </c>
      <c r="K90" s="6">
        <f>IF(D90="","",EDATE(D90,VLOOKUP(B90,Parametros!$A$7:$B$12,2,FALSE)*12))</f>
        <v/>
      </c>
      <c r="L90">
        <f>IF(D90="","",IF(K90&lt;=Parametros!$B$3,"Sí","No"))</f>
        <v/>
      </c>
      <c r="M90">
        <f>IF(A90="","",IFERROR(LOOKUP(2,1/(Movimientos!$B$4:$B$300=A90),Movimientos!$D$4:$D$300),"Sin movimientos"))</f>
        <v/>
      </c>
      <c r="N90">
        <f>IF(A90="","",IFERROR(LOOKUP(2,1/(Movimientos!$B$4:$B$300=A90),Movimientos!$E$4:$E$300),"Sin movimientos"))</f>
        <v/>
      </c>
      <c r="O90">
        <f>IF(A90="","",IF(AND(F90=M90,G90=N90),"Sí","No"))</f>
        <v/>
      </c>
      <c r="P90">
        <f>IF(C90="","",IF(COUNTIF($C$4:$C$120,C90)&gt;1,"Sí","No"))</f>
        <v/>
      </c>
    </row>
    <row r="91">
      <c r="A91" s="3" t="n"/>
      <c r="B91" s="3" t="n"/>
      <c r="C91" s="3" t="n"/>
      <c r="D91" s="2" t="n"/>
      <c r="E91" s="3" t="n"/>
      <c r="F91" s="3" t="n"/>
      <c r="G91" s="3" t="n"/>
      <c r="H91" s="3" t="n"/>
      <c r="I91" s="6">
        <f>IF(D91="","",EDATE(D91,E91))</f>
        <v/>
      </c>
      <c r="J91">
        <f>IF(D91="","",IF(I91&lt;Parametros!$B$3,"Vencida",IF(I91-Parametros!$B$3&lt;=Parametros!$B$4,"Vence pronto","Vigente")))</f>
        <v/>
      </c>
      <c r="K91" s="6">
        <f>IF(D91="","",EDATE(D91,VLOOKUP(B91,Parametros!$A$7:$B$12,2,FALSE)*12))</f>
        <v/>
      </c>
      <c r="L91">
        <f>IF(D91="","",IF(K91&lt;=Parametros!$B$3,"Sí","No"))</f>
        <v/>
      </c>
      <c r="M91">
        <f>IF(A91="","",IFERROR(LOOKUP(2,1/(Movimientos!$B$4:$B$300=A91),Movimientos!$D$4:$D$300),"Sin movimientos"))</f>
        <v/>
      </c>
      <c r="N91">
        <f>IF(A91="","",IFERROR(LOOKUP(2,1/(Movimientos!$B$4:$B$300=A91),Movimientos!$E$4:$E$300),"Sin movimientos"))</f>
        <v/>
      </c>
      <c r="O91">
        <f>IF(A91="","",IF(AND(F91=M91,G91=N91),"Sí","No"))</f>
        <v/>
      </c>
      <c r="P91">
        <f>IF(C91="","",IF(COUNTIF($C$4:$C$120,C91)&gt;1,"Sí","No"))</f>
        <v/>
      </c>
    </row>
    <row r="92">
      <c r="A92" s="3" t="n"/>
      <c r="B92" s="3" t="n"/>
      <c r="C92" s="3" t="n"/>
      <c r="D92" s="2" t="n"/>
      <c r="E92" s="3" t="n"/>
      <c r="F92" s="3" t="n"/>
      <c r="G92" s="3" t="n"/>
      <c r="H92" s="3" t="n"/>
      <c r="I92" s="6">
        <f>IF(D92="","",EDATE(D92,E92))</f>
        <v/>
      </c>
      <c r="J92">
        <f>IF(D92="","",IF(I92&lt;Parametros!$B$3,"Vencida",IF(I92-Parametros!$B$3&lt;=Parametros!$B$4,"Vence pronto","Vigente")))</f>
        <v/>
      </c>
      <c r="K92" s="6">
        <f>IF(D92="","",EDATE(D92,VLOOKUP(B92,Parametros!$A$7:$B$12,2,FALSE)*12))</f>
        <v/>
      </c>
      <c r="L92">
        <f>IF(D92="","",IF(K92&lt;=Parametros!$B$3,"Sí","No"))</f>
        <v/>
      </c>
      <c r="M92">
        <f>IF(A92="","",IFERROR(LOOKUP(2,1/(Movimientos!$B$4:$B$300=A92),Movimientos!$D$4:$D$300),"Sin movimientos"))</f>
        <v/>
      </c>
      <c r="N92">
        <f>IF(A92="","",IFERROR(LOOKUP(2,1/(Movimientos!$B$4:$B$300=A92),Movimientos!$E$4:$E$300),"Sin movimientos"))</f>
        <v/>
      </c>
      <c r="O92">
        <f>IF(A92="","",IF(AND(F92=M92,G92=N92),"Sí","No"))</f>
        <v/>
      </c>
      <c r="P92">
        <f>IF(C92="","",IF(COUNTIF($C$4:$C$120,C92)&gt;1,"Sí","No"))</f>
        <v/>
      </c>
    </row>
    <row r="93">
      <c r="A93" s="3" t="n"/>
      <c r="B93" s="3" t="n"/>
      <c r="C93" s="3" t="n"/>
      <c r="D93" s="2" t="n"/>
      <c r="E93" s="3" t="n"/>
      <c r="F93" s="3" t="n"/>
      <c r="G93" s="3" t="n"/>
      <c r="H93" s="3" t="n"/>
      <c r="I93" s="6">
        <f>IF(D93="","",EDATE(D93,E93))</f>
        <v/>
      </c>
      <c r="J93">
        <f>IF(D93="","",IF(I93&lt;Parametros!$B$3,"Vencida",IF(I93-Parametros!$B$3&lt;=Parametros!$B$4,"Vence pronto","Vigente")))</f>
        <v/>
      </c>
      <c r="K93" s="6">
        <f>IF(D93="","",EDATE(D93,VLOOKUP(B93,Parametros!$A$7:$B$12,2,FALSE)*12))</f>
        <v/>
      </c>
      <c r="L93">
        <f>IF(D93="","",IF(K93&lt;=Parametros!$B$3,"Sí","No"))</f>
        <v/>
      </c>
      <c r="M93">
        <f>IF(A93="","",IFERROR(LOOKUP(2,1/(Movimientos!$B$4:$B$300=A93),Movimientos!$D$4:$D$300),"Sin movimientos"))</f>
        <v/>
      </c>
      <c r="N93">
        <f>IF(A93="","",IFERROR(LOOKUP(2,1/(Movimientos!$B$4:$B$300=A93),Movimientos!$E$4:$E$300),"Sin movimientos"))</f>
        <v/>
      </c>
      <c r="O93">
        <f>IF(A93="","",IF(AND(F93=M93,G93=N93),"Sí","No"))</f>
        <v/>
      </c>
      <c r="P93">
        <f>IF(C93="","",IF(COUNTIF($C$4:$C$120,C93)&gt;1,"Sí","No"))</f>
        <v/>
      </c>
    </row>
    <row r="94">
      <c r="A94" s="3" t="n"/>
      <c r="B94" s="3" t="n"/>
      <c r="C94" s="3" t="n"/>
      <c r="D94" s="2" t="n"/>
      <c r="E94" s="3" t="n"/>
      <c r="F94" s="3" t="n"/>
      <c r="G94" s="3" t="n"/>
      <c r="H94" s="3" t="n"/>
      <c r="I94" s="6">
        <f>IF(D94="","",EDATE(D94,E94))</f>
        <v/>
      </c>
      <c r="J94">
        <f>IF(D94="","",IF(I94&lt;Parametros!$B$3,"Vencida",IF(I94-Parametros!$B$3&lt;=Parametros!$B$4,"Vence pronto","Vigente")))</f>
        <v/>
      </c>
      <c r="K94" s="6">
        <f>IF(D94="","",EDATE(D94,VLOOKUP(B94,Parametros!$A$7:$B$12,2,FALSE)*12))</f>
        <v/>
      </c>
      <c r="L94">
        <f>IF(D94="","",IF(K94&lt;=Parametros!$B$3,"Sí","No"))</f>
        <v/>
      </c>
      <c r="M94">
        <f>IF(A94="","",IFERROR(LOOKUP(2,1/(Movimientos!$B$4:$B$300=A94),Movimientos!$D$4:$D$300),"Sin movimientos"))</f>
        <v/>
      </c>
      <c r="N94">
        <f>IF(A94="","",IFERROR(LOOKUP(2,1/(Movimientos!$B$4:$B$300=A94),Movimientos!$E$4:$E$300),"Sin movimientos"))</f>
        <v/>
      </c>
      <c r="O94">
        <f>IF(A94="","",IF(AND(F94=M94,G94=N94),"Sí","No"))</f>
        <v/>
      </c>
      <c r="P94">
        <f>IF(C94="","",IF(COUNTIF($C$4:$C$120,C94)&gt;1,"Sí","No"))</f>
        <v/>
      </c>
    </row>
    <row r="95">
      <c r="A95" s="3" t="n"/>
      <c r="B95" s="3" t="n"/>
      <c r="C95" s="3" t="n"/>
      <c r="D95" s="2" t="n"/>
      <c r="E95" s="3" t="n"/>
      <c r="F95" s="3" t="n"/>
      <c r="G95" s="3" t="n"/>
      <c r="H95" s="3" t="n"/>
      <c r="I95" s="6">
        <f>IF(D95="","",EDATE(D95,E95))</f>
        <v/>
      </c>
      <c r="J95">
        <f>IF(D95="","",IF(I95&lt;Parametros!$B$3,"Vencida",IF(I95-Parametros!$B$3&lt;=Parametros!$B$4,"Vence pronto","Vigente")))</f>
        <v/>
      </c>
      <c r="K95" s="6">
        <f>IF(D95="","",EDATE(D95,VLOOKUP(B95,Parametros!$A$7:$B$12,2,FALSE)*12))</f>
        <v/>
      </c>
      <c r="L95">
        <f>IF(D95="","",IF(K95&lt;=Parametros!$B$3,"Sí","No"))</f>
        <v/>
      </c>
      <c r="M95">
        <f>IF(A95="","",IFERROR(LOOKUP(2,1/(Movimientos!$B$4:$B$300=A95),Movimientos!$D$4:$D$300),"Sin movimientos"))</f>
        <v/>
      </c>
      <c r="N95">
        <f>IF(A95="","",IFERROR(LOOKUP(2,1/(Movimientos!$B$4:$B$300=A95),Movimientos!$E$4:$E$300),"Sin movimientos"))</f>
        <v/>
      </c>
      <c r="O95">
        <f>IF(A95="","",IF(AND(F95=M95,G95=N95),"Sí","No"))</f>
        <v/>
      </c>
      <c r="P95">
        <f>IF(C95="","",IF(COUNTIF($C$4:$C$120,C95)&gt;1,"Sí","No"))</f>
        <v/>
      </c>
    </row>
    <row r="96">
      <c r="A96" s="3" t="n"/>
      <c r="B96" s="3" t="n"/>
      <c r="C96" s="3" t="n"/>
      <c r="D96" s="2" t="n"/>
      <c r="E96" s="3" t="n"/>
      <c r="F96" s="3" t="n"/>
      <c r="G96" s="3" t="n"/>
      <c r="H96" s="3" t="n"/>
      <c r="I96" s="6">
        <f>IF(D96="","",EDATE(D96,E96))</f>
        <v/>
      </c>
      <c r="J96">
        <f>IF(D96="","",IF(I96&lt;Parametros!$B$3,"Vencida",IF(I96-Parametros!$B$3&lt;=Parametros!$B$4,"Vence pronto","Vigente")))</f>
        <v/>
      </c>
      <c r="K96" s="6">
        <f>IF(D96="","",EDATE(D96,VLOOKUP(B96,Parametros!$A$7:$B$12,2,FALSE)*12))</f>
        <v/>
      </c>
      <c r="L96">
        <f>IF(D96="","",IF(K96&lt;=Parametros!$B$3,"Sí","No"))</f>
        <v/>
      </c>
      <c r="M96">
        <f>IF(A96="","",IFERROR(LOOKUP(2,1/(Movimientos!$B$4:$B$300=A96),Movimientos!$D$4:$D$300),"Sin movimientos"))</f>
        <v/>
      </c>
      <c r="N96">
        <f>IF(A96="","",IFERROR(LOOKUP(2,1/(Movimientos!$B$4:$B$300=A96),Movimientos!$E$4:$E$300),"Sin movimientos"))</f>
        <v/>
      </c>
      <c r="O96">
        <f>IF(A96="","",IF(AND(F96=M96,G96=N96),"Sí","No"))</f>
        <v/>
      </c>
      <c r="P96">
        <f>IF(C96="","",IF(COUNTIF($C$4:$C$120,C96)&gt;1,"Sí","No"))</f>
        <v/>
      </c>
    </row>
    <row r="97">
      <c r="A97" s="3" t="n"/>
      <c r="B97" s="3" t="n"/>
      <c r="C97" s="3" t="n"/>
      <c r="D97" s="2" t="n"/>
      <c r="E97" s="3" t="n"/>
      <c r="F97" s="3" t="n"/>
      <c r="G97" s="3" t="n"/>
      <c r="H97" s="3" t="n"/>
      <c r="I97" s="6">
        <f>IF(D97="","",EDATE(D97,E97))</f>
        <v/>
      </c>
      <c r="J97">
        <f>IF(D97="","",IF(I97&lt;Parametros!$B$3,"Vencida",IF(I97-Parametros!$B$3&lt;=Parametros!$B$4,"Vence pronto","Vigente")))</f>
        <v/>
      </c>
      <c r="K97" s="6">
        <f>IF(D97="","",EDATE(D97,VLOOKUP(B97,Parametros!$A$7:$B$12,2,FALSE)*12))</f>
        <v/>
      </c>
      <c r="L97">
        <f>IF(D97="","",IF(K97&lt;=Parametros!$B$3,"Sí","No"))</f>
        <v/>
      </c>
      <c r="M97">
        <f>IF(A97="","",IFERROR(LOOKUP(2,1/(Movimientos!$B$4:$B$300=A97),Movimientos!$D$4:$D$300),"Sin movimientos"))</f>
        <v/>
      </c>
      <c r="N97">
        <f>IF(A97="","",IFERROR(LOOKUP(2,1/(Movimientos!$B$4:$B$300=A97),Movimientos!$E$4:$E$300),"Sin movimientos"))</f>
        <v/>
      </c>
      <c r="O97">
        <f>IF(A97="","",IF(AND(F97=M97,G97=N97),"Sí","No"))</f>
        <v/>
      </c>
      <c r="P97">
        <f>IF(C97="","",IF(COUNTIF($C$4:$C$120,C97)&gt;1,"Sí","No"))</f>
        <v/>
      </c>
    </row>
    <row r="98">
      <c r="A98" s="3" t="n"/>
      <c r="B98" s="3" t="n"/>
      <c r="C98" s="3" t="n"/>
      <c r="D98" s="2" t="n"/>
      <c r="E98" s="3" t="n"/>
      <c r="F98" s="3" t="n"/>
      <c r="G98" s="3" t="n"/>
      <c r="H98" s="3" t="n"/>
      <c r="I98" s="6">
        <f>IF(D98="","",EDATE(D98,E98))</f>
        <v/>
      </c>
      <c r="J98">
        <f>IF(D98="","",IF(I98&lt;Parametros!$B$3,"Vencida",IF(I98-Parametros!$B$3&lt;=Parametros!$B$4,"Vence pronto","Vigente")))</f>
        <v/>
      </c>
      <c r="K98" s="6">
        <f>IF(D98="","",EDATE(D98,VLOOKUP(B98,Parametros!$A$7:$B$12,2,FALSE)*12))</f>
        <v/>
      </c>
      <c r="L98">
        <f>IF(D98="","",IF(K98&lt;=Parametros!$B$3,"Sí","No"))</f>
        <v/>
      </c>
      <c r="M98">
        <f>IF(A98="","",IFERROR(LOOKUP(2,1/(Movimientos!$B$4:$B$300=A98),Movimientos!$D$4:$D$300),"Sin movimientos"))</f>
        <v/>
      </c>
      <c r="N98">
        <f>IF(A98="","",IFERROR(LOOKUP(2,1/(Movimientos!$B$4:$B$300=A98),Movimientos!$E$4:$E$300),"Sin movimientos"))</f>
        <v/>
      </c>
      <c r="O98">
        <f>IF(A98="","",IF(AND(F98=M98,G98=N98),"Sí","No"))</f>
        <v/>
      </c>
      <c r="P98">
        <f>IF(C98="","",IF(COUNTIF($C$4:$C$120,C98)&gt;1,"Sí","No"))</f>
        <v/>
      </c>
    </row>
    <row r="99">
      <c r="A99" s="3" t="n"/>
      <c r="B99" s="3" t="n"/>
      <c r="C99" s="3" t="n"/>
      <c r="D99" s="2" t="n"/>
      <c r="E99" s="3" t="n"/>
      <c r="F99" s="3" t="n"/>
      <c r="G99" s="3" t="n"/>
      <c r="H99" s="3" t="n"/>
      <c r="I99" s="6">
        <f>IF(D99="","",EDATE(D99,E99))</f>
        <v/>
      </c>
      <c r="J99">
        <f>IF(D99="","",IF(I99&lt;Parametros!$B$3,"Vencida",IF(I99-Parametros!$B$3&lt;=Parametros!$B$4,"Vence pronto","Vigente")))</f>
        <v/>
      </c>
      <c r="K99" s="6">
        <f>IF(D99="","",EDATE(D99,VLOOKUP(B99,Parametros!$A$7:$B$12,2,FALSE)*12))</f>
        <v/>
      </c>
      <c r="L99">
        <f>IF(D99="","",IF(K99&lt;=Parametros!$B$3,"Sí","No"))</f>
        <v/>
      </c>
      <c r="M99">
        <f>IF(A99="","",IFERROR(LOOKUP(2,1/(Movimientos!$B$4:$B$300=A99),Movimientos!$D$4:$D$300),"Sin movimientos"))</f>
        <v/>
      </c>
      <c r="N99">
        <f>IF(A99="","",IFERROR(LOOKUP(2,1/(Movimientos!$B$4:$B$300=A99),Movimientos!$E$4:$E$300),"Sin movimientos"))</f>
        <v/>
      </c>
      <c r="O99">
        <f>IF(A99="","",IF(AND(F99=M99,G99=N99),"Sí","No"))</f>
        <v/>
      </c>
      <c r="P99">
        <f>IF(C99="","",IF(COUNTIF($C$4:$C$120,C99)&gt;1,"Sí","No"))</f>
        <v/>
      </c>
    </row>
    <row r="100">
      <c r="A100" s="3" t="n"/>
      <c r="B100" s="3" t="n"/>
      <c r="C100" s="3" t="n"/>
      <c r="D100" s="2" t="n"/>
      <c r="E100" s="3" t="n"/>
      <c r="F100" s="3" t="n"/>
      <c r="G100" s="3" t="n"/>
      <c r="H100" s="3" t="n"/>
      <c r="I100" s="6">
        <f>IF(D100="","",EDATE(D100,E100))</f>
        <v/>
      </c>
      <c r="J100">
        <f>IF(D100="","",IF(I100&lt;Parametros!$B$3,"Vencida",IF(I100-Parametros!$B$3&lt;=Parametros!$B$4,"Vence pronto","Vigente")))</f>
        <v/>
      </c>
      <c r="K100" s="6">
        <f>IF(D100="","",EDATE(D100,VLOOKUP(B100,Parametros!$A$7:$B$12,2,FALSE)*12))</f>
        <v/>
      </c>
      <c r="L100">
        <f>IF(D100="","",IF(K100&lt;=Parametros!$B$3,"Sí","No"))</f>
        <v/>
      </c>
      <c r="M100">
        <f>IF(A100="","",IFERROR(LOOKUP(2,1/(Movimientos!$B$4:$B$300=A100),Movimientos!$D$4:$D$300),"Sin movimientos"))</f>
        <v/>
      </c>
      <c r="N100">
        <f>IF(A100="","",IFERROR(LOOKUP(2,1/(Movimientos!$B$4:$B$300=A100),Movimientos!$E$4:$E$300),"Sin movimientos"))</f>
        <v/>
      </c>
      <c r="O100">
        <f>IF(A100="","",IF(AND(F100=M100,G100=N100),"Sí","No"))</f>
        <v/>
      </c>
      <c r="P100">
        <f>IF(C100="","",IF(COUNTIF($C$4:$C$120,C100)&gt;1,"Sí","No"))</f>
        <v/>
      </c>
    </row>
    <row r="101">
      <c r="A101" s="3" t="n"/>
      <c r="B101" s="3" t="n"/>
      <c r="C101" s="3" t="n"/>
      <c r="D101" s="2" t="n"/>
      <c r="E101" s="3" t="n"/>
      <c r="F101" s="3" t="n"/>
      <c r="G101" s="3" t="n"/>
      <c r="H101" s="3" t="n"/>
      <c r="I101" s="6">
        <f>IF(D101="","",EDATE(D101,E101))</f>
        <v/>
      </c>
      <c r="J101">
        <f>IF(D101="","",IF(I101&lt;Parametros!$B$3,"Vencida",IF(I101-Parametros!$B$3&lt;=Parametros!$B$4,"Vence pronto","Vigente")))</f>
        <v/>
      </c>
      <c r="K101" s="6">
        <f>IF(D101="","",EDATE(D101,VLOOKUP(B101,Parametros!$A$7:$B$12,2,FALSE)*12))</f>
        <v/>
      </c>
      <c r="L101">
        <f>IF(D101="","",IF(K101&lt;=Parametros!$B$3,"Sí","No"))</f>
        <v/>
      </c>
      <c r="M101">
        <f>IF(A101="","",IFERROR(LOOKUP(2,1/(Movimientos!$B$4:$B$300=A101),Movimientos!$D$4:$D$300),"Sin movimientos"))</f>
        <v/>
      </c>
      <c r="N101">
        <f>IF(A101="","",IFERROR(LOOKUP(2,1/(Movimientos!$B$4:$B$300=A101),Movimientos!$E$4:$E$300),"Sin movimientos"))</f>
        <v/>
      </c>
      <c r="O101">
        <f>IF(A101="","",IF(AND(F101=M101,G101=N101),"Sí","No"))</f>
        <v/>
      </c>
      <c r="P101">
        <f>IF(C101="","",IF(COUNTIF($C$4:$C$120,C101)&gt;1,"Sí","No"))</f>
        <v/>
      </c>
    </row>
    <row r="102">
      <c r="A102" s="3" t="n"/>
      <c r="B102" s="3" t="n"/>
      <c r="C102" s="3" t="n"/>
      <c r="D102" s="2" t="n"/>
      <c r="E102" s="3" t="n"/>
      <c r="F102" s="3" t="n"/>
      <c r="G102" s="3" t="n"/>
      <c r="H102" s="3" t="n"/>
      <c r="I102" s="6">
        <f>IF(D102="","",EDATE(D102,E102))</f>
        <v/>
      </c>
      <c r="J102">
        <f>IF(D102="","",IF(I102&lt;Parametros!$B$3,"Vencida",IF(I102-Parametros!$B$3&lt;=Parametros!$B$4,"Vence pronto","Vigente")))</f>
        <v/>
      </c>
      <c r="K102" s="6">
        <f>IF(D102="","",EDATE(D102,VLOOKUP(B102,Parametros!$A$7:$B$12,2,FALSE)*12))</f>
        <v/>
      </c>
      <c r="L102">
        <f>IF(D102="","",IF(K102&lt;=Parametros!$B$3,"Sí","No"))</f>
        <v/>
      </c>
      <c r="M102">
        <f>IF(A102="","",IFERROR(LOOKUP(2,1/(Movimientos!$B$4:$B$300=A102),Movimientos!$D$4:$D$300),"Sin movimientos"))</f>
        <v/>
      </c>
      <c r="N102">
        <f>IF(A102="","",IFERROR(LOOKUP(2,1/(Movimientos!$B$4:$B$300=A102),Movimientos!$E$4:$E$300),"Sin movimientos"))</f>
        <v/>
      </c>
      <c r="O102">
        <f>IF(A102="","",IF(AND(F102=M102,G102=N102),"Sí","No"))</f>
        <v/>
      </c>
      <c r="P102">
        <f>IF(C102="","",IF(COUNTIF($C$4:$C$120,C102)&gt;1,"Sí","No"))</f>
        <v/>
      </c>
    </row>
    <row r="103">
      <c r="A103" s="3" t="n"/>
      <c r="B103" s="3" t="n"/>
      <c r="C103" s="3" t="n"/>
      <c r="D103" s="2" t="n"/>
      <c r="E103" s="3" t="n"/>
      <c r="F103" s="3" t="n"/>
      <c r="G103" s="3" t="n"/>
      <c r="H103" s="3" t="n"/>
      <c r="I103" s="6">
        <f>IF(D103="","",EDATE(D103,E103))</f>
        <v/>
      </c>
      <c r="J103">
        <f>IF(D103="","",IF(I103&lt;Parametros!$B$3,"Vencida",IF(I103-Parametros!$B$3&lt;=Parametros!$B$4,"Vence pronto","Vigente")))</f>
        <v/>
      </c>
      <c r="K103" s="6">
        <f>IF(D103="","",EDATE(D103,VLOOKUP(B103,Parametros!$A$7:$B$12,2,FALSE)*12))</f>
        <v/>
      </c>
      <c r="L103">
        <f>IF(D103="","",IF(K103&lt;=Parametros!$B$3,"Sí","No"))</f>
        <v/>
      </c>
      <c r="M103">
        <f>IF(A103="","",IFERROR(LOOKUP(2,1/(Movimientos!$B$4:$B$300=A103),Movimientos!$D$4:$D$300),"Sin movimientos"))</f>
        <v/>
      </c>
      <c r="N103">
        <f>IF(A103="","",IFERROR(LOOKUP(2,1/(Movimientos!$B$4:$B$300=A103),Movimientos!$E$4:$E$300),"Sin movimientos"))</f>
        <v/>
      </c>
      <c r="O103">
        <f>IF(A103="","",IF(AND(F103=M103,G103=N103),"Sí","No"))</f>
        <v/>
      </c>
      <c r="P103">
        <f>IF(C103="","",IF(COUNTIF($C$4:$C$120,C103)&gt;1,"Sí","No"))</f>
        <v/>
      </c>
    </row>
    <row r="104">
      <c r="A104" s="3" t="n"/>
      <c r="B104" s="3" t="n"/>
      <c r="C104" s="3" t="n"/>
      <c r="D104" s="2" t="n"/>
      <c r="E104" s="3" t="n"/>
      <c r="F104" s="3" t="n"/>
      <c r="G104" s="3" t="n"/>
      <c r="H104" s="3" t="n"/>
      <c r="I104" s="6">
        <f>IF(D104="","",EDATE(D104,E104))</f>
        <v/>
      </c>
      <c r="J104">
        <f>IF(D104="","",IF(I104&lt;Parametros!$B$3,"Vencida",IF(I104-Parametros!$B$3&lt;=Parametros!$B$4,"Vence pronto","Vigente")))</f>
        <v/>
      </c>
      <c r="K104" s="6">
        <f>IF(D104="","",EDATE(D104,VLOOKUP(B104,Parametros!$A$7:$B$12,2,FALSE)*12))</f>
        <v/>
      </c>
      <c r="L104">
        <f>IF(D104="","",IF(K104&lt;=Parametros!$B$3,"Sí","No"))</f>
        <v/>
      </c>
      <c r="M104">
        <f>IF(A104="","",IFERROR(LOOKUP(2,1/(Movimientos!$B$4:$B$300=A104),Movimientos!$D$4:$D$300),"Sin movimientos"))</f>
        <v/>
      </c>
      <c r="N104">
        <f>IF(A104="","",IFERROR(LOOKUP(2,1/(Movimientos!$B$4:$B$300=A104),Movimientos!$E$4:$E$300),"Sin movimientos"))</f>
        <v/>
      </c>
      <c r="O104">
        <f>IF(A104="","",IF(AND(F104=M104,G104=N104),"Sí","No"))</f>
        <v/>
      </c>
      <c r="P104">
        <f>IF(C104="","",IF(COUNTIF($C$4:$C$120,C104)&gt;1,"Sí","No"))</f>
        <v/>
      </c>
    </row>
    <row r="105">
      <c r="A105" s="3" t="n"/>
      <c r="B105" s="3" t="n"/>
      <c r="C105" s="3" t="n"/>
      <c r="D105" s="2" t="n"/>
      <c r="E105" s="3" t="n"/>
      <c r="F105" s="3" t="n"/>
      <c r="G105" s="3" t="n"/>
      <c r="H105" s="3" t="n"/>
      <c r="I105" s="6">
        <f>IF(D105="","",EDATE(D105,E105))</f>
        <v/>
      </c>
      <c r="J105">
        <f>IF(D105="","",IF(I105&lt;Parametros!$B$3,"Vencida",IF(I105-Parametros!$B$3&lt;=Parametros!$B$4,"Vence pronto","Vigente")))</f>
        <v/>
      </c>
      <c r="K105" s="6">
        <f>IF(D105="","",EDATE(D105,VLOOKUP(B105,Parametros!$A$7:$B$12,2,FALSE)*12))</f>
        <v/>
      </c>
      <c r="L105">
        <f>IF(D105="","",IF(K105&lt;=Parametros!$B$3,"Sí","No"))</f>
        <v/>
      </c>
      <c r="M105">
        <f>IF(A105="","",IFERROR(LOOKUP(2,1/(Movimientos!$B$4:$B$300=A105),Movimientos!$D$4:$D$300),"Sin movimientos"))</f>
        <v/>
      </c>
      <c r="N105">
        <f>IF(A105="","",IFERROR(LOOKUP(2,1/(Movimientos!$B$4:$B$300=A105),Movimientos!$E$4:$E$300),"Sin movimientos"))</f>
        <v/>
      </c>
      <c r="O105">
        <f>IF(A105="","",IF(AND(F105=M105,G105=N105),"Sí","No"))</f>
        <v/>
      </c>
      <c r="P105">
        <f>IF(C105="","",IF(COUNTIF($C$4:$C$120,C105)&gt;1,"Sí","No"))</f>
        <v/>
      </c>
    </row>
    <row r="106">
      <c r="A106" s="3" t="n"/>
      <c r="B106" s="3" t="n"/>
      <c r="C106" s="3" t="n"/>
      <c r="D106" s="2" t="n"/>
      <c r="E106" s="3" t="n"/>
      <c r="F106" s="3" t="n"/>
      <c r="G106" s="3" t="n"/>
      <c r="H106" s="3" t="n"/>
      <c r="I106" s="6">
        <f>IF(D106="","",EDATE(D106,E106))</f>
        <v/>
      </c>
      <c r="J106">
        <f>IF(D106="","",IF(I106&lt;Parametros!$B$3,"Vencida",IF(I106-Parametros!$B$3&lt;=Parametros!$B$4,"Vence pronto","Vigente")))</f>
        <v/>
      </c>
      <c r="K106" s="6">
        <f>IF(D106="","",EDATE(D106,VLOOKUP(B106,Parametros!$A$7:$B$12,2,FALSE)*12))</f>
        <v/>
      </c>
      <c r="L106">
        <f>IF(D106="","",IF(K106&lt;=Parametros!$B$3,"Sí","No"))</f>
        <v/>
      </c>
      <c r="M106">
        <f>IF(A106="","",IFERROR(LOOKUP(2,1/(Movimientos!$B$4:$B$300=A106),Movimientos!$D$4:$D$300),"Sin movimientos"))</f>
        <v/>
      </c>
      <c r="N106">
        <f>IF(A106="","",IFERROR(LOOKUP(2,1/(Movimientos!$B$4:$B$300=A106),Movimientos!$E$4:$E$300),"Sin movimientos"))</f>
        <v/>
      </c>
      <c r="O106">
        <f>IF(A106="","",IF(AND(F106=M106,G106=N106),"Sí","No"))</f>
        <v/>
      </c>
      <c r="P106">
        <f>IF(C106="","",IF(COUNTIF($C$4:$C$120,C106)&gt;1,"Sí","No"))</f>
        <v/>
      </c>
    </row>
    <row r="107">
      <c r="A107" s="3" t="n"/>
      <c r="B107" s="3" t="n"/>
      <c r="C107" s="3" t="n"/>
      <c r="D107" s="2" t="n"/>
      <c r="E107" s="3" t="n"/>
      <c r="F107" s="3" t="n"/>
      <c r="G107" s="3" t="n"/>
      <c r="H107" s="3" t="n"/>
      <c r="I107" s="6">
        <f>IF(D107="","",EDATE(D107,E107))</f>
        <v/>
      </c>
      <c r="J107">
        <f>IF(D107="","",IF(I107&lt;Parametros!$B$3,"Vencida",IF(I107-Parametros!$B$3&lt;=Parametros!$B$4,"Vence pronto","Vigente")))</f>
        <v/>
      </c>
      <c r="K107" s="6">
        <f>IF(D107="","",EDATE(D107,VLOOKUP(B107,Parametros!$A$7:$B$12,2,FALSE)*12))</f>
        <v/>
      </c>
      <c r="L107">
        <f>IF(D107="","",IF(K107&lt;=Parametros!$B$3,"Sí","No"))</f>
        <v/>
      </c>
      <c r="M107">
        <f>IF(A107="","",IFERROR(LOOKUP(2,1/(Movimientos!$B$4:$B$300=A107),Movimientos!$D$4:$D$300),"Sin movimientos"))</f>
        <v/>
      </c>
      <c r="N107">
        <f>IF(A107="","",IFERROR(LOOKUP(2,1/(Movimientos!$B$4:$B$300=A107),Movimientos!$E$4:$E$300),"Sin movimientos"))</f>
        <v/>
      </c>
      <c r="O107">
        <f>IF(A107="","",IF(AND(F107=M107,G107=N107),"Sí","No"))</f>
        <v/>
      </c>
      <c r="P107">
        <f>IF(C107="","",IF(COUNTIF($C$4:$C$120,C107)&gt;1,"Sí","No"))</f>
        <v/>
      </c>
    </row>
    <row r="108">
      <c r="A108" s="3" t="n"/>
      <c r="B108" s="3" t="n"/>
      <c r="C108" s="3" t="n"/>
      <c r="D108" s="2" t="n"/>
      <c r="E108" s="3" t="n"/>
      <c r="F108" s="3" t="n"/>
      <c r="G108" s="3" t="n"/>
      <c r="H108" s="3" t="n"/>
      <c r="I108" s="6">
        <f>IF(D108="","",EDATE(D108,E108))</f>
        <v/>
      </c>
      <c r="J108">
        <f>IF(D108="","",IF(I108&lt;Parametros!$B$3,"Vencida",IF(I108-Parametros!$B$3&lt;=Parametros!$B$4,"Vence pronto","Vigente")))</f>
        <v/>
      </c>
      <c r="K108" s="6">
        <f>IF(D108="","",EDATE(D108,VLOOKUP(B108,Parametros!$A$7:$B$12,2,FALSE)*12))</f>
        <v/>
      </c>
      <c r="L108">
        <f>IF(D108="","",IF(K108&lt;=Parametros!$B$3,"Sí","No"))</f>
        <v/>
      </c>
      <c r="M108">
        <f>IF(A108="","",IFERROR(LOOKUP(2,1/(Movimientos!$B$4:$B$300=A108),Movimientos!$D$4:$D$300),"Sin movimientos"))</f>
        <v/>
      </c>
      <c r="N108">
        <f>IF(A108="","",IFERROR(LOOKUP(2,1/(Movimientos!$B$4:$B$300=A108),Movimientos!$E$4:$E$300),"Sin movimientos"))</f>
        <v/>
      </c>
      <c r="O108">
        <f>IF(A108="","",IF(AND(F108=M108,G108=N108),"Sí","No"))</f>
        <v/>
      </c>
      <c r="P108">
        <f>IF(C108="","",IF(COUNTIF($C$4:$C$120,C108)&gt;1,"Sí","No"))</f>
        <v/>
      </c>
    </row>
    <row r="109">
      <c r="A109" s="3" t="n"/>
      <c r="B109" s="3" t="n"/>
      <c r="C109" s="3" t="n"/>
      <c r="D109" s="2" t="n"/>
      <c r="E109" s="3" t="n"/>
      <c r="F109" s="3" t="n"/>
      <c r="G109" s="3" t="n"/>
      <c r="H109" s="3" t="n"/>
      <c r="I109" s="6">
        <f>IF(D109="","",EDATE(D109,E109))</f>
        <v/>
      </c>
      <c r="J109">
        <f>IF(D109="","",IF(I109&lt;Parametros!$B$3,"Vencida",IF(I109-Parametros!$B$3&lt;=Parametros!$B$4,"Vence pronto","Vigente")))</f>
        <v/>
      </c>
      <c r="K109" s="6">
        <f>IF(D109="","",EDATE(D109,VLOOKUP(B109,Parametros!$A$7:$B$12,2,FALSE)*12))</f>
        <v/>
      </c>
      <c r="L109">
        <f>IF(D109="","",IF(K109&lt;=Parametros!$B$3,"Sí","No"))</f>
        <v/>
      </c>
      <c r="M109">
        <f>IF(A109="","",IFERROR(LOOKUP(2,1/(Movimientos!$B$4:$B$300=A109),Movimientos!$D$4:$D$300),"Sin movimientos"))</f>
        <v/>
      </c>
      <c r="N109">
        <f>IF(A109="","",IFERROR(LOOKUP(2,1/(Movimientos!$B$4:$B$300=A109),Movimientos!$E$4:$E$300),"Sin movimientos"))</f>
        <v/>
      </c>
      <c r="O109">
        <f>IF(A109="","",IF(AND(F109=M109,G109=N109),"Sí","No"))</f>
        <v/>
      </c>
      <c r="P109">
        <f>IF(C109="","",IF(COUNTIF($C$4:$C$120,C109)&gt;1,"Sí","No"))</f>
        <v/>
      </c>
    </row>
    <row r="110">
      <c r="A110" s="3" t="n"/>
      <c r="B110" s="3" t="n"/>
      <c r="C110" s="3" t="n"/>
      <c r="D110" s="2" t="n"/>
      <c r="E110" s="3" t="n"/>
      <c r="F110" s="3" t="n"/>
      <c r="G110" s="3" t="n"/>
      <c r="H110" s="3" t="n"/>
      <c r="I110" s="6">
        <f>IF(D110="","",EDATE(D110,E110))</f>
        <v/>
      </c>
      <c r="J110">
        <f>IF(D110="","",IF(I110&lt;Parametros!$B$3,"Vencida",IF(I110-Parametros!$B$3&lt;=Parametros!$B$4,"Vence pronto","Vigente")))</f>
        <v/>
      </c>
      <c r="K110" s="6">
        <f>IF(D110="","",EDATE(D110,VLOOKUP(B110,Parametros!$A$7:$B$12,2,FALSE)*12))</f>
        <v/>
      </c>
      <c r="L110">
        <f>IF(D110="","",IF(K110&lt;=Parametros!$B$3,"Sí","No"))</f>
        <v/>
      </c>
      <c r="M110">
        <f>IF(A110="","",IFERROR(LOOKUP(2,1/(Movimientos!$B$4:$B$300=A110),Movimientos!$D$4:$D$300),"Sin movimientos"))</f>
        <v/>
      </c>
      <c r="N110">
        <f>IF(A110="","",IFERROR(LOOKUP(2,1/(Movimientos!$B$4:$B$300=A110),Movimientos!$E$4:$E$300),"Sin movimientos"))</f>
        <v/>
      </c>
      <c r="O110">
        <f>IF(A110="","",IF(AND(F110=M110,G110=N110),"Sí","No"))</f>
        <v/>
      </c>
      <c r="P110">
        <f>IF(C110="","",IF(COUNTIF($C$4:$C$120,C110)&gt;1,"Sí","No"))</f>
        <v/>
      </c>
    </row>
    <row r="111">
      <c r="A111" s="3" t="n"/>
      <c r="B111" s="3" t="n"/>
      <c r="C111" s="3" t="n"/>
      <c r="D111" s="2" t="n"/>
      <c r="E111" s="3" t="n"/>
      <c r="F111" s="3" t="n"/>
      <c r="G111" s="3" t="n"/>
      <c r="H111" s="3" t="n"/>
      <c r="I111" s="6">
        <f>IF(D111="","",EDATE(D111,E111))</f>
        <v/>
      </c>
      <c r="J111">
        <f>IF(D111="","",IF(I111&lt;Parametros!$B$3,"Vencida",IF(I111-Parametros!$B$3&lt;=Parametros!$B$4,"Vence pronto","Vigente")))</f>
        <v/>
      </c>
      <c r="K111" s="6">
        <f>IF(D111="","",EDATE(D111,VLOOKUP(B111,Parametros!$A$7:$B$12,2,FALSE)*12))</f>
        <v/>
      </c>
      <c r="L111">
        <f>IF(D111="","",IF(K111&lt;=Parametros!$B$3,"Sí","No"))</f>
        <v/>
      </c>
      <c r="M111">
        <f>IF(A111="","",IFERROR(LOOKUP(2,1/(Movimientos!$B$4:$B$300=A111),Movimientos!$D$4:$D$300),"Sin movimientos"))</f>
        <v/>
      </c>
      <c r="N111">
        <f>IF(A111="","",IFERROR(LOOKUP(2,1/(Movimientos!$B$4:$B$300=A111),Movimientos!$E$4:$E$300),"Sin movimientos"))</f>
        <v/>
      </c>
      <c r="O111">
        <f>IF(A111="","",IF(AND(F111=M111,G111=N111),"Sí","No"))</f>
        <v/>
      </c>
      <c r="P111">
        <f>IF(C111="","",IF(COUNTIF($C$4:$C$120,C111)&gt;1,"Sí","No"))</f>
        <v/>
      </c>
    </row>
    <row r="112">
      <c r="A112" s="3" t="n"/>
      <c r="B112" s="3" t="n"/>
      <c r="C112" s="3" t="n"/>
      <c r="D112" s="2" t="n"/>
      <c r="E112" s="3" t="n"/>
      <c r="F112" s="3" t="n"/>
      <c r="G112" s="3" t="n"/>
      <c r="H112" s="3" t="n"/>
      <c r="I112" s="6">
        <f>IF(D112="","",EDATE(D112,E112))</f>
        <v/>
      </c>
      <c r="J112">
        <f>IF(D112="","",IF(I112&lt;Parametros!$B$3,"Vencida",IF(I112-Parametros!$B$3&lt;=Parametros!$B$4,"Vence pronto","Vigente")))</f>
        <v/>
      </c>
      <c r="K112" s="6">
        <f>IF(D112="","",EDATE(D112,VLOOKUP(B112,Parametros!$A$7:$B$12,2,FALSE)*12))</f>
        <v/>
      </c>
      <c r="L112">
        <f>IF(D112="","",IF(K112&lt;=Parametros!$B$3,"Sí","No"))</f>
        <v/>
      </c>
      <c r="M112">
        <f>IF(A112="","",IFERROR(LOOKUP(2,1/(Movimientos!$B$4:$B$300=A112),Movimientos!$D$4:$D$300),"Sin movimientos"))</f>
        <v/>
      </c>
      <c r="N112">
        <f>IF(A112="","",IFERROR(LOOKUP(2,1/(Movimientos!$B$4:$B$300=A112),Movimientos!$E$4:$E$300),"Sin movimientos"))</f>
        <v/>
      </c>
      <c r="O112">
        <f>IF(A112="","",IF(AND(F112=M112,G112=N112),"Sí","No"))</f>
        <v/>
      </c>
      <c r="P112">
        <f>IF(C112="","",IF(COUNTIF($C$4:$C$120,C112)&gt;1,"Sí","No"))</f>
        <v/>
      </c>
    </row>
    <row r="113">
      <c r="A113" s="3" t="n"/>
      <c r="B113" s="3" t="n"/>
      <c r="C113" s="3" t="n"/>
      <c r="D113" s="2" t="n"/>
      <c r="E113" s="3" t="n"/>
      <c r="F113" s="3" t="n"/>
      <c r="G113" s="3" t="n"/>
      <c r="H113" s="3" t="n"/>
      <c r="I113" s="6">
        <f>IF(D113="","",EDATE(D113,E113))</f>
        <v/>
      </c>
      <c r="J113">
        <f>IF(D113="","",IF(I113&lt;Parametros!$B$3,"Vencida",IF(I113-Parametros!$B$3&lt;=Parametros!$B$4,"Vence pronto","Vigente")))</f>
        <v/>
      </c>
      <c r="K113" s="6">
        <f>IF(D113="","",EDATE(D113,VLOOKUP(B113,Parametros!$A$7:$B$12,2,FALSE)*12))</f>
        <v/>
      </c>
      <c r="L113">
        <f>IF(D113="","",IF(K113&lt;=Parametros!$B$3,"Sí","No"))</f>
        <v/>
      </c>
      <c r="M113">
        <f>IF(A113="","",IFERROR(LOOKUP(2,1/(Movimientos!$B$4:$B$300=A113),Movimientos!$D$4:$D$300),"Sin movimientos"))</f>
        <v/>
      </c>
      <c r="N113">
        <f>IF(A113="","",IFERROR(LOOKUP(2,1/(Movimientos!$B$4:$B$300=A113),Movimientos!$E$4:$E$300),"Sin movimientos"))</f>
        <v/>
      </c>
      <c r="O113">
        <f>IF(A113="","",IF(AND(F113=M113,G113=N113),"Sí","No"))</f>
        <v/>
      </c>
      <c r="P113">
        <f>IF(C113="","",IF(COUNTIF($C$4:$C$120,C113)&gt;1,"Sí","No"))</f>
        <v/>
      </c>
    </row>
    <row r="114">
      <c r="A114" s="3" t="n"/>
      <c r="B114" s="3" t="n"/>
      <c r="C114" s="3" t="n"/>
      <c r="D114" s="2" t="n"/>
      <c r="E114" s="3" t="n"/>
      <c r="F114" s="3" t="n"/>
      <c r="G114" s="3" t="n"/>
      <c r="H114" s="3" t="n"/>
      <c r="I114" s="6">
        <f>IF(D114="","",EDATE(D114,E114))</f>
        <v/>
      </c>
      <c r="J114">
        <f>IF(D114="","",IF(I114&lt;Parametros!$B$3,"Vencida",IF(I114-Parametros!$B$3&lt;=Parametros!$B$4,"Vence pronto","Vigente")))</f>
        <v/>
      </c>
      <c r="K114" s="6">
        <f>IF(D114="","",EDATE(D114,VLOOKUP(B114,Parametros!$A$7:$B$12,2,FALSE)*12))</f>
        <v/>
      </c>
      <c r="L114">
        <f>IF(D114="","",IF(K114&lt;=Parametros!$B$3,"Sí","No"))</f>
        <v/>
      </c>
      <c r="M114">
        <f>IF(A114="","",IFERROR(LOOKUP(2,1/(Movimientos!$B$4:$B$300=A114),Movimientos!$D$4:$D$300),"Sin movimientos"))</f>
        <v/>
      </c>
      <c r="N114">
        <f>IF(A114="","",IFERROR(LOOKUP(2,1/(Movimientos!$B$4:$B$300=A114),Movimientos!$E$4:$E$300),"Sin movimientos"))</f>
        <v/>
      </c>
      <c r="O114">
        <f>IF(A114="","",IF(AND(F114=M114,G114=N114),"Sí","No"))</f>
        <v/>
      </c>
      <c r="P114">
        <f>IF(C114="","",IF(COUNTIF($C$4:$C$120,C114)&gt;1,"Sí","No"))</f>
        <v/>
      </c>
    </row>
    <row r="115">
      <c r="A115" s="3" t="n"/>
      <c r="B115" s="3" t="n"/>
      <c r="C115" s="3" t="n"/>
      <c r="D115" s="2" t="n"/>
      <c r="E115" s="3" t="n"/>
      <c r="F115" s="3" t="n"/>
      <c r="G115" s="3" t="n"/>
      <c r="H115" s="3" t="n"/>
      <c r="I115" s="6">
        <f>IF(D115="","",EDATE(D115,E115))</f>
        <v/>
      </c>
      <c r="J115">
        <f>IF(D115="","",IF(I115&lt;Parametros!$B$3,"Vencida",IF(I115-Parametros!$B$3&lt;=Parametros!$B$4,"Vence pronto","Vigente")))</f>
        <v/>
      </c>
      <c r="K115" s="6">
        <f>IF(D115="","",EDATE(D115,VLOOKUP(B115,Parametros!$A$7:$B$12,2,FALSE)*12))</f>
        <v/>
      </c>
      <c r="L115">
        <f>IF(D115="","",IF(K115&lt;=Parametros!$B$3,"Sí","No"))</f>
        <v/>
      </c>
      <c r="M115">
        <f>IF(A115="","",IFERROR(LOOKUP(2,1/(Movimientos!$B$4:$B$300=A115),Movimientos!$D$4:$D$300),"Sin movimientos"))</f>
        <v/>
      </c>
      <c r="N115">
        <f>IF(A115="","",IFERROR(LOOKUP(2,1/(Movimientos!$B$4:$B$300=A115),Movimientos!$E$4:$E$300),"Sin movimientos"))</f>
        <v/>
      </c>
      <c r="O115">
        <f>IF(A115="","",IF(AND(F115=M115,G115=N115),"Sí","No"))</f>
        <v/>
      </c>
      <c r="P115">
        <f>IF(C115="","",IF(COUNTIF($C$4:$C$120,C115)&gt;1,"Sí","No"))</f>
        <v/>
      </c>
    </row>
    <row r="116">
      <c r="A116" s="3" t="n"/>
      <c r="B116" s="3" t="n"/>
      <c r="C116" s="3" t="n"/>
      <c r="D116" s="2" t="n"/>
      <c r="E116" s="3" t="n"/>
      <c r="F116" s="3" t="n"/>
      <c r="G116" s="3" t="n"/>
      <c r="H116" s="3" t="n"/>
      <c r="I116" s="6">
        <f>IF(D116="","",EDATE(D116,E116))</f>
        <v/>
      </c>
      <c r="J116">
        <f>IF(D116="","",IF(I116&lt;Parametros!$B$3,"Vencida",IF(I116-Parametros!$B$3&lt;=Parametros!$B$4,"Vence pronto","Vigente")))</f>
        <v/>
      </c>
      <c r="K116" s="6">
        <f>IF(D116="","",EDATE(D116,VLOOKUP(B116,Parametros!$A$7:$B$12,2,FALSE)*12))</f>
        <v/>
      </c>
      <c r="L116">
        <f>IF(D116="","",IF(K116&lt;=Parametros!$B$3,"Sí","No"))</f>
        <v/>
      </c>
      <c r="M116">
        <f>IF(A116="","",IFERROR(LOOKUP(2,1/(Movimientos!$B$4:$B$300=A116),Movimientos!$D$4:$D$300),"Sin movimientos"))</f>
        <v/>
      </c>
      <c r="N116">
        <f>IF(A116="","",IFERROR(LOOKUP(2,1/(Movimientos!$B$4:$B$300=A116),Movimientos!$E$4:$E$300),"Sin movimientos"))</f>
        <v/>
      </c>
      <c r="O116">
        <f>IF(A116="","",IF(AND(F116=M116,G116=N116),"Sí","No"))</f>
        <v/>
      </c>
      <c r="P116">
        <f>IF(C116="","",IF(COUNTIF($C$4:$C$120,C116)&gt;1,"Sí","No"))</f>
        <v/>
      </c>
    </row>
    <row r="117">
      <c r="A117" s="3" t="n"/>
      <c r="B117" s="3" t="n"/>
      <c r="C117" s="3" t="n"/>
      <c r="D117" s="2" t="n"/>
      <c r="E117" s="3" t="n"/>
      <c r="F117" s="3" t="n"/>
      <c r="G117" s="3" t="n"/>
      <c r="H117" s="3" t="n"/>
      <c r="I117" s="6">
        <f>IF(D117="","",EDATE(D117,E117))</f>
        <v/>
      </c>
      <c r="J117">
        <f>IF(D117="","",IF(I117&lt;Parametros!$B$3,"Vencida",IF(I117-Parametros!$B$3&lt;=Parametros!$B$4,"Vence pronto","Vigente")))</f>
        <v/>
      </c>
      <c r="K117" s="6">
        <f>IF(D117="","",EDATE(D117,VLOOKUP(B117,Parametros!$A$7:$B$12,2,FALSE)*12))</f>
        <v/>
      </c>
      <c r="L117">
        <f>IF(D117="","",IF(K117&lt;=Parametros!$B$3,"Sí","No"))</f>
        <v/>
      </c>
      <c r="M117">
        <f>IF(A117="","",IFERROR(LOOKUP(2,1/(Movimientos!$B$4:$B$300=A117),Movimientos!$D$4:$D$300),"Sin movimientos"))</f>
        <v/>
      </c>
      <c r="N117">
        <f>IF(A117="","",IFERROR(LOOKUP(2,1/(Movimientos!$B$4:$B$300=A117),Movimientos!$E$4:$E$300),"Sin movimientos"))</f>
        <v/>
      </c>
      <c r="O117">
        <f>IF(A117="","",IF(AND(F117=M117,G117=N117),"Sí","No"))</f>
        <v/>
      </c>
      <c r="P117">
        <f>IF(C117="","",IF(COUNTIF($C$4:$C$120,C117)&gt;1,"Sí","No"))</f>
        <v/>
      </c>
    </row>
    <row r="118">
      <c r="A118" s="3" t="n"/>
      <c r="B118" s="3" t="n"/>
      <c r="C118" s="3" t="n"/>
      <c r="D118" s="2" t="n"/>
      <c r="E118" s="3" t="n"/>
      <c r="F118" s="3" t="n"/>
      <c r="G118" s="3" t="n"/>
      <c r="H118" s="3" t="n"/>
      <c r="I118" s="6">
        <f>IF(D118="","",EDATE(D118,E118))</f>
        <v/>
      </c>
      <c r="J118">
        <f>IF(D118="","",IF(I118&lt;Parametros!$B$3,"Vencida",IF(I118-Parametros!$B$3&lt;=Parametros!$B$4,"Vence pronto","Vigente")))</f>
        <v/>
      </c>
      <c r="K118" s="6">
        <f>IF(D118="","",EDATE(D118,VLOOKUP(B118,Parametros!$A$7:$B$12,2,FALSE)*12))</f>
        <v/>
      </c>
      <c r="L118">
        <f>IF(D118="","",IF(K118&lt;=Parametros!$B$3,"Sí","No"))</f>
        <v/>
      </c>
      <c r="M118">
        <f>IF(A118="","",IFERROR(LOOKUP(2,1/(Movimientos!$B$4:$B$300=A118),Movimientos!$D$4:$D$300),"Sin movimientos"))</f>
        <v/>
      </c>
      <c r="N118">
        <f>IF(A118="","",IFERROR(LOOKUP(2,1/(Movimientos!$B$4:$B$300=A118),Movimientos!$E$4:$E$300),"Sin movimientos"))</f>
        <v/>
      </c>
      <c r="O118">
        <f>IF(A118="","",IF(AND(F118=M118,G118=N118),"Sí","No"))</f>
        <v/>
      </c>
      <c r="P118">
        <f>IF(C118="","",IF(COUNTIF($C$4:$C$120,C118)&gt;1,"Sí","No"))</f>
        <v/>
      </c>
    </row>
    <row r="119">
      <c r="A119" s="3" t="n"/>
      <c r="B119" s="3" t="n"/>
      <c r="C119" s="3" t="n"/>
      <c r="D119" s="2" t="n"/>
      <c r="E119" s="3" t="n"/>
      <c r="F119" s="3" t="n"/>
      <c r="G119" s="3" t="n"/>
      <c r="H119" s="3" t="n"/>
      <c r="I119" s="6">
        <f>IF(D119="","",EDATE(D119,E119))</f>
        <v/>
      </c>
      <c r="J119">
        <f>IF(D119="","",IF(I119&lt;Parametros!$B$3,"Vencida",IF(I119-Parametros!$B$3&lt;=Parametros!$B$4,"Vence pronto","Vigente")))</f>
        <v/>
      </c>
      <c r="K119" s="6">
        <f>IF(D119="","",EDATE(D119,VLOOKUP(B119,Parametros!$A$7:$B$12,2,FALSE)*12))</f>
        <v/>
      </c>
      <c r="L119">
        <f>IF(D119="","",IF(K119&lt;=Parametros!$B$3,"Sí","No"))</f>
        <v/>
      </c>
      <c r="M119">
        <f>IF(A119="","",IFERROR(LOOKUP(2,1/(Movimientos!$B$4:$B$300=A119),Movimientos!$D$4:$D$300),"Sin movimientos"))</f>
        <v/>
      </c>
      <c r="N119">
        <f>IF(A119="","",IFERROR(LOOKUP(2,1/(Movimientos!$B$4:$B$300=A119),Movimientos!$E$4:$E$300),"Sin movimientos"))</f>
        <v/>
      </c>
      <c r="O119">
        <f>IF(A119="","",IF(AND(F119=M119,G119=N119),"Sí","No"))</f>
        <v/>
      </c>
      <c r="P119">
        <f>IF(C119="","",IF(COUNTIF($C$4:$C$120,C119)&gt;1,"Sí","No"))</f>
        <v/>
      </c>
    </row>
    <row r="120">
      <c r="A120" s="3" t="n"/>
      <c r="B120" s="3" t="n"/>
      <c r="C120" s="3" t="n"/>
      <c r="D120" s="2" t="n"/>
      <c r="E120" s="3" t="n"/>
      <c r="F120" s="3" t="n"/>
      <c r="G120" s="3" t="n"/>
      <c r="H120" s="3" t="n"/>
      <c r="I120" s="6">
        <f>IF(D120="","",EDATE(D120,E120))</f>
        <v/>
      </c>
      <c r="J120">
        <f>IF(D120="","",IF(I120&lt;Parametros!$B$3,"Vencida",IF(I120-Parametros!$B$3&lt;=Parametros!$B$4,"Vence pronto","Vigente")))</f>
        <v/>
      </c>
      <c r="K120" s="6">
        <f>IF(D120="","",EDATE(D120,VLOOKUP(B120,Parametros!$A$7:$B$12,2,FALSE)*12))</f>
        <v/>
      </c>
      <c r="L120">
        <f>IF(D120="","",IF(K120&lt;=Parametros!$B$3,"Sí","No"))</f>
        <v/>
      </c>
      <c r="M120">
        <f>IF(A120="","",IFERROR(LOOKUP(2,1/(Movimientos!$B$4:$B$300=A120),Movimientos!$D$4:$D$300),"Sin movimientos"))</f>
        <v/>
      </c>
      <c r="N120">
        <f>IF(A120="","",IFERROR(LOOKUP(2,1/(Movimientos!$B$4:$B$300=A120),Movimientos!$E$4:$E$300),"Sin movimientos"))</f>
        <v/>
      </c>
      <c r="O120">
        <f>IF(A120="","",IF(AND(F120=M120,G120=N120),"Sí","No"))</f>
        <v/>
      </c>
      <c r="P120">
        <f>IF(C120="","",IF(COUNTIF($C$4:$C$120,C120)&gt;1,"Sí","No"))</f>
        <v/>
      </c>
    </row>
  </sheetData>
  <conditionalFormatting sqref="O4:O120">
    <cfRule type="cellIs" priority="1" operator="equal" dxfId="0">
      <formula>"No"</formula>
    </cfRule>
  </conditionalFormatting>
  <conditionalFormatting sqref="J4:J120">
    <cfRule type="cellIs" priority="2" operator="equal" dxfId="1">
      <formula>"Vencida"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4" customWidth="1" min="4" max="4"/>
    <col width="24" customWidth="1" min="5" max="5"/>
    <col width="30" customWidth="1" min="6" max="6"/>
  </cols>
  <sheetData>
    <row r="1">
      <c r="A1" s="1" t="inlineStr">
        <is>
          <t>MOVIMIENTOS (cada cambio de ubicación, responsable o estado deja una fila; el último movimiento de cada ID es su situación actual)</t>
        </is>
      </c>
    </row>
    <row r="3">
      <c r="A3" s="7" t="inlineStr">
        <is>
          <t>Fecha</t>
        </is>
      </c>
      <c r="B3" s="7" t="inlineStr">
        <is>
          <t>ID</t>
        </is>
      </c>
      <c r="C3" s="7" t="inlineStr">
        <is>
          <t>Tipo de movimiento</t>
        </is>
      </c>
      <c r="D3" s="7" t="inlineStr">
        <is>
          <t>Ubicación destino</t>
        </is>
      </c>
      <c r="E3" s="7" t="inlineStr">
        <is>
          <t>Responsable</t>
        </is>
      </c>
      <c r="F3" s="7" t="inlineStr">
        <is>
          <t>Observación</t>
        </is>
      </c>
    </row>
    <row r="4">
      <c r="A4" s="2" t="n">
        <v>44012</v>
      </c>
      <c r="B4" s="3" t="inlineStr">
        <is>
          <t>ACT-011</t>
        </is>
      </c>
      <c r="C4" s="3" t="inlineStr">
        <is>
          <t>Entrada</t>
        </is>
      </c>
      <c r="D4" s="3" t="inlineStr">
        <is>
          <t>Pasillo piso 2</t>
        </is>
      </c>
      <c r="E4" s="3" t="inlineStr">
        <is>
          <t>Sistemas</t>
        </is>
      </c>
      <c r="F4" s="3" t="n"/>
    </row>
    <row r="5">
      <c r="A5" s="2" t="n">
        <v>44118</v>
      </c>
      <c r="B5" s="3" t="inlineStr">
        <is>
          <t>ACT-015</t>
        </is>
      </c>
      <c r="C5" s="3" t="inlineStr">
        <is>
          <t>Entrada</t>
        </is>
      </c>
      <c r="D5" s="3" t="inlineStr">
        <is>
          <t>Sala de sistemas</t>
        </is>
      </c>
      <c r="E5" s="3" t="inlineStr">
        <is>
          <t>Sistemas</t>
        </is>
      </c>
      <c r="F5" s="3" t="n"/>
    </row>
    <row r="6">
      <c r="A6" s="2" t="n">
        <v>44118</v>
      </c>
      <c r="B6" s="3" t="inlineStr">
        <is>
          <t>ACT-016</t>
        </is>
      </c>
      <c r="C6" s="3" t="inlineStr">
        <is>
          <t>Entrada</t>
        </is>
      </c>
      <c r="D6" s="3" t="inlineStr">
        <is>
          <t>Sala de sistemas</t>
        </is>
      </c>
      <c r="E6" s="3" t="inlineStr">
        <is>
          <t>Sistemas</t>
        </is>
      </c>
      <c r="F6" s="3" t="n"/>
    </row>
    <row r="7">
      <c r="A7" s="2" t="n">
        <v>44118</v>
      </c>
      <c r="B7" s="3" t="inlineStr">
        <is>
          <t>ACT-017</t>
        </is>
      </c>
      <c r="C7" s="3" t="inlineStr">
        <is>
          <t>Entrada</t>
        </is>
      </c>
      <c r="D7" s="3" t="inlineStr">
        <is>
          <t>Sala de sistemas</t>
        </is>
      </c>
      <c r="E7" s="3" t="inlineStr">
        <is>
          <t>Sistemas</t>
        </is>
      </c>
      <c r="F7" s="3" t="n"/>
    </row>
    <row r="8">
      <c r="A8" s="2" t="n">
        <v>44440</v>
      </c>
      <c r="B8" s="3" t="inlineStr">
        <is>
          <t>ACT-008</t>
        </is>
      </c>
      <c r="C8" s="3" t="inlineStr">
        <is>
          <t>Entrada</t>
        </is>
      </c>
      <c r="D8" s="3" t="inlineStr">
        <is>
          <t>Aula 201</t>
        </is>
      </c>
      <c r="E8" s="3" t="inlineStr">
        <is>
          <t>Docente Gómez</t>
        </is>
      </c>
      <c r="F8" s="3" t="n"/>
    </row>
    <row r="9">
      <c r="A9" s="2" t="n">
        <v>44440</v>
      </c>
      <c r="B9" s="3" t="inlineStr">
        <is>
          <t>ACT-009</t>
        </is>
      </c>
      <c r="C9" s="3" t="inlineStr">
        <is>
          <t>Entrada</t>
        </is>
      </c>
      <c r="D9" s="3" t="inlineStr">
        <is>
          <t>Aula 202</t>
        </is>
      </c>
      <c r="E9" s="3" t="inlineStr">
        <is>
          <t>Docente Rojas</t>
        </is>
      </c>
      <c r="F9" s="3" t="n"/>
    </row>
    <row r="10">
      <c r="A10" s="2" t="n">
        <v>44578</v>
      </c>
      <c r="B10" s="3" t="inlineStr">
        <is>
          <t>ACT-013</t>
        </is>
      </c>
      <c r="C10" s="3" t="inlineStr">
        <is>
          <t>Entrada</t>
        </is>
      </c>
      <c r="D10" s="3" t="inlineStr">
        <is>
          <t>Secretaría</t>
        </is>
      </c>
      <c r="E10" s="3" t="inlineStr">
        <is>
          <t>Secretaría</t>
        </is>
      </c>
      <c r="F10" s="3" t="n"/>
    </row>
    <row r="11">
      <c r="A11" s="2" t="n">
        <v>44602</v>
      </c>
      <c r="B11" s="3" t="inlineStr">
        <is>
          <t>ACT-001</t>
        </is>
      </c>
      <c r="C11" s="3" t="inlineStr">
        <is>
          <t>Entrada</t>
        </is>
      </c>
      <c r="D11" s="3" t="inlineStr">
        <is>
          <t>Sala de profesores</t>
        </is>
      </c>
      <c r="E11" s="3" t="inlineStr">
        <is>
          <t>Coordinación</t>
        </is>
      </c>
      <c r="F11" s="3" t="n"/>
    </row>
    <row r="12">
      <c r="A12" s="2" t="n">
        <v>44602</v>
      </c>
      <c r="B12" s="3" t="inlineStr">
        <is>
          <t>ACT-002</t>
        </is>
      </c>
      <c r="C12" s="3" t="inlineStr">
        <is>
          <t>Entrada</t>
        </is>
      </c>
      <c r="D12" s="3" t="inlineStr">
        <is>
          <t>Sala de profesores</t>
        </is>
      </c>
      <c r="E12" s="3" t="inlineStr">
        <is>
          <t>Coordinación</t>
        </is>
      </c>
      <c r="F12" s="3" t="n"/>
    </row>
    <row r="13">
      <c r="A13" s="2" t="n">
        <v>45066</v>
      </c>
      <c r="B13" s="3" t="inlineStr">
        <is>
          <t>ACT-005</t>
        </is>
      </c>
      <c r="C13" s="3" t="inlineStr">
        <is>
          <t>Entrada</t>
        </is>
      </c>
      <c r="D13" s="3" t="inlineStr">
        <is>
          <t>Carro de tabletas</t>
        </is>
      </c>
      <c r="E13" s="3" t="inlineStr">
        <is>
          <t>Biblioteca</t>
        </is>
      </c>
      <c r="F13" s="3" t="n"/>
    </row>
    <row r="14">
      <c r="A14" s="2" t="n">
        <v>45066</v>
      </c>
      <c r="B14" s="3" t="inlineStr">
        <is>
          <t>ACT-006</t>
        </is>
      </c>
      <c r="C14" s="3" t="inlineStr">
        <is>
          <t>Entrada</t>
        </is>
      </c>
      <c r="D14" s="3" t="inlineStr">
        <is>
          <t>Carro de tabletas</t>
        </is>
      </c>
      <c r="E14" s="3" t="inlineStr">
        <is>
          <t>Biblioteca</t>
        </is>
      </c>
      <c r="F14" s="3" t="n"/>
    </row>
    <row r="15">
      <c r="A15" s="2" t="n">
        <v>45066</v>
      </c>
      <c r="B15" s="3" t="inlineStr">
        <is>
          <t>ACT-007</t>
        </is>
      </c>
      <c r="C15" s="3" t="inlineStr">
        <is>
          <t>Entrada</t>
        </is>
      </c>
      <c r="D15" s="3" t="inlineStr">
        <is>
          <t>Carro de tabletas</t>
        </is>
      </c>
      <c r="E15" s="3" t="inlineStr">
        <is>
          <t>Biblioteca</t>
        </is>
      </c>
      <c r="F15" s="3" t="n"/>
    </row>
    <row r="16">
      <c r="A16" s="2" t="n">
        <v>45143</v>
      </c>
      <c r="B16" s="3" t="inlineStr">
        <is>
          <t>ACT-003</t>
        </is>
      </c>
      <c r="C16" s="3" t="inlineStr">
        <is>
          <t>Entrada</t>
        </is>
      </c>
      <c r="D16" s="3" t="inlineStr">
        <is>
          <t>Sala de profesores</t>
        </is>
      </c>
      <c r="E16" s="3" t="inlineStr">
        <is>
          <t>Coordinación</t>
        </is>
      </c>
      <c r="F16" s="3" t="n"/>
    </row>
    <row r="17">
      <c r="A17" s="2" t="n">
        <v>45170</v>
      </c>
      <c r="B17" s="3" t="inlineStr">
        <is>
          <t>ACT-003</t>
        </is>
      </c>
      <c r="C17" s="3" t="inlineStr">
        <is>
          <t>Asignación</t>
        </is>
      </c>
      <c r="D17" s="3" t="inlineStr">
        <is>
          <t>Aula 301</t>
        </is>
      </c>
      <c r="E17" s="3" t="inlineStr">
        <is>
          <t>Docente Pérez</t>
        </is>
      </c>
      <c r="F17" s="3" t="n"/>
    </row>
    <row r="18">
      <c r="A18" s="2" t="n">
        <v>45189</v>
      </c>
      <c r="B18" s="3" t="inlineStr">
        <is>
          <t>ACT-008</t>
        </is>
      </c>
      <c r="C18" s="3" t="inlineStr">
        <is>
          <t>Préstamo</t>
        </is>
      </c>
      <c r="D18" s="3" t="inlineStr">
        <is>
          <t>Auditorio</t>
        </is>
      </c>
      <c r="E18" s="3" t="inlineStr">
        <is>
          <t>Docente Gómez</t>
        </is>
      </c>
      <c r="F18" s="3" t="n"/>
    </row>
    <row r="19">
      <c r="A19" s="2" t="n">
        <v>45191</v>
      </c>
      <c r="B19" s="3" t="inlineStr">
        <is>
          <t>ACT-008</t>
        </is>
      </c>
      <c r="C19" s="3" t="inlineStr">
        <is>
          <t>Devolución</t>
        </is>
      </c>
      <c r="D19" s="3" t="inlineStr">
        <is>
          <t>Aula 201</t>
        </is>
      </c>
      <c r="E19" s="3" t="inlineStr">
        <is>
          <t>Docente Gómez</t>
        </is>
      </c>
      <c r="F19" s="3" t="n"/>
    </row>
    <row r="20">
      <c r="A20" s="2" t="n">
        <v>45481</v>
      </c>
      <c r="B20" s="3" t="inlineStr">
        <is>
          <t>ACT-012</t>
        </is>
      </c>
      <c r="C20" s="3" t="inlineStr">
        <is>
          <t>Entrada</t>
        </is>
      </c>
      <c r="D20" s="3" t="inlineStr">
        <is>
          <t>Pasillo piso 1</t>
        </is>
      </c>
      <c r="E20" s="3" t="inlineStr">
        <is>
          <t>Sistemas</t>
        </is>
      </c>
      <c r="F20" s="3" t="n"/>
    </row>
    <row r="21">
      <c r="A21" s="2" t="n">
        <v>45608</v>
      </c>
      <c r="B21" s="3" t="inlineStr">
        <is>
          <t>ACT-010</t>
        </is>
      </c>
      <c r="C21" s="3" t="inlineStr">
        <is>
          <t>Entrada</t>
        </is>
      </c>
      <c r="D21" s="3" t="inlineStr">
        <is>
          <t>Aula 203</t>
        </is>
      </c>
      <c r="E21" s="3" t="inlineStr">
        <is>
          <t>Docente Díaz</t>
        </is>
      </c>
      <c r="F21" s="3" t="n"/>
    </row>
    <row r="22">
      <c r="A22" s="2" t="n">
        <v>45699</v>
      </c>
      <c r="B22" s="3" t="inlineStr">
        <is>
          <t>ACT-019</t>
        </is>
      </c>
      <c r="C22" s="3" t="inlineStr">
        <is>
          <t>Entrada</t>
        </is>
      </c>
      <c r="D22" s="3" t="inlineStr">
        <is>
          <t>Carro de tabletas</t>
        </is>
      </c>
      <c r="E22" s="3" t="inlineStr">
        <is>
          <t>Biblioteca</t>
        </is>
      </c>
      <c r="F22" s="3" t="n"/>
    </row>
    <row r="23">
      <c r="A23" s="2" t="n">
        <v>45769</v>
      </c>
      <c r="B23" s="3" t="inlineStr">
        <is>
          <t>ACT-014</t>
        </is>
      </c>
      <c r="C23" s="3" t="inlineStr">
        <is>
          <t>Entrada</t>
        </is>
      </c>
      <c r="D23" s="3" t="inlineStr">
        <is>
          <t>Coordinación</t>
        </is>
      </c>
      <c r="E23" s="3" t="inlineStr">
        <is>
          <t>Coordinación</t>
        </is>
      </c>
      <c r="F23" s="3" t="n"/>
    </row>
    <row r="24">
      <c r="A24" s="2" t="n">
        <v>45814</v>
      </c>
      <c r="B24" s="3" t="inlineStr">
        <is>
          <t>ACT-020</t>
        </is>
      </c>
      <c r="C24" s="3" t="inlineStr">
        <is>
          <t>Entrada</t>
        </is>
      </c>
      <c r="D24" s="3" t="inlineStr">
        <is>
          <t>Aula 204</t>
        </is>
      </c>
      <c r="E24" s="3" t="inlineStr">
        <is>
          <t>Docente Vega</t>
        </is>
      </c>
      <c r="F24" s="3" t="n"/>
    </row>
    <row r="25">
      <c r="A25" s="2" t="n">
        <v>45903</v>
      </c>
      <c r="B25" s="3" t="inlineStr">
        <is>
          <t>ACT-018</t>
        </is>
      </c>
      <c r="C25" s="3" t="inlineStr">
        <is>
          <t>Entrada</t>
        </is>
      </c>
      <c r="D25" s="3" t="inlineStr">
        <is>
          <t>Sala de profesores</t>
        </is>
      </c>
      <c r="E25" s="3" t="inlineStr">
        <is>
          <t>Coordinación</t>
        </is>
      </c>
      <c r="F25" s="3" t="n"/>
    </row>
    <row r="26">
      <c r="A26" s="2" t="n">
        <v>45936</v>
      </c>
      <c r="B26" s="3" t="inlineStr">
        <is>
          <t>ACT-018</t>
        </is>
      </c>
      <c r="C26" s="3" t="inlineStr">
        <is>
          <t>Asignación</t>
        </is>
      </c>
      <c r="D26" s="3" t="inlineStr">
        <is>
          <t>Aula 302</t>
        </is>
      </c>
      <c r="E26" s="3" t="inlineStr">
        <is>
          <t>Docente Torres</t>
        </is>
      </c>
      <c r="F26" s="3" t="n"/>
    </row>
    <row r="27">
      <c r="A27" s="2" t="n">
        <v>46055</v>
      </c>
      <c r="B27" s="3" t="inlineStr">
        <is>
          <t>ACT-020</t>
        </is>
      </c>
      <c r="C27" s="3" t="inlineStr">
        <is>
          <t>Traslado</t>
        </is>
      </c>
      <c r="D27" s="3" t="inlineStr">
        <is>
          <t>Aula 205</t>
        </is>
      </c>
      <c r="E27" s="3" t="inlineStr">
        <is>
          <t>Docente Vega</t>
        </is>
      </c>
      <c r="F27" s="3" t="n"/>
    </row>
    <row r="28">
      <c r="A28" s="2" t="n">
        <v>46096</v>
      </c>
      <c r="B28" s="3" t="inlineStr">
        <is>
          <t>ACT-004</t>
        </is>
      </c>
      <c r="C28" s="3" t="inlineStr">
        <is>
          <t>Entrada</t>
        </is>
      </c>
      <c r="D28" s="3" t="inlineStr">
        <is>
          <t>Rectoría</t>
        </is>
      </c>
      <c r="E28" s="3" t="inlineStr">
        <is>
          <t>Rectoría</t>
        </is>
      </c>
      <c r="F28" s="3" t="n"/>
    </row>
    <row r="29">
      <c r="A29" s="2" t="n">
        <v>46188</v>
      </c>
      <c r="B29" s="3" t="inlineStr">
        <is>
          <t>ACT-018</t>
        </is>
      </c>
      <c r="C29" s="3" t="inlineStr">
        <is>
          <t>Traslado</t>
        </is>
      </c>
      <c r="D29" s="3" t="inlineStr">
        <is>
          <t>Laboratorio</t>
        </is>
      </c>
      <c r="E29" s="3" t="inlineStr">
        <is>
          <t>Docente Torres</t>
        </is>
      </c>
      <c r="F29" s="3" t="n"/>
    </row>
    <row r="30">
      <c r="A30" s="2" t="n">
        <v>46329</v>
      </c>
      <c r="B30" s="3" t="inlineStr">
        <is>
          <t>ACT-007</t>
        </is>
      </c>
      <c r="C30" s="3" t="inlineStr">
        <is>
          <t>Reparación</t>
        </is>
      </c>
      <c r="D30" s="3" t="inlineStr">
        <is>
          <t>Taller externo</t>
        </is>
      </c>
      <c r="E30" s="3" t="inlineStr">
        <is>
          <t>Sistemas</t>
        </is>
      </c>
      <c r="F30" s="3" t="n"/>
    </row>
    <row r="31">
      <c r="A31" s="2" t="n">
        <v>46366</v>
      </c>
      <c r="B31" s="3" t="inlineStr">
        <is>
          <t>ACT-017</t>
        </is>
      </c>
      <c r="C31" s="3" t="inlineStr">
        <is>
          <t>Baja</t>
        </is>
      </c>
      <c r="D31" s="3" t="inlineStr">
        <is>
          <t>Bodega de bajas</t>
        </is>
      </c>
      <c r="E31" s="3" t="inlineStr">
        <is>
          <t>Sistemas</t>
        </is>
      </c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  <row r="200">
      <c r="A200" s="2" t="n"/>
      <c r="B200" s="3" t="n"/>
      <c r="C200" s="3" t="n"/>
      <c r="D200" s="3" t="n"/>
      <c r="E200" s="3" t="n"/>
      <c r="F200" s="3" t="n"/>
    </row>
    <row r="201">
      <c r="A201" s="2" t="n"/>
      <c r="B201" s="3" t="n"/>
      <c r="C201" s="3" t="n"/>
      <c r="D201" s="3" t="n"/>
      <c r="E201" s="3" t="n"/>
      <c r="F201" s="3" t="n"/>
    </row>
    <row r="202">
      <c r="A202" s="2" t="n"/>
      <c r="B202" s="3" t="n"/>
      <c r="C202" s="3" t="n"/>
      <c r="D202" s="3" t="n"/>
      <c r="E202" s="3" t="n"/>
      <c r="F202" s="3" t="n"/>
    </row>
    <row r="203">
      <c r="A203" s="2" t="n"/>
      <c r="B203" s="3" t="n"/>
      <c r="C203" s="3" t="n"/>
      <c r="D203" s="3" t="n"/>
      <c r="E203" s="3" t="n"/>
      <c r="F203" s="3" t="n"/>
    </row>
    <row r="204">
      <c r="A204" s="2" t="n"/>
      <c r="B204" s="3" t="n"/>
      <c r="C204" s="3" t="n"/>
      <c r="D204" s="3" t="n"/>
      <c r="E204" s="3" t="n"/>
      <c r="F204" s="3" t="n"/>
    </row>
    <row r="205">
      <c r="A205" s="2" t="n"/>
      <c r="B205" s="3" t="n"/>
      <c r="C205" s="3" t="n"/>
      <c r="D205" s="3" t="n"/>
      <c r="E205" s="3" t="n"/>
      <c r="F205" s="3" t="n"/>
    </row>
    <row r="206">
      <c r="A206" s="2" t="n"/>
      <c r="B206" s="3" t="n"/>
      <c r="C206" s="3" t="n"/>
      <c r="D206" s="3" t="n"/>
      <c r="E206" s="3" t="n"/>
      <c r="F206" s="3" t="n"/>
    </row>
    <row r="207">
      <c r="A207" s="2" t="n"/>
      <c r="B207" s="3" t="n"/>
      <c r="C207" s="3" t="n"/>
      <c r="D207" s="3" t="n"/>
      <c r="E207" s="3" t="n"/>
      <c r="F207" s="3" t="n"/>
    </row>
    <row r="208">
      <c r="A208" s="2" t="n"/>
      <c r="B208" s="3" t="n"/>
      <c r="C208" s="3" t="n"/>
      <c r="D208" s="3" t="n"/>
      <c r="E208" s="3" t="n"/>
      <c r="F208" s="3" t="n"/>
    </row>
    <row r="209">
      <c r="A209" s="2" t="n"/>
      <c r="B209" s="3" t="n"/>
      <c r="C209" s="3" t="n"/>
      <c r="D209" s="3" t="n"/>
      <c r="E209" s="3" t="n"/>
      <c r="F209" s="3" t="n"/>
    </row>
    <row r="210">
      <c r="A210" s="2" t="n"/>
      <c r="B210" s="3" t="n"/>
      <c r="C210" s="3" t="n"/>
      <c r="D210" s="3" t="n"/>
      <c r="E210" s="3" t="n"/>
      <c r="F210" s="3" t="n"/>
    </row>
    <row r="211">
      <c r="A211" s="2" t="n"/>
      <c r="B211" s="3" t="n"/>
      <c r="C211" s="3" t="n"/>
      <c r="D211" s="3" t="n"/>
      <c r="E211" s="3" t="n"/>
      <c r="F211" s="3" t="n"/>
    </row>
    <row r="212">
      <c r="A212" s="2" t="n"/>
      <c r="B212" s="3" t="n"/>
      <c r="C212" s="3" t="n"/>
      <c r="D212" s="3" t="n"/>
      <c r="E212" s="3" t="n"/>
      <c r="F212" s="3" t="n"/>
    </row>
    <row r="213">
      <c r="A213" s="2" t="n"/>
      <c r="B213" s="3" t="n"/>
      <c r="C213" s="3" t="n"/>
      <c r="D213" s="3" t="n"/>
      <c r="E213" s="3" t="n"/>
      <c r="F213" s="3" t="n"/>
    </row>
    <row r="214">
      <c r="A214" s="2" t="n"/>
      <c r="B214" s="3" t="n"/>
      <c r="C214" s="3" t="n"/>
      <c r="D214" s="3" t="n"/>
      <c r="E214" s="3" t="n"/>
      <c r="F214" s="3" t="n"/>
    </row>
    <row r="215">
      <c r="A215" s="2" t="n"/>
      <c r="B215" s="3" t="n"/>
      <c r="C215" s="3" t="n"/>
      <c r="D215" s="3" t="n"/>
      <c r="E215" s="3" t="n"/>
      <c r="F215" s="3" t="n"/>
    </row>
    <row r="216">
      <c r="A216" s="2" t="n"/>
      <c r="B216" s="3" t="n"/>
      <c r="C216" s="3" t="n"/>
      <c r="D216" s="3" t="n"/>
      <c r="E216" s="3" t="n"/>
      <c r="F216" s="3" t="n"/>
    </row>
    <row r="217">
      <c r="A217" s="2" t="n"/>
      <c r="B217" s="3" t="n"/>
      <c r="C217" s="3" t="n"/>
      <c r="D217" s="3" t="n"/>
      <c r="E217" s="3" t="n"/>
      <c r="F217" s="3" t="n"/>
    </row>
    <row r="218">
      <c r="A218" s="2" t="n"/>
      <c r="B218" s="3" t="n"/>
      <c r="C218" s="3" t="n"/>
      <c r="D218" s="3" t="n"/>
      <c r="E218" s="3" t="n"/>
      <c r="F218" s="3" t="n"/>
    </row>
    <row r="219">
      <c r="A219" s="2" t="n"/>
      <c r="B219" s="3" t="n"/>
      <c r="C219" s="3" t="n"/>
      <c r="D219" s="3" t="n"/>
      <c r="E219" s="3" t="n"/>
      <c r="F219" s="3" t="n"/>
    </row>
    <row r="220">
      <c r="A220" s="2" t="n"/>
      <c r="B220" s="3" t="n"/>
      <c r="C220" s="3" t="n"/>
      <c r="D220" s="3" t="n"/>
      <c r="E220" s="3" t="n"/>
      <c r="F220" s="3" t="n"/>
    </row>
    <row r="221">
      <c r="A221" s="2" t="n"/>
      <c r="B221" s="3" t="n"/>
      <c r="C221" s="3" t="n"/>
      <c r="D221" s="3" t="n"/>
      <c r="E221" s="3" t="n"/>
      <c r="F221" s="3" t="n"/>
    </row>
    <row r="222">
      <c r="A222" s="2" t="n"/>
      <c r="B222" s="3" t="n"/>
      <c r="C222" s="3" t="n"/>
      <c r="D222" s="3" t="n"/>
      <c r="E222" s="3" t="n"/>
      <c r="F222" s="3" t="n"/>
    </row>
    <row r="223">
      <c r="A223" s="2" t="n"/>
      <c r="B223" s="3" t="n"/>
      <c r="C223" s="3" t="n"/>
      <c r="D223" s="3" t="n"/>
      <c r="E223" s="3" t="n"/>
      <c r="F223" s="3" t="n"/>
    </row>
    <row r="224">
      <c r="A224" s="2" t="n"/>
      <c r="B224" s="3" t="n"/>
      <c r="C224" s="3" t="n"/>
      <c r="D224" s="3" t="n"/>
      <c r="E224" s="3" t="n"/>
      <c r="F224" s="3" t="n"/>
    </row>
    <row r="225">
      <c r="A225" s="2" t="n"/>
      <c r="B225" s="3" t="n"/>
      <c r="C225" s="3" t="n"/>
      <c r="D225" s="3" t="n"/>
      <c r="E225" s="3" t="n"/>
      <c r="F225" s="3" t="n"/>
    </row>
    <row r="226">
      <c r="A226" s="2" t="n"/>
      <c r="B226" s="3" t="n"/>
      <c r="C226" s="3" t="n"/>
      <c r="D226" s="3" t="n"/>
      <c r="E226" s="3" t="n"/>
      <c r="F226" s="3" t="n"/>
    </row>
    <row r="227">
      <c r="A227" s="2" t="n"/>
      <c r="B227" s="3" t="n"/>
      <c r="C227" s="3" t="n"/>
      <c r="D227" s="3" t="n"/>
      <c r="E227" s="3" t="n"/>
      <c r="F227" s="3" t="n"/>
    </row>
    <row r="228">
      <c r="A228" s="2" t="n"/>
      <c r="B228" s="3" t="n"/>
      <c r="C228" s="3" t="n"/>
      <c r="D228" s="3" t="n"/>
      <c r="E228" s="3" t="n"/>
      <c r="F228" s="3" t="n"/>
    </row>
    <row r="229">
      <c r="A229" s="2" t="n"/>
      <c r="B229" s="3" t="n"/>
      <c r="C229" s="3" t="n"/>
      <c r="D229" s="3" t="n"/>
      <c r="E229" s="3" t="n"/>
      <c r="F229" s="3" t="n"/>
    </row>
    <row r="230">
      <c r="A230" s="2" t="n"/>
      <c r="B230" s="3" t="n"/>
      <c r="C230" s="3" t="n"/>
      <c r="D230" s="3" t="n"/>
      <c r="E230" s="3" t="n"/>
      <c r="F230" s="3" t="n"/>
    </row>
    <row r="231">
      <c r="A231" s="2" t="n"/>
      <c r="B231" s="3" t="n"/>
      <c r="C231" s="3" t="n"/>
      <c r="D231" s="3" t="n"/>
      <c r="E231" s="3" t="n"/>
      <c r="F231" s="3" t="n"/>
    </row>
    <row r="232">
      <c r="A232" s="2" t="n"/>
      <c r="B232" s="3" t="n"/>
      <c r="C232" s="3" t="n"/>
      <c r="D232" s="3" t="n"/>
      <c r="E232" s="3" t="n"/>
      <c r="F232" s="3" t="n"/>
    </row>
    <row r="233">
      <c r="A233" s="2" t="n"/>
      <c r="B233" s="3" t="n"/>
      <c r="C233" s="3" t="n"/>
      <c r="D233" s="3" t="n"/>
      <c r="E233" s="3" t="n"/>
      <c r="F233" s="3" t="n"/>
    </row>
    <row r="234">
      <c r="A234" s="2" t="n"/>
      <c r="B234" s="3" t="n"/>
      <c r="C234" s="3" t="n"/>
      <c r="D234" s="3" t="n"/>
      <c r="E234" s="3" t="n"/>
      <c r="F234" s="3" t="n"/>
    </row>
    <row r="235">
      <c r="A235" s="2" t="n"/>
      <c r="B235" s="3" t="n"/>
      <c r="C235" s="3" t="n"/>
      <c r="D235" s="3" t="n"/>
      <c r="E235" s="3" t="n"/>
      <c r="F235" s="3" t="n"/>
    </row>
    <row r="236">
      <c r="A236" s="2" t="n"/>
      <c r="B236" s="3" t="n"/>
      <c r="C236" s="3" t="n"/>
      <c r="D236" s="3" t="n"/>
      <c r="E236" s="3" t="n"/>
      <c r="F236" s="3" t="n"/>
    </row>
    <row r="237">
      <c r="A237" s="2" t="n"/>
      <c r="B237" s="3" t="n"/>
      <c r="C237" s="3" t="n"/>
      <c r="D237" s="3" t="n"/>
      <c r="E237" s="3" t="n"/>
      <c r="F237" s="3" t="n"/>
    </row>
    <row r="238">
      <c r="A238" s="2" t="n"/>
      <c r="B238" s="3" t="n"/>
      <c r="C238" s="3" t="n"/>
      <c r="D238" s="3" t="n"/>
      <c r="E238" s="3" t="n"/>
      <c r="F238" s="3" t="n"/>
    </row>
    <row r="239">
      <c r="A239" s="2" t="n"/>
      <c r="B239" s="3" t="n"/>
      <c r="C239" s="3" t="n"/>
      <c r="D239" s="3" t="n"/>
      <c r="E239" s="3" t="n"/>
      <c r="F239" s="3" t="n"/>
    </row>
    <row r="240">
      <c r="A240" s="2" t="n"/>
      <c r="B240" s="3" t="n"/>
      <c r="C240" s="3" t="n"/>
      <c r="D240" s="3" t="n"/>
      <c r="E240" s="3" t="n"/>
      <c r="F240" s="3" t="n"/>
    </row>
    <row r="241">
      <c r="A241" s="2" t="n"/>
      <c r="B241" s="3" t="n"/>
      <c r="C241" s="3" t="n"/>
      <c r="D241" s="3" t="n"/>
      <c r="E241" s="3" t="n"/>
      <c r="F241" s="3" t="n"/>
    </row>
    <row r="242">
      <c r="A242" s="2" t="n"/>
      <c r="B242" s="3" t="n"/>
      <c r="C242" s="3" t="n"/>
      <c r="D242" s="3" t="n"/>
      <c r="E242" s="3" t="n"/>
      <c r="F242" s="3" t="n"/>
    </row>
    <row r="243">
      <c r="A243" s="2" t="n"/>
      <c r="B243" s="3" t="n"/>
      <c r="C243" s="3" t="n"/>
      <c r="D243" s="3" t="n"/>
      <c r="E243" s="3" t="n"/>
      <c r="F243" s="3" t="n"/>
    </row>
    <row r="244">
      <c r="A244" s="2" t="n"/>
      <c r="B244" s="3" t="n"/>
      <c r="C244" s="3" t="n"/>
      <c r="D244" s="3" t="n"/>
      <c r="E244" s="3" t="n"/>
      <c r="F244" s="3" t="n"/>
    </row>
    <row r="245">
      <c r="A245" s="2" t="n"/>
      <c r="B245" s="3" t="n"/>
      <c r="C245" s="3" t="n"/>
      <c r="D245" s="3" t="n"/>
      <c r="E245" s="3" t="n"/>
      <c r="F245" s="3" t="n"/>
    </row>
    <row r="246">
      <c r="A246" s="2" t="n"/>
      <c r="B246" s="3" t="n"/>
      <c r="C246" s="3" t="n"/>
      <c r="D246" s="3" t="n"/>
      <c r="E246" s="3" t="n"/>
      <c r="F246" s="3" t="n"/>
    </row>
    <row r="247">
      <c r="A247" s="2" t="n"/>
      <c r="B247" s="3" t="n"/>
      <c r="C247" s="3" t="n"/>
      <c r="D247" s="3" t="n"/>
      <c r="E247" s="3" t="n"/>
      <c r="F247" s="3" t="n"/>
    </row>
    <row r="248">
      <c r="A248" s="2" t="n"/>
      <c r="B248" s="3" t="n"/>
      <c r="C248" s="3" t="n"/>
      <c r="D248" s="3" t="n"/>
      <c r="E248" s="3" t="n"/>
      <c r="F248" s="3" t="n"/>
    </row>
    <row r="249">
      <c r="A249" s="2" t="n"/>
      <c r="B249" s="3" t="n"/>
      <c r="C249" s="3" t="n"/>
      <c r="D249" s="3" t="n"/>
      <c r="E249" s="3" t="n"/>
      <c r="F249" s="3" t="n"/>
    </row>
    <row r="250">
      <c r="A250" s="2" t="n"/>
      <c r="B250" s="3" t="n"/>
      <c r="C250" s="3" t="n"/>
      <c r="D250" s="3" t="n"/>
      <c r="E250" s="3" t="n"/>
      <c r="F250" s="3" t="n"/>
    </row>
    <row r="251">
      <c r="A251" s="2" t="n"/>
      <c r="B251" s="3" t="n"/>
      <c r="C251" s="3" t="n"/>
      <c r="D251" s="3" t="n"/>
      <c r="E251" s="3" t="n"/>
      <c r="F251" s="3" t="n"/>
    </row>
    <row r="252">
      <c r="A252" s="2" t="n"/>
      <c r="B252" s="3" t="n"/>
      <c r="C252" s="3" t="n"/>
      <c r="D252" s="3" t="n"/>
      <c r="E252" s="3" t="n"/>
      <c r="F252" s="3" t="n"/>
    </row>
    <row r="253">
      <c r="A253" s="2" t="n"/>
      <c r="B253" s="3" t="n"/>
      <c r="C253" s="3" t="n"/>
      <c r="D253" s="3" t="n"/>
      <c r="E253" s="3" t="n"/>
      <c r="F253" s="3" t="n"/>
    </row>
    <row r="254">
      <c r="A254" s="2" t="n"/>
      <c r="B254" s="3" t="n"/>
      <c r="C254" s="3" t="n"/>
      <c r="D254" s="3" t="n"/>
      <c r="E254" s="3" t="n"/>
      <c r="F254" s="3" t="n"/>
    </row>
    <row r="255">
      <c r="A255" s="2" t="n"/>
      <c r="B255" s="3" t="n"/>
      <c r="C255" s="3" t="n"/>
      <c r="D255" s="3" t="n"/>
      <c r="E255" s="3" t="n"/>
      <c r="F255" s="3" t="n"/>
    </row>
    <row r="256">
      <c r="A256" s="2" t="n"/>
      <c r="B256" s="3" t="n"/>
      <c r="C256" s="3" t="n"/>
      <c r="D256" s="3" t="n"/>
      <c r="E256" s="3" t="n"/>
      <c r="F256" s="3" t="n"/>
    </row>
    <row r="257">
      <c r="A257" s="2" t="n"/>
      <c r="B257" s="3" t="n"/>
      <c r="C257" s="3" t="n"/>
      <c r="D257" s="3" t="n"/>
      <c r="E257" s="3" t="n"/>
      <c r="F257" s="3" t="n"/>
    </row>
    <row r="258">
      <c r="A258" s="2" t="n"/>
      <c r="B258" s="3" t="n"/>
      <c r="C258" s="3" t="n"/>
      <c r="D258" s="3" t="n"/>
      <c r="E258" s="3" t="n"/>
      <c r="F258" s="3" t="n"/>
    </row>
    <row r="259">
      <c r="A259" s="2" t="n"/>
      <c r="B259" s="3" t="n"/>
      <c r="C259" s="3" t="n"/>
      <c r="D259" s="3" t="n"/>
      <c r="E259" s="3" t="n"/>
      <c r="F259" s="3" t="n"/>
    </row>
    <row r="260">
      <c r="A260" s="2" t="n"/>
      <c r="B260" s="3" t="n"/>
      <c r="C260" s="3" t="n"/>
      <c r="D260" s="3" t="n"/>
      <c r="E260" s="3" t="n"/>
      <c r="F260" s="3" t="n"/>
    </row>
    <row r="261">
      <c r="A261" s="2" t="n"/>
      <c r="B261" s="3" t="n"/>
      <c r="C261" s="3" t="n"/>
      <c r="D261" s="3" t="n"/>
      <c r="E261" s="3" t="n"/>
      <c r="F261" s="3" t="n"/>
    </row>
    <row r="262">
      <c r="A262" s="2" t="n"/>
      <c r="B262" s="3" t="n"/>
      <c r="C262" s="3" t="n"/>
      <c r="D262" s="3" t="n"/>
      <c r="E262" s="3" t="n"/>
      <c r="F262" s="3" t="n"/>
    </row>
    <row r="263">
      <c r="A263" s="2" t="n"/>
      <c r="B263" s="3" t="n"/>
      <c r="C263" s="3" t="n"/>
      <c r="D263" s="3" t="n"/>
      <c r="E263" s="3" t="n"/>
      <c r="F263" s="3" t="n"/>
    </row>
    <row r="264">
      <c r="A264" s="2" t="n"/>
      <c r="B264" s="3" t="n"/>
      <c r="C264" s="3" t="n"/>
      <c r="D264" s="3" t="n"/>
      <c r="E264" s="3" t="n"/>
      <c r="F264" s="3" t="n"/>
    </row>
    <row r="265">
      <c r="A265" s="2" t="n"/>
      <c r="B265" s="3" t="n"/>
      <c r="C265" s="3" t="n"/>
      <c r="D265" s="3" t="n"/>
      <c r="E265" s="3" t="n"/>
      <c r="F265" s="3" t="n"/>
    </row>
    <row r="266">
      <c r="A266" s="2" t="n"/>
      <c r="B266" s="3" t="n"/>
      <c r="C266" s="3" t="n"/>
      <c r="D266" s="3" t="n"/>
      <c r="E266" s="3" t="n"/>
      <c r="F266" s="3" t="n"/>
    </row>
    <row r="267">
      <c r="A267" s="2" t="n"/>
      <c r="B267" s="3" t="n"/>
      <c r="C267" s="3" t="n"/>
      <c r="D267" s="3" t="n"/>
      <c r="E267" s="3" t="n"/>
      <c r="F267" s="3" t="n"/>
    </row>
    <row r="268">
      <c r="A268" s="2" t="n"/>
      <c r="B268" s="3" t="n"/>
      <c r="C268" s="3" t="n"/>
      <c r="D268" s="3" t="n"/>
      <c r="E268" s="3" t="n"/>
      <c r="F268" s="3" t="n"/>
    </row>
    <row r="269">
      <c r="A269" s="2" t="n"/>
      <c r="B269" s="3" t="n"/>
      <c r="C269" s="3" t="n"/>
      <c r="D269" s="3" t="n"/>
      <c r="E269" s="3" t="n"/>
      <c r="F269" s="3" t="n"/>
    </row>
    <row r="270">
      <c r="A270" s="2" t="n"/>
      <c r="B270" s="3" t="n"/>
      <c r="C270" s="3" t="n"/>
      <c r="D270" s="3" t="n"/>
      <c r="E270" s="3" t="n"/>
      <c r="F270" s="3" t="n"/>
    </row>
    <row r="271">
      <c r="A271" s="2" t="n"/>
      <c r="B271" s="3" t="n"/>
      <c r="C271" s="3" t="n"/>
      <c r="D271" s="3" t="n"/>
      <c r="E271" s="3" t="n"/>
      <c r="F271" s="3" t="n"/>
    </row>
    <row r="272">
      <c r="A272" s="2" t="n"/>
      <c r="B272" s="3" t="n"/>
      <c r="C272" s="3" t="n"/>
      <c r="D272" s="3" t="n"/>
      <c r="E272" s="3" t="n"/>
      <c r="F272" s="3" t="n"/>
    </row>
    <row r="273">
      <c r="A273" s="2" t="n"/>
      <c r="B273" s="3" t="n"/>
      <c r="C273" s="3" t="n"/>
      <c r="D273" s="3" t="n"/>
      <c r="E273" s="3" t="n"/>
      <c r="F273" s="3" t="n"/>
    </row>
    <row r="274">
      <c r="A274" s="2" t="n"/>
      <c r="B274" s="3" t="n"/>
      <c r="C274" s="3" t="n"/>
      <c r="D274" s="3" t="n"/>
      <c r="E274" s="3" t="n"/>
      <c r="F274" s="3" t="n"/>
    </row>
    <row r="275">
      <c r="A275" s="2" t="n"/>
      <c r="B275" s="3" t="n"/>
      <c r="C275" s="3" t="n"/>
      <c r="D275" s="3" t="n"/>
      <c r="E275" s="3" t="n"/>
      <c r="F275" s="3" t="n"/>
    </row>
    <row r="276">
      <c r="A276" s="2" t="n"/>
      <c r="B276" s="3" t="n"/>
      <c r="C276" s="3" t="n"/>
      <c r="D276" s="3" t="n"/>
      <c r="E276" s="3" t="n"/>
      <c r="F276" s="3" t="n"/>
    </row>
    <row r="277">
      <c r="A277" s="2" t="n"/>
      <c r="B277" s="3" t="n"/>
      <c r="C277" s="3" t="n"/>
      <c r="D277" s="3" t="n"/>
      <c r="E277" s="3" t="n"/>
      <c r="F277" s="3" t="n"/>
    </row>
    <row r="278">
      <c r="A278" s="2" t="n"/>
      <c r="B278" s="3" t="n"/>
      <c r="C278" s="3" t="n"/>
      <c r="D278" s="3" t="n"/>
      <c r="E278" s="3" t="n"/>
      <c r="F278" s="3" t="n"/>
    </row>
    <row r="279">
      <c r="A279" s="2" t="n"/>
      <c r="B279" s="3" t="n"/>
      <c r="C279" s="3" t="n"/>
      <c r="D279" s="3" t="n"/>
      <c r="E279" s="3" t="n"/>
      <c r="F279" s="3" t="n"/>
    </row>
    <row r="280">
      <c r="A280" s="2" t="n"/>
      <c r="B280" s="3" t="n"/>
      <c r="C280" s="3" t="n"/>
      <c r="D280" s="3" t="n"/>
      <c r="E280" s="3" t="n"/>
      <c r="F280" s="3" t="n"/>
    </row>
    <row r="281">
      <c r="A281" s="2" t="n"/>
      <c r="B281" s="3" t="n"/>
      <c r="C281" s="3" t="n"/>
      <c r="D281" s="3" t="n"/>
      <c r="E281" s="3" t="n"/>
      <c r="F281" s="3" t="n"/>
    </row>
    <row r="282">
      <c r="A282" s="2" t="n"/>
      <c r="B282" s="3" t="n"/>
      <c r="C282" s="3" t="n"/>
      <c r="D282" s="3" t="n"/>
      <c r="E282" s="3" t="n"/>
      <c r="F282" s="3" t="n"/>
    </row>
    <row r="283">
      <c r="A283" s="2" t="n"/>
      <c r="B283" s="3" t="n"/>
      <c r="C283" s="3" t="n"/>
      <c r="D283" s="3" t="n"/>
      <c r="E283" s="3" t="n"/>
      <c r="F283" s="3" t="n"/>
    </row>
    <row r="284">
      <c r="A284" s="2" t="n"/>
      <c r="B284" s="3" t="n"/>
      <c r="C284" s="3" t="n"/>
      <c r="D284" s="3" t="n"/>
      <c r="E284" s="3" t="n"/>
      <c r="F284" s="3" t="n"/>
    </row>
    <row r="285">
      <c r="A285" s="2" t="n"/>
      <c r="B285" s="3" t="n"/>
      <c r="C285" s="3" t="n"/>
      <c r="D285" s="3" t="n"/>
      <c r="E285" s="3" t="n"/>
      <c r="F285" s="3" t="n"/>
    </row>
    <row r="286">
      <c r="A286" s="2" t="n"/>
      <c r="B286" s="3" t="n"/>
      <c r="C286" s="3" t="n"/>
      <c r="D286" s="3" t="n"/>
      <c r="E286" s="3" t="n"/>
      <c r="F286" s="3" t="n"/>
    </row>
    <row r="287">
      <c r="A287" s="2" t="n"/>
      <c r="B287" s="3" t="n"/>
      <c r="C287" s="3" t="n"/>
      <c r="D287" s="3" t="n"/>
      <c r="E287" s="3" t="n"/>
      <c r="F287" s="3" t="n"/>
    </row>
    <row r="288">
      <c r="A288" s="2" t="n"/>
      <c r="B288" s="3" t="n"/>
      <c r="C288" s="3" t="n"/>
      <c r="D288" s="3" t="n"/>
      <c r="E288" s="3" t="n"/>
      <c r="F288" s="3" t="n"/>
    </row>
    <row r="289">
      <c r="A289" s="2" t="n"/>
      <c r="B289" s="3" t="n"/>
      <c r="C289" s="3" t="n"/>
      <c r="D289" s="3" t="n"/>
      <c r="E289" s="3" t="n"/>
      <c r="F289" s="3" t="n"/>
    </row>
    <row r="290">
      <c r="A290" s="2" t="n"/>
      <c r="B290" s="3" t="n"/>
      <c r="C290" s="3" t="n"/>
      <c r="D290" s="3" t="n"/>
      <c r="E290" s="3" t="n"/>
      <c r="F290" s="3" t="n"/>
    </row>
    <row r="291">
      <c r="A291" s="2" t="n"/>
      <c r="B291" s="3" t="n"/>
      <c r="C291" s="3" t="n"/>
      <c r="D291" s="3" t="n"/>
      <c r="E291" s="3" t="n"/>
      <c r="F291" s="3" t="n"/>
    </row>
    <row r="292">
      <c r="A292" s="2" t="n"/>
      <c r="B292" s="3" t="n"/>
      <c r="C292" s="3" t="n"/>
      <c r="D292" s="3" t="n"/>
      <c r="E292" s="3" t="n"/>
      <c r="F292" s="3" t="n"/>
    </row>
    <row r="293">
      <c r="A293" s="2" t="n"/>
      <c r="B293" s="3" t="n"/>
      <c r="C293" s="3" t="n"/>
      <c r="D293" s="3" t="n"/>
      <c r="E293" s="3" t="n"/>
      <c r="F293" s="3" t="n"/>
    </row>
    <row r="294">
      <c r="A294" s="2" t="n"/>
      <c r="B294" s="3" t="n"/>
      <c r="C294" s="3" t="n"/>
      <c r="D294" s="3" t="n"/>
      <c r="E294" s="3" t="n"/>
      <c r="F294" s="3" t="n"/>
    </row>
    <row r="295">
      <c r="A295" s="2" t="n"/>
      <c r="B295" s="3" t="n"/>
      <c r="C295" s="3" t="n"/>
      <c r="D295" s="3" t="n"/>
      <c r="E295" s="3" t="n"/>
      <c r="F295" s="3" t="n"/>
    </row>
    <row r="296">
      <c r="A296" s="2" t="n"/>
      <c r="B296" s="3" t="n"/>
      <c r="C296" s="3" t="n"/>
      <c r="D296" s="3" t="n"/>
      <c r="E296" s="3" t="n"/>
      <c r="F296" s="3" t="n"/>
    </row>
    <row r="297">
      <c r="A297" s="2" t="n"/>
      <c r="B297" s="3" t="n"/>
      <c r="C297" s="3" t="n"/>
      <c r="D297" s="3" t="n"/>
      <c r="E297" s="3" t="n"/>
      <c r="F297" s="3" t="n"/>
    </row>
    <row r="298">
      <c r="A298" s="2" t="n"/>
      <c r="B298" s="3" t="n"/>
      <c r="C298" s="3" t="n"/>
      <c r="D298" s="3" t="n"/>
      <c r="E298" s="3" t="n"/>
      <c r="F298" s="3" t="n"/>
    </row>
    <row r="299">
      <c r="A299" s="2" t="n"/>
      <c r="B299" s="3" t="n"/>
      <c r="C299" s="3" t="n"/>
      <c r="D299" s="3" t="n"/>
      <c r="E299" s="3" t="n"/>
      <c r="F299" s="3" t="n"/>
    </row>
    <row r="300">
      <c r="A300" s="2" t="n"/>
      <c r="B300" s="3" t="n"/>
      <c r="C300" s="3" t="n"/>
      <c r="D300" s="3" t="n"/>
      <c r="E300" s="3" t="n"/>
      <c r="F300" s="3" t="n"/>
    </row>
  </sheetData>
  <dataValidations count="1">
    <dataValidation sqref="C4:C300" showDropDown="0" showInputMessage="0" showErrorMessage="0" allowBlank="0" type="list">
      <formula1>"Entrada,Asignación,Traslado,Préstamo,Devolución,Reparación,Baja"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2026-10-10T14:02:15Z</dcterms:created>
  <dcterms:modified xmlns:dcterms="http://purl.org/dc/terms/" xmlns:xsi="http://www.w3.org/2001/XMLSchema-instance" xsi:type="dcterms:W3CDTF">2026-10-10T14:02:15Z</dcterms:modified>
</cp:coreProperties>
</file>