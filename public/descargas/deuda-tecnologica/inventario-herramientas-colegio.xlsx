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6" customWidth="1" min="4" max="4"/>
    <col width="14" customWidth="1" min="5" max="5"/>
    <col width="13" customWidth="1" min="6" max="6"/>
    <col width="15" customWidth="1" min="7" max="7"/>
    <col width="15" customWidth="1" min="8" max="8"/>
    <col width="9" customWidth="1" min="9" max="9"/>
    <col width="13" customWidth="1" min="10" max="10"/>
    <col width="24" customWidth="1" min="11" max="11"/>
  </cols>
  <sheetData>
    <row r="1">
      <c r="A1" s="1" t="inlineStr">
        <is>
          <t>INVENTARIO DE HERRAMIENTAS DIGITALES (datos ficticios de ejemplo: reemplázalos por los de tu institución)</t>
        </is>
      </c>
    </row>
    <row r="2">
      <c r="A2" t="inlineStr">
        <is>
          <t>Puntúa 0 = no, 1 = parcial, 2 = sí. Integración: comparte datos con los sistemas centrales. Utilidad: hay evidencia local de uso pedagógico. Sostenibilidad: tiene responsable, presupuesto y plan de salida de datos.</t>
        </is>
      </c>
    </row>
    <row r="4" ht="45" customHeight="1">
      <c r="A4" s="2" t="inlineStr">
        <is>
          <t>Herramienta</t>
        </is>
      </c>
      <c r="B4" s="2" t="inlineStr">
        <is>
          <t>Función</t>
        </is>
      </c>
      <c r="C4" s="2" t="inlineStr">
        <is>
          <t>Usuarios activos</t>
        </is>
      </c>
      <c r="D4" s="2" t="inlineStr">
        <is>
          <t>Costo anual (COP)</t>
        </is>
      </c>
      <c r="E4" s="2" t="inlineStr">
        <is>
          <t>Maneja datos personales</t>
        </is>
      </c>
      <c r="F4" s="2" t="inlineStr">
        <is>
          <t>Integración (0-2)</t>
        </is>
      </c>
      <c r="G4" s="2" t="inlineStr">
        <is>
          <t>Utilidad pedagógica (0-2)</t>
        </is>
      </c>
      <c r="H4" s="2" t="inlineStr">
        <is>
          <t>Sostenibilidad (0-2)</t>
        </is>
      </c>
      <c r="I4" s="2" t="inlineStr">
        <is>
          <t>Puntaje</t>
        </is>
      </c>
      <c r="J4" s="2" t="inlineStr">
        <is>
          <t>Función duplicada</t>
        </is>
      </c>
      <c r="K4" s="2" t="inlineStr">
        <is>
          <t>Decisión sugerida</t>
        </is>
      </c>
    </row>
    <row r="5">
      <c r="A5" t="inlineStr">
        <is>
          <t>Plataforma académica (notas y boletines)</t>
        </is>
      </c>
      <c r="B5" t="inlineStr">
        <is>
          <t>Gestión académica</t>
        </is>
      </c>
      <c r="C5" s="3" t="n">
        <v>1200</v>
      </c>
      <c r="D5" s="4" t="n">
        <v>18000000</v>
      </c>
      <c r="E5" s="3" t="inlineStr">
        <is>
          <t>Sí</t>
        </is>
      </c>
      <c r="F5" s="3" t="n">
        <v>2</v>
      </c>
      <c r="G5" s="3" t="n">
        <v>2</v>
      </c>
      <c r="H5" s="3" t="n">
        <v>2</v>
      </c>
      <c r="I5">
        <f>SUM(F5:H5)</f>
        <v/>
      </c>
      <c r="J5">
        <f>IF(COUNTIF($B$5:$B$16,B5)&gt;1,"Sí","No")</f>
        <v/>
      </c>
      <c r="K5">
        <f>IF(OR(G5=0,I5&lt;=2),"Retirar o reemplazar",IF(AND(J5="Sí",I5&lt;_xlfn.MAXIFS($I$5:$I$16,$B$5:$B$16,B5)),"Fusionar en la mejor",IF(I5&gt;=5,"Mantener","Revisar")))</f>
        <v/>
      </c>
    </row>
    <row r="6">
      <c r="A6" t="inlineStr">
        <is>
          <t>Aula virtual A (institucional)</t>
        </is>
      </c>
      <c r="B6" t="inlineStr">
        <is>
          <t>Aula virtual</t>
        </is>
      </c>
      <c r="C6" s="3" t="n">
        <v>400</v>
      </c>
      <c r="D6" s="4" t="n">
        <v>6000000</v>
      </c>
      <c r="E6" s="3" t="inlineStr">
        <is>
          <t>Sí</t>
        </is>
      </c>
      <c r="F6" s="3" t="n">
        <v>1</v>
      </c>
      <c r="G6" s="3" t="n">
        <v>2</v>
      </c>
      <c r="H6" s="3" t="n">
        <v>1</v>
      </c>
      <c r="I6">
        <f>SUM(F6:H6)</f>
        <v/>
      </c>
      <c r="J6">
        <f>IF(COUNTIF($B$5:$B$16,B6)&gt;1,"Sí","No")</f>
        <v/>
      </c>
      <c r="K6">
        <f>IF(OR(G6=0,I6&lt;=2),"Retirar o reemplazar",IF(AND(J6="Sí",I6&lt;_xlfn.MAXIFS($I$5:$I$16,$B$5:$B$16,B6)),"Fusionar en la mejor",IF(I6&gt;=5,"Mantener","Revisar")))</f>
        <v/>
      </c>
    </row>
    <row r="7">
      <c r="A7" t="inlineStr">
        <is>
          <t>Aula virtual B (cuenta de un docente)</t>
        </is>
      </c>
      <c r="B7" t="inlineStr">
        <is>
          <t>Aula virtual</t>
        </is>
      </c>
      <c r="C7" s="3" t="n">
        <v>90</v>
      </c>
      <c r="D7" s="4" t="n">
        <v>0</v>
      </c>
      <c r="E7" s="3" t="inlineStr">
        <is>
          <t>Sí</t>
        </is>
      </c>
      <c r="F7" s="3" t="n">
        <v>0</v>
      </c>
      <c r="G7" s="3" t="n">
        <v>1</v>
      </c>
      <c r="H7" s="3" t="n">
        <v>0</v>
      </c>
      <c r="I7">
        <f>SUM(F7:H7)</f>
        <v/>
      </c>
      <c r="J7">
        <f>IF(COUNTIF($B$5:$B$16,B7)&gt;1,"Sí","No")</f>
        <v/>
      </c>
      <c r="K7">
        <f>IF(OR(G7=0,I7&lt;=2),"Retirar o reemplazar",IF(AND(J7="Sí",I7&lt;_xlfn.MAXIFS($I$5:$I$16,$B$5:$B$16,B7)),"Fusionar en la mejor",IF(I7&gt;=5,"Mantener","Revisar")))</f>
        <v/>
      </c>
    </row>
    <row r="8">
      <c r="A8" t="inlineStr">
        <is>
          <t>App de mensajería a familias</t>
        </is>
      </c>
      <c r="B8" t="inlineStr">
        <is>
          <t>Comunicación con familias</t>
        </is>
      </c>
      <c r="C8" s="3" t="n">
        <v>900</v>
      </c>
      <c r="D8" s="4" t="n">
        <v>4800000</v>
      </c>
      <c r="E8" s="3" t="inlineStr">
        <is>
          <t>Sí</t>
        </is>
      </c>
      <c r="F8" s="3" t="n">
        <v>1</v>
      </c>
      <c r="G8" s="3" t="n">
        <v>2</v>
      </c>
      <c r="H8" s="3" t="n">
        <v>1</v>
      </c>
      <c r="I8">
        <f>SUM(F8:H8)</f>
        <v/>
      </c>
      <c r="J8">
        <f>IF(COUNTIF($B$5:$B$16,B8)&gt;1,"Sí","No")</f>
        <v/>
      </c>
      <c r="K8">
        <f>IF(OR(G8=0,I8&lt;=2),"Retirar o reemplazar",IF(AND(J8="Sí",I8&lt;_xlfn.MAXIFS($I$5:$I$16,$B$5:$B$16,B8)),"Fusionar en la mejor",IF(I8&gt;=5,"Mantener","Revisar")))</f>
        <v/>
      </c>
    </row>
    <row r="9">
      <c r="A9" t="inlineStr">
        <is>
          <t>Grupos de WhatsApp por curso</t>
        </is>
      </c>
      <c r="B9" t="inlineStr">
        <is>
          <t>Comunicación con familias</t>
        </is>
      </c>
      <c r="C9" s="3" t="n">
        <v>900</v>
      </c>
      <c r="D9" s="4" t="n">
        <v>0</v>
      </c>
      <c r="E9" s="3" t="inlineStr">
        <is>
          <t>Sí</t>
        </is>
      </c>
      <c r="F9" s="3" t="n">
        <v>0</v>
      </c>
      <c r="G9" s="3" t="n">
        <v>1</v>
      </c>
      <c r="H9" s="3" t="n">
        <v>0</v>
      </c>
      <c r="I9">
        <f>SUM(F9:H9)</f>
        <v/>
      </c>
      <c r="J9">
        <f>IF(COUNTIF($B$5:$B$16,B9)&gt;1,"Sí","No")</f>
        <v/>
      </c>
      <c r="K9">
        <f>IF(OR(G9=0,I9&lt;=2),"Retirar o reemplazar",IF(AND(J9="Sí",I9&lt;_xlfn.MAXIFS($I$5:$I$16,$B$5:$B$16,B9)),"Fusionar en la mejor",IF(I9&gt;=5,"Mantener","Revisar")))</f>
        <v/>
      </c>
    </row>
    <row r="10">
      <c r="A10" t="inlineStr">
        <is>
          <t>Plataforma de práctica de matemáticas A</t>
        </is>
      </c>
      <c r="B10" t="inlineStr">
        <is>
          <t>Práctica de matemáticas</t>
        </is>
      </c>
      <c r="C10" s="3" t="n">
        <v>250</v>
      </c>
      <c r="D10" s="4" t="n">
        <v>7500000</v>
      </c>
      <c r="E10" s="3" t="inlineStr">
        <is>
          <t>Sí</t>
        </is>
      </c>
      <c r="F10" s="3" t="n">
        <v>0</v>
      </c>
      <c r="G10" s="3" t="n">
        <v>2</v>
      </c>
      <c r="H10" s="3" t="n">
        <v>1</v>
      </c>
      <c r="I10">
        <f>SUM(F10:H10)</f>
        <v/>
      </c>
      <c r="J10">
        <f>IF(COUNTIF($B$5:$B$16,B10)&gt;1,"Sí","No")</f>
        <v/>
      </c>
      <c r="K10">
        <f>IF(OR(G10=0,I10&lt;=2),"Retirar o reemplazar",IF(AND(J10="Sí",I10&lt;_xlfn.MAXIFS($I$5:$I$16,$B$5:$B$16,B10)),"Fusionar en la mejor",IF(I10&gt;=5,"Mantener","Revisar")))</f>
        <v/>
      </c>
    </row>
    <row r="11">
      <c r="A11" t="inlineStr">
        <is>
          <t>Plataforma de práctica de matemáticas B</t>
        </is>
      </c>
      <c r="B11" t="inlineStr">
        <is>
          <t>Práctica de matemáticas</t>
        </is>
      </c>
      <c r="C11" s="3" t="n">
        <v>60</v>
      </c>
      <c r="D11" s="4" t="n">
        <v>3000000</v>
      </c>
      <c r="E11" s="3" t="inlineStr">
        <is>
          <t>Sí</t>
        </is>
      </c>
      <c r="F11" s="3" t="n">
        <v>0</v>
      </c>
      <c r="G11" s="3" t="n">
        <v>1</v>
      </c>
      <c r="H11" s="3" t="n">
        <v>0</v>
      </c>
      <c r="I11">
        <f>SUM(F11:H11)</f>
        <v/>
      </c>
      <c r="J11">
        <f>IF(COUNTIF($B$5:$B$16,B11)&gt;1,"Sí","No")</f>
        <v/>
      </c>
      <c r="K11">
        <f>IF(OR(G11=0,I11&lt;=2),"Retirar o reemplazar",IF(AND(J11="Sí",I11&lt;_xlfn.MAXIFS($I$5:$I$16,$B$5:$B$16,B11)),"Fusionar en la mejor",IF(I11&gt;=5,"Mantener","Revisar")))</f>
        <v/>
      </c>
    </row>
    <row r="12">
      <c r="A12" t="inlineStr">
        <is>
          <t>Generador de presentaciones con IA</t>
        </is>
      </c>
      <c r="B12" t="inlineStr">
        <is>
          <t>Creación de contenidos</t>
        </is>
      </c>
      <c r="C12" s="3" t="n">
        <v>30</v>
      </c>
      <c r="D12" s="4" t="n">
        <v>2400000</v>
      </c>
      <c r="E12" s="3" t="inlineStr">
        <is>
          <t>No</t>
        </is>
      </c>
      <c r="F12" s="3" t="n">
        <v>0</v>
      </c>
      <c r="G12" s="3" t="n">
        <v>1</v>
      </c>
      <c r="H12" s="3" t="n">
        <v>0</v>
      </c>
      <c r="I12">
        <f>SUM(F12:H12)</f>
        <v/>
      </c>
      <c r="J12">
        <f>IF(COUNTIF($B$5:$B$16,B12)&gt;1,"Sí","No")</f>
        <v/>
      </c>
      <c r="K12">
        <f>IF(OR(G12=0,I12&lt;=2),"Retirar o reemplazar",IF(AND(J12="Sí",I12&lt;_xlfn.MAXIFS($I$5:$I$16,$B$5:$B$16,B12)),"Fusionar en la mejor",IF(I12&gt;=5,"Mantener","Revisar")))</f>
        <v/>
      </c>
    </row>
    <row r="13">
      <c r="A13" t="inlineStr">
        <is>
          <t>Suite ofimática</t>
        </is>
      </c>
      <c r="B13" t="inlineStr">
        <is>
          <t>Ofimática</t>
        </is>
      </c>
      <c r="C13" s="3" t="n">
        <v>1300</v>
      </c>
      <c r="D13" s="4" t="n">
        <v>9000000</v>
      </c>
      <c r="E13" s="3" t="inlineStr">
        <is>
          <t>Sí</t>
        </is>
      </c>
      <c r="F13" s="3" t="n">
        <v>2</v>
      </c>
      <c r="G13" s="3" t="n">
        <v>2</v>
      </c>
      <c r="H13" s="3" t="n">
        <v>2</v>
      </c>
      <c r="I13">
        <f>SUM(F13:H13)</f>
        <v/>
      </c>
      <c r="J13">
        <f>IF(COUNTIF($B$5:$B$16,B13)&gt;1,"Sí","No")</f>
        <v/>
      </c>
      <c r="K13">
        <f>IF(OR(G13=0,I13&lt;=2),"Retirar o reemplazar",IF(AND(J13="Sí",I13&lt;_xlfn.MAXIFS($I$5:$I$16,$B$5:$B$16,B13)),"Fusionar en la mejor",IF(I13&gt;=5,"Mantener","Revisar")))</f>
        <v/>
      </c>
    </row>
    <row r="14">
      <c r="A14" t="inlineStr">
        <is>
          <t>Formularios para evaluaciones</t>
        </is>
      </c>
      <c r="B14" t="inlineStr">
        <is>
          <t>Evaluación en línea</t>
        </is>
      </c>
      <c r="C14" s="3" t="n">
        <v>300</v>
      </c>
      <c r="D14" s="4" t="n">
        <v>0</v>
      </c>
      <c r="E14" s="3" t="inlineStr">
        <is>
          <t>Sí</t>
        </is>
      </c>
      <c r="F14" s="3" t="n">
        <v>1</v>
      </c>
      <c r="G14" s="3" t="n">
        <v>2</v>
      </c>
      <c r="H14" s="3" t="n">
        <v>2</v>
      </c>
      <c r="I14">
        <f>SUM(F14:H14)</f>
        <v/>
      </c>
      <c r="J14">
        <f>IF(COUNTIF($B$5:$B$16,B14)&gt;1,"Sí","No")</f>
        <v/>
      </c>
      <c r="K14">
        <f>IF(OR(G14=0,I14&lt;=2),"Retirar o reemplazar",IF(AND(J14="Sí",I14&lt;_xlfn.MAXIFS($I$5:$I$16,$B$5:$B$16,B14)),"Fusionar en la mejor",IF(I14&gt;=5,"Mantener","Revisar")))</f>
        <v/>
      </c>
    </row>
    <row r="15">
      <c r="A15" t="inlineStr">
        <is>
          <t>Plataforma de lectura</t>
        </is>
      </c>
      <c r="B15" t="inlineStr">
        <is>
          <t>Lectura</t>
        </is>
      </c>
      <c r="C15" s="3" t="n">
        <v>120</v>
      </c>
      <c r="D15" s="4" t="n">
        <v>5400000</v>
      </c>
      <c r="E15" s="3" t="inlineStr">
        <is>
          <t>Sí</t>
        </is>
      </c>
      <c r="F15" s="3" t="n">
        <v>0</v>
      </c>
      <c r="G15" s="3" t="n">
        <v>0</v>
      </c>
      <c r="H15" s="3" t="n">
        <v>1</v>
      </c>
      <c r="I15">
        <f>SUM(F15:H15)</f>
        <v/>
      </c>
      <c r="J15">
        <f>IF(COUNTIF($B$5:$B$16,B15)&gt;1,"Sí","No")</f>
        <v/>
      </c>
      <c r="K15">
        <f>IF(OR(G15=0,I15&lt;=2),"Retirar o reemplazar",IF(AND(J15="Sí",I15&lt;_xlfn.MAXIFS($I$5:$I$16,$B$5:$B$16,B15)),"Fusionar en la mejor",IF(I15&gt;=5,"Mantener","Revisar")))</f>
        <v/>
      </c>
    </row>
    <row r="16">
      <c r="A16" t="inlineStr">
        <is>
          <t>Videoconferencia</t>
        </is>
      </c>
      <c r="B16" t="inlineStr">
        <is>
          <t>Videoconferencia</t>
        </is>
      </c>
      <c r="C16" s="3" t="n">
        <v>200</v>
      </c>
      <c r="D16" s="4" t="n">
        <v>3600000</v>
      </c>
      <c r="E16" s="3" t="inlineStr">
        <is>
          <t>No</t>
        </is>
      </c>
      <c r="F16" s="3" t="n">
        <v>1</v>
      </c>
      <c r="G16" s="3" t="n">
        <v>1</v>
      </c>
      <c r="H16" s="3" t="n">
        <v>1</v>
      </c>
      <c r="I16">
        <f>SUM(F16:H16)</f>
        <v/>
      </c>
      <c r="J16">
        <f>IF(COUNTIF($B$5:$B$16,B16)&gt;1,"Sí","No")</f>
        <v/>
      </c>
      <c r="K16">
        <f>IF(OR(G16=0,I16&lt;=2),"Retirar o reemplazar",IF(AND(J16="Sí",I16&lt;_xlfn.MAXIFS($I$5:$I$16,$B$5:$B$16,B16)),"Fusionar en la mejor",IF(I16&gt;=5,"Mantener","Revisar")))</f>
        <v/>
      </c>
    </row>
  </sheetData>
  <dataValidations count="1">
    <dataValidation sqref="F5:H36" showDropDown="0" showInputMessage="0" showErrorMessage="1" allowBlank="0" error="Usa 0, 1 o 2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RESUMEN</t>
        </is>
      </c>
    </row>
    <row r="3">
      <c r="A3" t="inlineStr">
        <is>
          <t>Herramientas inventariadas</t>
        </is>
      </c>
      <c r="B3" s="5">
        <f>COUNTA(Inventario!A5:A16)</f>
        <v/>
      </c>
    </row>
    <row r="4">
      <c r="A4" t="inlineStr">
        <is>
          <t>Costo anual total (COP)</t>
        </is>
      </c>
      <c r="B4" s="6">
        <f>SUM(Inventario!D5:D16)</f>
        <v/>
      </c>
    </row>
    <row r="5">
      <c r="A5" t="inlineStr">
        <is>
          <t>Herramientas a retirar o reemplazar</t>
        </is>
      </c>
      <c r="B5" s="5">
        <f>COUNTIF(Inventario!K5:K16,"Retirar o reemplazar")</f>
        <v/>
      </c>
    </row>
    <row r="6">
      <c r="A6" t="inlineStr">
        <is>
          <t>Herramientas a fusionar</t>
        </is>
      </c>
      <c r="B6" s="5">
        <f>COUNTIF(Inventario!K5:K16,"Fusionar en la mejor")</f>
        <v/>
      </c>
    </row>
    <row r="7">
      <c r="A7" t="inlineStr">
        <is>
          <t>Costo anual de las que se retiran o fusionan (COP)</t>
        </is>
      </c>
      <c r="B7" s="6">
        <f>SUMIF(Inventario!K5:K16,"Retirar o reemplazar",Inventario!D5:D16)+SUMIF(Inventario!K5:K16,"Fusionar en la mejor",Inventario!D5:D16)</f>
        <v/>
      </c>
    </row>
    <row r="8">
      <c r="A8" t="inlineStr">
        <is>
          <t>% del costo anual</t>
        </is>
      </c>
      <c r="B8" s="7">
        <f>B7/B4</f>
        <v/>
      </c>
    </row>
    <row r="9">
      <c r="A9" t="inlineStr">
        <is>
          <t>Herramientas con datos personales y puntaje de sostenibilidad menor que 2</t>
        </is>
      </c>
      <c r="B9" s="5">
        <f>COUNTIFS(Inventario!E5:E16,"Sí",Inventario!H5:H16,"&lt;2")</f>
        <v/>
      </c>
    </row>
    <row r="11">
      <c r="A11" t="inlineStr">
        <is>
          <t>Nota: la decisión es una sugerencia para abrir la conversación, no una orden. Antes de retirar algo, consulta a quienes lo usan y respalda sus datos. MAXIFS requiere Excel 2019 o Microsoft 365.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2026-10-10T00:26:49Z</dcterms:created>
  <dcterms:modified xmlns:dcterms="http://purl.org/dc/terms/" xmlns:xsi="http://www.w3.org/2001/XMLSchema-instance" xsi:type="dcterms:W3CDTF">2026-10-10T00:26:49Z</dcterms:modified>
</cp:coreProperties>
</file>