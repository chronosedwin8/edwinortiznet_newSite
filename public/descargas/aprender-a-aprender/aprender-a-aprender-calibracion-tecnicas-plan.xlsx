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Calibracion" sheetId="3" state="visible" r:id="rId3"/>
    <sheet xmlns:r="http://schemas.openxmlformats.org/officeDocument/2006/relationships" name="Tecnicas" sheetId="4" state="visible" r:id="rId4"/>
    <sheet xmlns:r="http://schemas.openxmlformats.org/officeDocument/2006/relationships" name="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"/>
    <numFmt numFmtId="167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0" fontId="2" fillId="3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</cols>
  <sheetData>
    <row r="1">
      <c r="A1" s="1" t="inlineStr">
        <is>
          <t>RESUMEN</t>
        </is>
      </c>
    </row>
    <row r="3">
      <c r="A3" t="inlineStr">
        <is>
          <t>Temas evaluados</t>
        </is>
      </c>
      <c r="B3" s="2">
        <f>COUNTA(Calibracion!A4:A13)</f>
        <v/>
      </c>
    </row>
    <row r="4">
      <c r="A4" t="inlineStr">
        <is>
          <t>Brecha promedio (predicción menos resultado, en puntos)</t>
        </is>
      </c>
      <c r="B4" s="3">
        <f>AVERAGE(Calibracion!D4:D13)</f>
        <v/>
      </c>
    </row>
    <row r="5">
      <c r="A5" t="inlineStr">
        <is>
          <t>Temas en los que sobreestima</t>
        </is>
      </c>
      <c r="B5" s="2">
        <f>COUNTIF(Calibracion!E4:E13,"Sobreestima")</f>
        <v/>
      </c>
    </row>
    <row r="6">
      <c r="A6" t="inlineStr">
        <is>
          <t>Temas calibrados</t>
        </is>
      </c>
      <c r="B6" s="2">
        <f>COUNTIF(Calibracion!E4:E13,"Calibrado")</f>
        <v/>
      </c>
    </row>
    <row r="7">
      <c r="A7" t="inlineStr">
        <is>
          <t>Temas en los que subestima</t>
        </is>
      </c>
      <c r="B7" s="2">
        <f>COUNTIF(Calibracion!E4:E13,"Subestima")</f>
        <v/>
      </c>
    </row>
    <row r="8">
      <c r="A8" t="inlineStr">
        <is>
          <t>Tema con la mayor sobreestimación</t>
        </is>
      </c>
      <c r="B8" s="4">
        <f>INDEX(Calibracion!A4:A13,MATCH(MAX(Calibracion!D4:D13),Calibracion!D4:D13,0))</f>
        <v/>
      </c>
    </row>
    <row r="9">
      <c r="A9" t="inlineStr">
        <is>
          <t>Mayor sobreestimación (puntos)</t>
        </is>
      </c>
      <c r="B9" s="2">
        <f>MAX(Calibracion!D4:D13)</f>
        <v/>
      </c>
    </row>
    <row r="10">
      <c r="A10" t="inlineStr">
        <is>
          <t>Correlación entre la predicción y el resultado</t>
        </is>
      </c>
      <c r="B10" s="5">
        <f>CORREL(Calibracion!B4:B13,Calibracion!C4:C13)</f>
        <v/>
      </c>
    </row>
    <row r="11">
      <c r="A11" t="inlineStr">
        <is>
          <t>Minutos de estudio en la semana</t>
        </is>
      </c>
      <c r="B11" s="2">
        <f>SUM(Tecnicas!C4:C9)</f>
        <v/>
      </c>
    </row>
    <row r="12">
      <c r="A12" t="inlineStr">
        <is>
          <t>% de minutos en técnicas de utilidad alta</t>
        </is>
      </c>
      <c r="B12" s="6">
        <f>SUMIF(Tecnicas!B4:B9,"Alta",Tecnicas!C4:C9)/B11</f>
        <v/>
      </c>
    </row>
    <row r="13">
      <c r="A13" t="inlineStr">
        <is>
          <t>% de minutos en técnicas de utilidad baja</t>
        </is>
      </c>
      <c r="B13" s="6">
        <f>SUMIF(Tecnicas!B4:B9,"Baja",Tecnicas!C4:C9)/B11</f>
        <v/>
      </c>
    </row>
    <row r="14">
      <c r="A14" t="inlineStr">
        <is>
          <t>Sesiones de repaso planeadas</t>
        </is>
      </c>
      <c r="B14" s="2">
        <f>COUNT(Plan!B4:B9)</f>
        <v/>
      </c>
    </row>
    <row r="15">
      <c r="A15" t="inlineStr">
        <is>
          <t>Sesiones en fin de semana</t>
        </is>
      </c>
      <c r="B15" s="2">
        <f>COUNTIF(Plan!F4:F9,"Sí")</f>
        <v/>
      </c>
    </row>
    <row r="16">
      <c r="A16" t="inlineStr">
        <is>
          <t>Mayor separación entre sesiones (días)</t>
        </is>
      </c>
      <c r="B16" s="2">
        <f>MAX(Plan!E5:E9)</f>
        <v/>
      </c>
    </row>
    <row r="17">
      <c r="A17" t="inlineStr">
        <is>
          <t>Menor separación entre sesiones (días)</t>
        </is>
      </c>
      <c r="B17" s="2">
        <f>MIN(Plan!E5:E9)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2" customWidth="1" min="1" max="1"/>
    <col width="14" customWidth="1" min="2" max="2"/>
  </cols>
  <sheetData>
    <row r="1">
      <c r="A1" s="1" t="inlineStr">
        <is>
          <t>PARÁMETROS (editables; datos ficticios de un estudiante)</t>
        </is>
      </c>
    </row>
    <row r="3">
      <c r="A3" t="inlineStr">
        <is>
          <t>Margen para considerar una predicción "calibrada" (puntos porcentuales, más o menos)</t>
        </is>
      </c>
      <c r="B3" s="7" t="n">
        <v>10</v>
      </c>
    </row>
    <row r="4">
      <c r="A4" t="inlineStr">
        <is>
          <t>Fecha de la evaluación</t>
        </is>
      </c>
      <c r="B4" s="8" t="n">
        <v>46492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4" customWidth="1" min="4" max="4"/>
    <col width="16" customWidth="1" min="5" max="5"/>
  </cols>
  <sheetData>
    <row r="1">
      <c r="A1" s="1" t="inlineStr">
        <is>
          <t>CALIBRACIÓN: LO QUE PREDIJE FRENTE A LO QUE OBTUVE</t>
        </is>
      </c>
    </row>
    <row r="3" ht="48" customHeight="1">
      <c r="A3" s="9" t="inlineStr">
        <is>
          <t>Tema</t>
        </is>
      </c>
      <c r="B3" s="9" t="inlineStr">
        <is>
          <t>Predicción (% que creía saber)</t>
        </is>
      </c>
      <c r="C3" s="9" t="inlineStr">
        <is>
          <t>Resultado (% obtenido)</t>
        </is>
      </c>
      <c r="D3" s="9" t="inlineStr">
        <is>
          <t>Brecha (predicción menos resultado)</t>
        </is>
      </c>
      <c r="E3" s="9" t="inlineStr">
        <is>
          <t>Lectura</t>
        </is>
      </c>
    </row>
    <row r="4">
      <c r="A4" t="inlineStr">
        <is>
          <t>Tema 1</t>
        </is>
      </c>
      <c r="B4" s="7" t="n">
        <v>80</v>
      </c>
      <c r="C4" s="7" t="n">
        <v>62</v>
      </c>
      <c r="D4">
        <f>B4-C4</f>
        <v/>
      </c>
      <c r="E4">
        <f>IF(D4&gt;Parametros!$B$3,"Sobreestima",IF(D4&lt;-Parametros!$B$3,"Subestima","Calibrado"))</f>
        <v/>
      </c>
    </row>
    <row r="5">
      <c r="A5" t="inlineStr">
        <is>
          <t>Tema 2</t>
        </is>
      </c>
      <c r="B5" s="7" t="n">
        <v>70</v>
      </c>
      <c r="C5" s="7" t="n">
        <v>70</v>
      </c>
      <c r="D5">
        <f>B5-C5</f>
        <v/>
      </c>
      <c r="E5">
        <f>IF(D5&gt;Parametros!$B$3,"Sobreestima",IF(D5&lt;-Parametros!$B$3,"Subestima","Calibrado"))</f>
        <v/>
      </c>
    </row>
    <row r="6">
      <c r="A6" t="inlineStr">
        <is>
          <t>Tema 3</t>
        </is>
      </c>
      <c r="B6" s="7" t="n">
        <v>90</v>
      </c>
      <c r="C6" s="7" t="n">
        <v>55</v>
      </c>
      <c r="D6">
        <f>B6-C6</f>
        <v/>
      </c>
      <c r="E6">
        <f>IF(D6&gt;Parametros!$B$3,"Sobreestima",IF(D6&lt;-Parametros!$B$3,"Subestima","Calibrado"))</f>
        <v/>
      </c>
    </row>
    <row r="7">
      <c r="A7" t="inlineStr">
        <is>
          <t>Tema 4</t>
        </is>
      </c>
      <c r="B7" s="7" t="n">
        <v>60</v>
      </c>
      <c r="C7" s="7" t="n">
        <v>65</v>
      </c>
      <c r="D7">
        <f>B7-C7</f>
        <v/>
      </c>
      <c r="E7">
        <f>IF(D7&gt;Parametros!$B$3,"Sobreestima",IF(D7&lt;-Parametros!$B$3,"Subestima","Calibrado"))</f>
        <v/>
      </c>
    </row>
    <row r="8">
      <c r="A8" t="inlineStr">
        <is>
          <t>Tema 5</t>
        </is>
      </c>
      <c r="B8" s="7" t="n">
        <v>85</v>
      </c>
      <c r="C8" s="7" t="n">
        <v>72</v>
      </c>
      <c r="D8">
        <f>B8-C8</f>
        <v/>
      </c>
      <c r="E8">
        <f>IF(D8&gt;Parametros!$B$3,"Sobreestima",IF(D8&lt;-Parametros!$B$3,"Subestima","Calibrado"))</f>
        <v/>
      </c>
    </row>
    <row r="9">
      <c r="A9" t="inlineStr">
        <is>
          <t>Tema 6</t>
        </is>
      </c>
      <c r="B9" s="7" t="n">
        <v>75</v>
      </c>
      <c r="C9" s="7" t="n">
        <v>38</v>
      </c>
      <c r="D9">
        <f>B9-C9</f>
        <v/>
      </c>
      <c r="E9">
        <f>IF(D9&gt;Parametros!$B$3,"Sobreestima",IF(D9&lt;-Parametros!$B$3,"Subestima","Calibrado"))</f>
        <v/>
      </c>
    </row>
    <row r="10">
      <c r="A10" t="inlineStr">
        <is>
          <t>Tema 7</t>
        </is>
      </c>
      <c r="B10" s="7" t="n">
        <v>50</v>
      </c>
      <c r="C10" s="7" t="n">
        <v>58</v>
      </c>
      <c r="D10">
        <f>B10-C10</f>
        <v/>
      </c>
      <c r="E10">
        <f>IF(D10&gt;Parametros!$B$3,"Sobreestima",IF(D10&lt;-Parametros!$B$3,"Subestima","Calibrado"))</f>
        <v/>
      </c>
    </row>
    <row r="11">
      <c r="A11" t="inlineStr">
        <is>
          <t>Tema 8</t>
        </is>
      </c>
      <c r="B11" s="7" t="n">
        <v>95</v>
      </c>
      <c r="C11" s="7" t="n">
        <v>88</v>
      </c>
      <c r="D11">
        <f>B11-C11</f>
        <v/>
      </c>
      <c r="E11">
        <f>IF(D11&gt;Parametros!$B$3,"Sobreestima",IF(D11&lt;-Parametros!$B$3,"Subestima","Calibrado"))</f>
        <v/>
      </c>
    </row>
    <row r="12">
      <c r="A12" t="inlineStr">
        <is>
          <t>Tema 9</t>
        </is>
      </c>
      <c r="B12" s="7" t="n">
        <v>65</v>
      </c>
      <c r="C12" s="7" t="n">
        <v>45</v>
      </c>
      <c r="D12">
        <f>B12-C12</f>
        <v/>
      </c>
      <c r="E12">
        <f>IF(D12&gt;Parametros!$B$3,"Sobreestima",IF(D12&lt;-Parametros!$B$3,"Subestima","Calibrado"))</f>
        <v/>
      </c>
    </row>
    <row r="13">
      <c r="A13" t="inlineStr">
        <is>
          <t>Tema 10</t>
        </is>
      </c>
      <c r="B13" s="7" t="n">
        <v>70</v>
      </c>
      <c r="C13" s="7" t="n">
        <v>68</v>
      </c>
      <c r="D13">
        <f>B13-C13</f>
        <v/>
      </c>
      <c r="E13">
        <f>IF(D13&gt;Parametros!$B$3,"Sobreestima",IF(D13&lt;-Parametros!$B$3,"Subestima","Calibrado"))</f>
        <v/>
      </c>
    </row>
  </sheetData>
  <conditionalFormatting sqref="E4:E13">
    <cfRule type="cellIs" priority="1" operator="equal" dxfId="0">
      <formula>"Sobreestima"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20" customWidth="1" min="3" max="3"/>
  </cols>
  <sheetData>
    <row r="1">
      <c r="A1" s="1" t="inlineStr">
        <is>
          <t>TÉCNICAS DE ESTUDIO DE UNA SEMANA (minutos) Y SU UTILIDAD SEGÚN LA REVISIÓN DE DUNLOSKY Y COLEGAS (2013)</t>
        </is>
      </c>
    </row>
    <row r="3" ht="32" customHeight="1">
      <c r="A3" s="9" t="inlineStr">
        <is>
          <t>Técnica</t>
        </is>
      </c>
      <c r="B3" s="9" t="inlineStr">
        <is>
          <t>Utilidad (Alta, Moderada o Baja)</t>
        </is>
      </c>
      <c r="C3" s="9" t="inlineStr">
        <is>
          <t>Minutos en la semana</t>
        </is>
      </c>
    </row>
    <row r="4">
      <c r="A4" t="inlineStr">
        <is>
          <t>Releer el texto</t>
        </is>
      </c>
      <c r="B4" s="7" t="inlineStr">
        <is>
          <t>Baja</t>
        </is>
      </c>
      <c r="C4" s="7" t="n">
        <v>240</v>
      </c>
    </row>
    <row r="5">
      <c r="A5" t="inlineStr">
        <is>
          <t>Subrayar</t>
        </is>
      </c>
      <c r="B5" s="7" t="inlineStr">
        <is>
          <t>Baja</t>
        </is>
      </c>
      <c r="C5" s="7" t="n">
        <v>150</v>
      </c>
    </row>
    <row r="6">
      <c r="A6" t="inlineStr">
        <is>
          <t>Hacer resúmenes</t>
        </is>
      </c>
      <c r="B6" s="7" t="inlineStr">
        <is>
          <t>Baja</t>
        </is>
      </c>
      <c r="C6" s="7" t="n">
        <v>120</v>
      </c>
    </row>
    <row r="7">
      <c r="A7" t="inlineStr">
        <is>
          <t>Autoexamen con tarjetas o preguntas</t>
        </is>
      </c>
      <c r="B7" s="7" t="inlineStr">
        <is>
          <t>Alta</t>
        </is>
      </c>
      <c r="C7" s="7" t="n">
        <v>90</v>
      </c>
    </row>
    <row r="8">
      <c r="A8" t="inlineStr">
        <is>
          <t>Explicarse en voz alta (autoexplicación)</t>
        </is>
      </c>
      <c r="B8" s="7" t="inlineStr">
        <is>
          <t>Moderada</t>
        </is>
      </c>
      <c r="C8" s="7" t="n">
        <v>60</v>
      </c>
    </row>
    <row r="9">
      <c r="A9" t="inlineStr">
        <is>
          <t>Mezclar tipos de problemas (intercalar)</t>
        </is>
      </c>
      <c r="B9" s="7" t="inlineStr">
        <is>
          <t>Moderada</t>
        </is>
      </c>
      <c r="C9" s="7" t="n">
        <v>30</v>
      </c>
    </row>
  </sheetData>
  <dataValidations count="1">
    <dataValidation sqref="B4:B9" showDropDown="0" showInputMessage="0" showErrorMessage="0" allowBlank="0" type="list">
      <formula1>"Alta,Moderada,Baja"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22" customWidth="1" min="4" max="4"/>
    <col width="24" customWidth="1" min="5" max="5"/>
    <col width="14" customWidth="1" min="6" max="6"/>
  </cols>
  <sheetData>
    <row r="1">
      <c r="A1" s="1" t="inlineStr">
        <is>
          <t>PLAN DE REPASO ESPACIADO (días antes de la evaluación; editables)</t>
        </is>
      </c>
    </row>
    <row r="3" ht="48" customHeight="1">
      <c r="A3" s="9" t="inlineStr">
        <is>
          <t>Sesión</t>
        </is>
      </c>
      <c r="B3" s="9" t="inlineStr">
        <is>
          <t>Días antes de la evaluación</t>
        </is>
      </c>
      <c r="C3" s="9" t="inlineStr">
        <is>
          <t>Fecha</t>
        </is>
      </c>
      <c r="D3" s="9" t="inlineStr">
        <is>
          <t>Día de la semana (1 = lunes)</t>
        </is>
      </c>
      <c r="E3" s="9" t="inlineStr">
        <is>
          <t>Días desde la sesión anterior</t>
        </is>
      </c>
      <c r="F3" s="9" t="inlineStr">
        <is>
          <t>Fin de semana</t>
        </is>
      </c>
    </row>
    <row r="4">
      <c r="A4" t="n">
        <v>1</v>
      </c>
      <c r="B4" s="7" t="n">
        <v>35</v>
      </c>
      <c r="C4" s="10">
        <f>Parametros!$B$4-B4</f>
        <v/>
      </c>
      <c r="D4">
        <f>WEEKDAY(C4,2)</f>
        <v/>
      </c>
      <c r="E4" t="inlineStr"/>
      <c r="F4">
        <f>IF(D4&gt;5,"Sí","No")</f>
        <v/>
      </c>
    </row>
    <row r="5">
      <c r="A5" t="n">
        <v>2</v>
      </c>
      <c r="B5" s="7" t="n">
        <v>21</v>
      </c>
      <c r="C5" s="10">
        <f>Parametros!$B$4-B5</f>
        <v/>
      </c>
      <c r="D5">
        <f>WEEKDAY(C5,2)</f>
        <v/>
      </c>
      <c r="E5">
        <f>C5-C4</f>
        <v/>
      </c>
      <c r="F5">
        <f>IF(D5&gt;5,"Sí","No")</f>
        <v/>
      </c>
    </row>
    <row r="6">
      <c r="A6" t="n">
        <v>3</v>
      </c>
      <c r="B6" s="7" t="n">
        <v>14</v>
      </c>
      <c r="C6" s="10">
        <f>Parametros!$B$4-B6</f>
        <v/>
      </c>
      <c r="D6">
        <f>WEEKDAY(C6,2)</f>
        <v/>
      </c>
      <c r="E6">
        <f>C6-C5</f>
        <v/>
      </c>
      <c r="F6">
        <f>IF(D6&gt;5,"Sí","No")</f>
        <v/>
      </c>
    </row>
    <row r="7">
      <c r="A7" t="n">
        <v>4</v>
      </c>
      <c r="B7" s="7" t="n">
        <v>7</v>
      </c>
      <c r="C7" s="10">
        <f>Parametros!$B$4-B7</f>
        <v/>
      </c>
      <c r="D7">
        <f>WEEKDAY(C7,2)</f>
        <v/>
      </c>
      <c r="E7">
        <f>C7-C6</f>
        <v/>
      </c>
      <c r="F7">
        <f>IF(D7&gt;5,"Sí","No")</f>
        <v/>
      </c>
    </row>
    <row r="8">
      <c r="A8" t="n">
        <v>5</v>
      </c>
      <c r="B8" s="7" t="n">
        <v>5</v>
      </c>
      <c r="C8" s="10">
        <f>Parametros!$B$4-B8</f>
        <v/>
      </c>
      <c r="D8">
        <f>WEEKDAY(C8,2)</f>
        <v/>
      </c>
      <c r="E8">
        <f>C8-C7</f>
        <v/>
      </c>
      <c r="F8">
        <f>IF(D8&gt;5,"Sí","No")</f>
        <v/>
      </c>
    </row>
    <row r="9">
      <c r="A9" t="n">
        <v>6</v>
      </c>
      <c r="B9" s="7" t="n">
        <v>1</v>
      </c>
      <c r="C9" s="10">
        <f>Parametros!$B$4-B9</f>
        <v/>
      </c>
      <c r="D9">
        <f>WEEKDAY(C9,2)</f>
        <v/>
      </c>
      <c r="E9">
        <f>C9-C8</f>
        <v/>
      </c>
      <c r="F9">
        <f>IF(D9&gt;5,"Sí","No")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2026-10-10T18:27:15Z</dcterms:created>
  <dcterms:modified xmlns:dcterms="http://purl.org/dc/terms/" xmlns:xsi="http://www.w3.org/2001/XMLSchema-instance" xsi:type="dcterms:W3CDTF">2026-10-10T18:27:15Z</dcterms:modified>
</cp:coreProperties>
</file>