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rametros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Ras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9" fontId="0" fillId="0" borderId="0" pivotButton="0" quotePrefix="0" xfId="0"/>
    <xf numFmtId="9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CFCE7"/>
          <bgColor rgb="00DCFCE7"/>
        </patternFill>
      </fill>
    </dxf>
    <dxf>
      <fill>
        <patternFill patternType="solid">
          <fgColor rgb="00FEF3C7"/>
          <bgColor rgb="00FEF3C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46" customWidth="1" min="2" max="2"/>
  </cols>
  <sheetData>
    <row r="1">
      <c r="A1" s="1" t="inlineStr">
        <is>
          <t>RESUMEN</t>
        </is>
      </c>
    </row>
    <row r="3">
      <c r="A3" t="inlineStr">
        <is>
          <t>Personas encuestadas</t>
        </is>
      </c>
      <c r="B3" s="2">
        <f>SUM(Datos!F2:F31)/COUNTA(Rasgos!A2:A11)</f>
        <v/>
      </c>
    </row>
    <row r="4">
      <c r="A4" t="inlineStr">
        <is>
          <t>Rasgos evaluados</t>
        </is>
      </c>
      <c r="B4" s="2">
        <f>COUNTA(Rasgos!A2:A11)</f>
        <v/>
      </c>
    </row>
    <row r="5">
      <c r="A5" t="inlineStr">
        <is>
          <t>Rasgo que más personas cambiarían</t>
        </is>
      </c>
      <c r="B5" s="3">
        <f>INDEX(Rasgos!A2:A11,MATCH(MAX(Rasgos!C2:C11),Rasgos!C2:C11,0))</f>
        <v/>
      </c>
    </row>
    <row r="6">
      <c r="A6" t="inlineStr">
        <is>
          <t>% que lo cambiaría</t>
        </is>
      </c>
      <c r="B6" s="4">
        <f>MAX(Rasgos!C2:C11)</f>
        <v/>
      </c>
    </row>
    <row r="7">
      <c r="A7" t="inlineStr">
        <is>
          <t>Rasgo que menos personas cambiarían</t>
        </is>
      </c>
      <c r="B7" s="3">
        <f>INDEX(Rasgos!A2:A11,MATCH(MIN(Rasgos!C2:C11),Rasgos!C2:C11,0))</f>
        <v/>
      </c>
    </row>
    <row r="8">
      <c r="A8" t="inlineStr">
        <is>
          <t>% que lo cambiaría</t>
        </is>
      </c>
      <c r="B8" s="4">
        <f>MIN(Rasgos!C2:C11)</f>
        <v/>
      </c>
    </row>
    <row r="9">
      <c r="A9" t="inlineStr">
        <is>
          <t>Rasgos con consenso para cambiar (los tres grupos)</t>
        </is>
      </c>
      <c r="B9" s="2">
        <f>COUNTIF(Rasgos!H2:H11,"Sí")</f>
        <v/>
      </c>
    </row>
    <row r="10">
      <c r="A10" t="inlineStr">
        <is>
          <t>Rasgos con brecha entre grupos</t>
        </is>
      </c>
      <c r="B10" s="2">
        <f>COUNTIF(Rasgos!I2:I11,"Brecha*")</f>
        <v/>
      </c>
    </row>
    <row r="11">
      <c r="A11" t="inlineStr">
        <is>
          <t>Rasgo con la mayor brecha entre grupos</t>
        </is>
      </c>
      <c r="B11" s="3">
        <f>INDEX(Rasgos!A2:A11,MATCH(MAX(Rasgos!G2:G11),Rasgos!G2:G11,0))</f>
        <v/>
      </c>
    </row>
    <row r="12">
      <c r="A12" t="inlineStr">
        <is>
          <t>Mayor brecha (puntos porcentuales)</t>
        </is>
      </c>
      <c r="B12" s="4">
        <f>MAX(Rasgos!G2:G11)</f>
        <v/>
      </c>
    </row>
    <row r="13">
      <c r="A13" t="inlineStr">
        <is>
          <t>Rasgos que más de la mitad de las personas cambiaría</t>
        </is>
      </c>
      <c r="B13" s="2">
        <f>COUNTIF(Rasgos!C2:C11,"&gt;"&amp;0.5)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  <col width="10" customWidth="1" min="2" max="2"/>
  </cols>
  <sheetData>
    <row r="1">
      <c r="A1" s="1" t="inlineStr">
        <is>
          <t>PARÁMETROS (editables; datos ficticios de una encuesta de 60 personas: 20 docentes, 20 familias y 20 estudiantes)</t>
        </is>
      </c>
    </row>
    <row r="3">
      <c r="A3" t="inlineStr">
        <is>
          <t>Porcentaje de "Cambiar" desde el cual un rasgo cuenta como "con deseo de cambio" en un grupo</t>
        </is>
      </c>
      <c r="B3" s="5" t="n">
        <v>0.3</v>
      </c>
    </row>
    <row r="4">
      <c r="A4" t="inlineStr">
        <is>
          <t>Diferencia (en puntos porcentuales) entre grupos desde la cual se marca una "brecha"</t>
        </is>
      </c>
      <c r="B4" s="5" t="n">
        <v>0.4</v>
      </c>
    </row>
    <row r="6">
      <c r="A6" t="inlineStr">
        <is>
          <t>Cada persona respondió, para cada rasgo de la escuela, si lo mantendría, lo ajustaría o lo cambiaría. Aquí se registran los conteos por grupo.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0" customWidth="1" min="3" max="3"/>
    <col width="10" customWidth="1" min="4" max="4"/>
    <col width="10" customWidth="1" min="5" max="5"/>
    <col width="8" customWidth="1" min="6" max="6"/>
    <col width="16" customWidth="1" min="7" max="7"/>
  </cols>
  <sheetData>
    <row r="1">
      <c r="A1" s="6" t="inlineStr">
        <is>
          <t>Rasgo de la escuela</t>
        </is>
      </c>
      <c r="B1" s="6" t="inlineStr">
        <is>
          <t>Grupo</t>
        </is>
      </c>
      <c r="C1" s="6" t="inlineStr">
        <is>
          <t>Mantener</t>
        </is>
      </c>
      <c r="D1" s="6" t="inlineStr">
        <is>
          <t>Ajustar</t>
        </is>
      </c>
      <c r="E1" s="6" t="inlineStr">
        <is>
          <t>Cambiar</t>
        </is>
      </c>
      <c r="F1" s="6" t="inlineStr">
        <is>
          <t>Total</t>
        </is>
      </c>
      <c r="G1" s="6" t="inlineStr">
        <is>
          <t>% que cambiaría</t>
        </is>
      </c>
    </row>
    <row r="2">
      <c r="A2" t="inlineStr">
        <is>
          <t>Grupos por edad (un grado por año)</t>
        </is>
      </c>
      <c r="B2" t="inlineStr">
        <is>
          <t>Docentes</t>
        </is>
      </c>
      <c r="C2" s="7" t="n">
        <v>10</v>
      </c>
      <c r="D2" s="7" t="n">
        <v>7</v>
      </c>
      <c r="E2" s="7" t="n">
        <v>3</v>
      </c>
      <c r="F2">
        <f>SUM(C2:E2)</f>
        <v/>
      </c>
      <c r="G2" s="4">
        <f>E2/F2</f>
        <v/>
      </c>
    </row>
    <row r="3">
      <c r="A3" t="inlineStr">
        <is>
          <t>Grupos por edad (un grado por año)</t>
        </is>
      </c>
      <c r="B3" t="inlineStr">
        <is>
          <t>Familias</t>
        </is>
      </c>
      <c r="C3" s="7" t="n">
        <v>14</v>
      </c>
      <c r="D3" s="7" t="n">
        <v>5</v>
      </c>
      <c r="E3" s="7" t="n">
        <v>1</v>
      </c>
      <c r="F3">
        <f>SUM(C3:E3)</f>
        <v/>
      </c>
      <c r="G3" s="4">
        <f>E3/F3</f>
        <v/>
      </c>
    </row>
    <row r="4">
      <c r="A4" t="inlineStr">
        <is>
          <t>Grupos por edad (un grado por año)</t>
        </is>
      </c>
      <c r="B4" t="inlineStr">
        <is>
          <t>Estudiantes</t>
        </is>
      </c>
      <c r="C4" s="7" t="n">
        <v>9</v>
      </c>
      <c r="D4" s="7" t="n">
        <v>8</v>
      </c>
      <c r="E4" s="7" t="n">
        <v>3</v>
      </c>
      <c r="F4">
        <f>SUM(C4:E4)</f>
        <v/>
      </c>
      <c r="G4" s="4">
        <f>E4/F4</f>
        <v/>
      </c>
    </row>
    <row r="5">
      <c r="A5" t="inlineStr">
        <is>
          <t>Clases en franjas fijas de 45 a 60 minutos</t>
        </is>
      </c>
      <c r="B5" t="inlineStr">
        <is>
          <t>Docentes</t>
        </is>
      </c>
      <c r="C5" s="7" t="n">
        <v>4</v>
      </c>
      <c r="D5" s="7" t="n">
        <v>9</v>
      </c>
      <c r="E5" s="7" t="n">
        <v>7</v>
      </c>
      <c r="F5">
        <f>SUM(C5:E5)</f>
        <v/>
      </c>
      <c r="G5" s="4">
        <f>E5/F5</f>
        <v/>
      </c>
    </row>
    <row r="6">
      <c r="A6" t="inlineStr">
        <is>
          <t>Clases en franjas fijas de 45 a 60 minutos</t>
        </is>
      </c>
      <c r="B6" t="inlineStr">
        <is>
          <t>Familias</t>
        </is>
      </c>
      <c r="C6" s="7" t="n">
        <v>9</v>
      </c>
      <c r="D6" s="7" t="n">
        <v>8</v>
      </c>
      <c r="E6" s="7" t="n">
        <v>3</v>
      </c>
      <c r="F6">
        <f>SUM(C6:E6)</f>
        <v/>
      </c>
      <c r="G6" s="4">
        <f>E6/F6</f>
        <v/>
      </c>
    </row>
    <row r="7">
      <c r="A7" t="inlineStr">
        <is>
          <t>Clases en franjas fijas de 45 a 60 minutos</t>
        </is>
      </c>
      <c r="B7" t="inlineStr">
        <is>
          <t>Estudiantes</t>
        </is>
      </c>
      <c r="C7" s="7" t="n">
        <v>3</v>
      </c>
      <c r="D7" s="7" t="n">
        <v>7</v>
      </c>
      <c r="E7" s="7" t="n">
        <v>10</v>
      </c>
      <c r="F7">
        <f>SUM(C7:E7)</f>
        <v/>
      </c>
      <c r="G7" s="4">
        <f>E7/F7</f>
        <v/>
      </c>
    </row>
    <row r="8">
      <c r="A8" t="inlineStr">
        <is>
          <t>Asignaturas separadas</t>
        </is>
      </c>
      <c r="B8" t="inlineStr">
        <is>
          <t>Docentes</t>
        </is>
      </c>
      <c r="C8" s="7" t="n">
        <v>6</v>
      </c>
      <c r="D8" s="7" t="n">
        <v>8</v>
      </c>
      <c r="E8" s="7" t="n">
        <v>6</v>
      </c>
      <c r="F8">
        <f>SUM(C8:E8)</f>
        <v/>
      </c>
      <c r="G8" s="4">
        <f>E8/F8</f>
        <v/>
      </c>
    </row>
    <row r="9">
      <c r="A9" t="inlineStr">
        <is>
          <t>Asignaturas separadas</t>
        </is>
      </c>
      <c r="B9" t="inlineStr">
        <is>
          <t>Familias</t>
        </is>
      </c>
      <c r="C9" s="7" t="n">
        <v>12</v>
      </c>
      <c r="D9" s="7" t="n">
        <v>6</v>
      </c>
      <c r="E9" s="7" t="n">
        <v>2</v>
      </c>
      <c r="F9">
        <f>SUM(C9:E9)</f>
        <v/>
      </c>
      <c r="G9" s="4">
        <f>E9/F9</f>
        <v/>
      </c>
    </row>
    <row r="10">
      <c r="A10" t="inlineStr">
        <is>
          <t>Asignaturas separadas</t>
        </is>
      </c>
      <c r="B10" t="inlineStr">
        <is>
          <t>Estudiantes</t>
        </is>
      </c>
      <c r="C10" s="7" t="n">
        <v>4</v>
      </c>
      <c r="D10" s="7" t="n">
        <v>8</v>
      </c>
      <c r="E10" s="7" t="n">
        <v>8</v>
      </c>
      <c r="F10">
        <f>SUM(C10:E10)</f>
        <v/>
      </c>
      <c r="G10" s="4">
        <f>E10/F10</f>
        <v/>
      </c>
    </row>
    <row r="11">
      <c r="A11" t="inlineStr">
        <is>
          <t>Un docente para 30 o más estudiantes</t>
        </is>
      </c>
      <c r="B11" t="inlineStr">
        <is>
          <t>Docentes</t>
        </is>
      </c>
      <c r="C11" s="7" t="n">
        <v>1</v>
      </c>
      <c r="D11" s="7" t="n">
        <v>5</v>
      </c>
      <c r="E11" s="7" t="n">
        <v>14</v>
      </c>
      <c r="F11">
        <f>SUM(C11:E11)</f>
        <v/>
      </c>
      <c r="G11" s="4">
        <f>E11/F11</f>
        <v/>
      </c>
    </row>
    <row r="12">
      <c r="A12" t="inlineStr">
        <is>
          <t>Un docente para 30 o más estudiantes</t>
        </is>
      </c>
      <c r="B12" t="inlineStr">
        <is>
          <t>Familias</t>
        </is>
      </c>
      <c r="C12" s="7" t="n">
        <v>5</v>
      </c>
      <c r="D12" s="7" t="n">
        <v>8</v>
      </c>
      <c r="E12" s="7" t="n">
        <v>7</v>
      </c>
      <c r="F12">
        <f>SUM(C12:E12)</f>
        <v/>
      </c>
      <c r="G12" s="4">
        <f>E12/F12</f>
        <v/>
      </c>
    </row>
    <row r="13">
      <c r="A13" t="inlineStr">
        <is>
          <t>Un docente para 30 o más estudiantes</t>
        </is>
      </c>
      <c r="B13" t="inlineStr">
        <is>
          <t>Estudiantes</t>
        </is>
      </c>
      <c r="C13" s="7" t="n">
        <v>4</v>
      </c>
      <c r="D13" s="7" t="n">
        <v>6</v>
      </c>
      <c r="E13" s="7" t="n">
        <v>10</v>
      </c>
      <c r="F13">
        <f>SUM(C13:E13)</f>
        <v/>
      </c>
      <c r="G13" s="4">
        <f>E13/F13</f>
        <v/>
      </c>
    </row>
    <row r="14">
      <c r="A14" t="inlineStr">
        <is>
          <t>Notas numéricas por periodo</t>
        </is>
      </c>
      <c r="B14" t="inlineStr">
        <is>
          <t>Docentes</t>
        </is>
      </c>
      <c r="C14" s="7" t="n">
        <v>5</v>
      </c>
      <c r="D14" s="7" t="n">
        <v>8</v>
      </c>
      <c r="E14" s="7" t="n">
        <v>7</v>
      </c>
      <c r="F14">
        <f>SUM(C14:E14)</f>
        <v/>
      </c>
      <c r="G14" s="4">
        <f>E14/F14</f>
        <v/>
      </c>
    </row>
    <row r="15">
      <c r="A15" t="inlineStr">
        <is>
          <t>Notas numéricas por periodo</t>
        </is>
      </c>
      <c r="B15" t="inlineStr">
        <is>
          <t>Familias</t>
        </is>
      </c>
      <c r="C15" s="7" t="n">
        <v>11</v>
      </c>
      <c r="D15" s="7" t="n">
        <v>6</v>
      </c>
      <c r="E15" s="7" t="n">
        <v>3</v>
      </c>
      <c r="F15">
        <f>SUM(C15:E15)</f>
        <v/>
      </c>
      <c r="G15" s="4">
        <f>E15/F15</f>
        <v/>
      </c>
    </row>
    <row r="16">
      <c r="A16" t="inlineStr">
        <is>
          <t>Notas numéricas por periodo</t>
        </is>
      </c>
      <c r="B16" t="inlineStr">
        <is>
          <t>Estudiantes</t>
        </is>
      </c>
      <c r="C16" s="7" t="n">
        <v>3</v>
      </c>
      <c r="D16" s="7" t="n">
        <v>6</v>
      </c>
      <c r="E16" s="7" t="n">
        <v>11</v>
      </c>
      <c r="F16">
        <f>SUM(C16:E16)</f>
        <v/>
      </c>
      <c r="G16" s="4">
        <f>E16/F16</f>
        <v/>
      </c>
    </row>
    <row r="17">
      <c r="A17" t="inlineStr">
        <is>
          <t>Exámenes escritos como evidencia principal</t>
        </is>
      </c>
      <c r="B17" t="inlineStr">
        <is>
          <t>Docentes</t>
        </is>
      </c>
      <c r="C17" s="7" t="n">
        <v>3</v>
      </c>
      <c r="D17" s="7" t="n">
        <v>9</v>
      </c>
      <c r="E17" s="7" t="n">
        <v>8</v>
      </c>
      <c r="F17">
        <f>SUM(C17:E17)</f>
        <v/>
      </c>
      <c r="G17" s="4">
        <f>E17/F17</f>
        <v/>
      </c>
    </row>
    <row r="18">
      <c r="A18" t="inlineStr">
        <is>
          <t>Exámenes escritos como evidencia principal</t>
        </is>
      </c>
      <c r="B18" t="inlineStr">
        <is>
          <t>Familias</t>
        </is>
      </c>
      <c r="C18" s="7" t="n">
        <v>10</v>
      </c>
      <c r="D18" s="7" t="n">
        <v>7</v>
      </c>
      <c r="E18" s="7" t="n">
        <v>3</v>
      </c>
      <c r="F18">
        <f>SUM(C18:E18)</f>
        <v/>
      </c>
      <c r="G18" s="4">
        <f>E18/F18</f>
        <v/>
      </c>
    </row>
    <row r="19">
      <c r="A19" t="inlineStr">
        <is>
          <t>Exámenes escritos como evidencia principal</t>
        </is>
      </c>
      <c r="B19" t="inlineStr">
        <is>
          <t>Estudiantes</t>
        </is>
      </c>
      <c r="C19" s="7" t="n">
        <v>4</v>
      </c>
      <c r="D19" s="7" t="n">
        <v>7</v>
      </c>
      <c r="E19" s="7" t="n">
        <v>9</v>
      </c>
      <c r="F19">
        <f>SUM(C19:E19)</f>
        <v/>
      </c>
      <c r="G19" s="4">
        <f>E19/F19</f>
        <v/>
      </c>
    </row>
    <row r="20">
      <c r="A20" t="inlineStr">
        <is>
          <t>Calendario de 40 semanas con vacaciones largas</t>
        </is>
      </c>
      <c r="B20" t="inlineStr">
        <is>
          <t>Docentes</t>
        </is>
      </c>
      <c r="C20" s="7" t="n">
        <v>12</v>
      </c>
      <c r="D20" s="7" t="n">
        <v>6</v>
      </c>
      <c r="E20" s="7" t="n">
        <v>2</v>
      </c>
      <c r="F20">
        <f>SUM(C20:E20)</f>
        <v/>
      </c>
      <c r="G20" s="4">
        <f>E20/F20</f>
        <v/>
      </c>
    </row>
    <row r="21">
      <c r="A21" t="inlineStr">
        <is>
          <t>Calendario de 40 semanas con vacaciones largas</t>
        </is>
      </c>
      <c r="B21" t="inlineStr">
        <is>
          <t>Familias</t>
        </is>
      </c>
      <c r="C21" s="7" t="n">
        <v>13</v>
      </c>
      <c r="D21" s="7" t="n">
        <v>5</v>
      </c>
      <c r="E21" s="7" t="n">
        <v>2</v>
      </c>
      <c r="F21">
        <f>SUM(C21:E21)</f>
        <v/>
      </c>
      <c r="G21" s="4">
        <f>E21/F21</f>
        <v/>
      </c>
    </row>
    <row r="22">
      <c r="A22" t="inlineStr">
        <is>
          <t>Calendario de 40 semanas con vacaciones largas</t>
        </is>
      </c>
      <c r="B22" t="inlineStr">
        <is>
          <t>Estudiantes</t>
        </is>
      </c>
      <c r="C22" s="7" t="n">
        <v>11</v>
      </c>
      <c r="D22" s="7" t="n">
        <v>6</v>
      </c>
      <c r="E22" s="7" t="n">
        <v>3</v>
      </c>
      <c r="F22">
        <f>SUM(C22:E22)</f>
        <v/>
      </c>
      <c r="G22" s="4">
        <f>E22/F22</f>
        <v/>
      </c>
    </row>
    <row r="23">
      <c r="A23" t="inlineStr">
        <is>
          <t>Aulas con pupitres en filas</t>
        </is>
      </c>
      <c r="B23" t="inlineStr">
        <is>
          <t>Docentes</t>
        </is>
      </c>
      <c r="C23" s="7" t="n">
        <v>5</v>
      </c>
      <c r="D23" s="7" t="n">
        <v>7</v>
      </c>
      <c r="E23" s="7" t="n">
        <v>8</v>
      </c>
      <c r="F23">
        <f>SUM(C23:E23)</f>
        <v/>
      </c>
      <c r="G23" s="4">
        <f>E23/F23</f>
        <v/>
      </c>
    </row>
    <row r="24">
      <c r="A24" t="inlineStr">
        <is>
          <t>Aulas con pupitres en filas</t>
        </is>
      </c>
      <c r="B24" t="inlineStr">
        <is>
          <t>Familias</t>
        </is>
      </c>
      <c r="C24" s="7" t="n">
        <v>9</v>
      </c>
      <c r="D24" s="7" t="n">
        <v>8</v>
      </c>
      <c r="E24" s="7" t="n">
        <v>3</v>
      </c>
      <c r="F24">
        <f>SUM(C24:E24)</f>
        <v/>
      </c>
      <c r="G24" s="4">
        <f>E24/F24</f>
        <v/>
      </c>
    </row>
    <row r="25">
      <c r="A25" t="inlineStr">
        <is>
          <t>Aulas con pupitres en filas</t>
        </is>
      </c>
      <c r="B25" t="inlineStr">
        <is>
          <t>Estudiantes</t>
        </is>
      </c>
      <c r="C25" s="7" t="n">
        <v>3</v>
      </c>
      <c r="D25" s="7" t="n">
        <v>6</v>
      </c>
      <c r="E25" s="7" t="n">
        <v>11</v>
      </c>
      <c r="F25">
        <f>SUM(C25:E25)</f>
        <v/>
      </c>
      <c r="G25" s="4">
        <f>E25/F25</f>
        <v/>
      </c>
    </row>
    <row r="26">
      <c r="A26" t="inlineStr">
        <is>
          <t>Inicio de la jornada muy temprano</t>
        </is>
      </c>
      <c r="B26" t="inlineStr">
        <is>
          <t>Docentes</t>
        </is>
      </c>
      <c r="C26" s="7" t="n">
        <v>6</v>
      </c>
      <c r="D26" s="7" t="n">
        <v>6</v>
      </c>
      <c r="E26" s="7" t="n">
        <v>8</v>
      </c>
      <c r="F26">
        <f>SUM(C26:E26)</f>
        <v/>
      </c>
      <c r="G26" s="4">
        <f>E26/F26</f>
        <v/>
      </c>
    </row>
    <row r="27">
      <c r="A27" t="inlineStr">
        <is>
          <t>Inicio de la jornada muy temprano</t>
        </is>
      </c>
      <c r="B27" t="inlineStr">
        <is>
          <t>Familias</t>
        </is>
      </c>
      <c r="C27" s="7" t="n">
        <v>7</v>
      </c>
      <c r="D27" s="7" t="n">
        <v>6</v>
      </c>
      <c r="E27" s="7" t="n">
        <v>7</v>
      </c>
      <c r="F27">
        <f>SUM(C27:E27)</f>
        <v/>
      </c>
      <c r="G27" s="4">
        <f>E27/F27</f>
        <v/>
      </c>
    </row>
    <row r="28">
      <c r="A28" t="inlineStr">
        <is>
          <t>Inicio de la jornada muy temprano</t>
        </is>
      </c>
      <c r="B28" t="inlineStr">
        <is>
          <t>Estudiantes</t>
        </is>
      </c>
      <c r="C28" s="7" t="n">
        <v>1</v>
      </c>
      <c r="D28" s="7" t="n">
        <v>3</v>
      </c>
      <c r="E28" s="7" t="n">
        <v>16</v>
      </c>
      <c r="F28">
        <f>SUM(C28:E28)</f>
        <v/>
      </c>
      <c r="G28" s="4">
        <f>E28/F28</f>
        <v/>
      </c>
    </row>
    <row r="29">
      <c r="A29" t="inlineStr">
        <is>
          <t>Tareas para la casa</t>
        </is>
      </c>
      <c r="B29" t="inlineStr">
        <is>
          <t>Docentes</t>
        </is>
      </c>
      <c r="C29" s="7" t="n">
        <v>6</v>
      </c>
      <c r="D29" s="7" t="n">
        <v>9</v>
      </c>
      <c r="E29" s="7" t="n">
        <v>5</v>
      </c>
      <c r="F29">
        <f>SUM(C29:E29)</f>
        <v/>
      </c>
      <c r="G29" s="4">
        <f>E29/F29</f>
        <v/>
      </c>
    </row>
    <row r="30">
      <c r="A30" t="inlineStr">
        <is>
          <t>Tareas para la casa</t>
        </is>
      </c>
      <c r="B30" t="inlineStr">
        <is>
          <t>Familias</t>
        </is>
      </c>
      <c r="C30" s="7" t="n">
        <v>12</v>
      </c>
      <c r="D30" s="7" t="n">
        <v>6</v>
      </c>
      <c r="E30" s="7" t="n">
        <v>2</v>
      </c>
      <c r="F30">
        <f>SUM(C30:E30)</f>
        <v/>
      </c>
      <c r="G30" s="4">
        <f>E30/F30</f>
        <v/>
      </c>
    </row>
    <row r="31">
      <c r="A31" t="inlineStr">
        <is>
          <t>Tareas para la casa</t>
        </is>
      </c>
      <c r="B31" t="inlineStr">
        <is>
          <t>Estudiantes</t>
        </is>
      </c>
      <c r="C31" s="7" t="n">
        <v>2</v>
      </c>
      <c r="D31" s="7" t="n">
        <v>5</v>
      </c>
      <c r="E31" s="7" t="n">
        <v>13</v>
      </c>
      <c r="F31">
        <f>SUM(C31:E31)</f>
        <v/>
      </c>
      <c r="G31" s="4">
        <f>E31/F31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6" customWidth="1" min="3" max="3"/>
    <col width="12" customWidth="1" min="4" max="4"/>
    <col width="12" customWidth="1" min="5" max="5"/>
    <col width="14" customWidth="1" min="6" max="6"/>
    <col width="14" customWidth="1" min="7" max="7"/>
    <col width="20" customWidth="1" min="8" max="8"/>
    <col width="36" customWidth="1" min="9" max="9"/>
  </cols>
  <sheetData>
    <row r="1" ht="48" customHeight="1">
      <c r="A1" s="6" t="inlineStr">
        <is>
          <t>Rasgo de la escuela</t>
        </is>
      </c>
      <c r="B1" s="6" t="inlineStr">
        <is>
          <t>Cambiaría (todos)</t>
        </is>
      </c>
      <c r="C1" s="6" t="inlineStr">
        <is>
          <t>% que cambiaría (todos)</t>
        </is>
      </c>
      <c r="D1" s="6" t="inlineStr">
        <is>
          <t>% docentes</t>
        </is>
      </c>
      <c r="E1" s="6" t="inlineStr">
        <is>
          <t>% familias</t>
        </is>
      </c>
      <c r="F1" s="6" t="inlineStr">
        <is>
          <t>% estudiantes</t>
        </is>
      </c>
      <c r="G1" s="6" t="inlineStr">
        <is>
          <t>Brecha entre grupos</t>
        </is>
      </c>
      <c r="H1" s="6" t="inlineStr">
        <is>
          <t>Con deseo de cambio en los tres grupos</t>
        </is>
      </c>
      <c r="I1" s="6" t="inlineStr">
        <is>
          <t>Lectura</t>
        </is>
      </c>
    </row>
    <row r="2">
      <c r="A2" t="inlineStr">
        <is>
          <t>Grupos por edad (un grado por año)</t>
        </is>
      </c>
      <c r="B2">
        <f>SUMIFS(Datos!$E$2:$E$31,Datos!$A$2:$A$31,A2)</f>
        <v/>
      </c>
      <c r="C2" s="4">
        <f>B2/SUMIFS(Datos!$F$2:$F$31,Datos!$A$2:$A$31,A2)</f>
        <v/>
      </c>
      <c r="D2" s="4">
        <f>SUMIFS(Datos!$E$2:$E$31,Datos!$A$2:$A$31,$A2,Datos!$B$2:$B$31,"Docentes")/SUMIFS(Datos!$F$2:$F$31,Datos!$A$2:$A$31,$A2,Datos!$B$2:$B$31,"Docentes")</f>
        <v/>
      </c>
      <c r="E2" s="4">
        <f>SUMIFS(Datos!$E$2:$E$31,Datos!$A$2:$A$31,$A2,Datos!$B$2:$B$31,"Familias")/SUMIFS(Datos!$F$2:$F$31,Datos!$A$2:$A$31,$A2,Datos!$B$2:$B$31,"Familias")</f>
        <v/>
      </c>
      <c r="F2" s="4">
        <f>SUMIFS(Datos!$E$2:$E$31,Datos!$A$2:$A$31,$A2,Datos!$B$2:$B$31,"Estudiantes")/SUMIFS(Datos!$F$2:$F$31,Datos!$A$2:$A$31,$A2,Datos!$B$2:$B$31,"Estudiantes")</f>
        <v/>
      </c>
      <c r="G2" s="4">
        <f>MAX(D2:F2)-MIN(D2:F2)</f>
        <v/>
      </c>
      <c r="H2">
        <f>IF(MIN(D2:F2)&gt;=Parametros!$B$3,"Sí","No")</f>
        <v/>
      </c>
      <c r="I2">
        <f>IF(H2="Sí","Consenso para cambiar",IF(G2&gt;=Parametros!$B$4,"Brecha: los grupos piensan distinto","Sin urgencia compartida"))</f>
        <v/>
      </c>
    </row>
    <row r="3">
      <c r="A3" t="inlineStr">
        <is>
          <t>Clases en franjas fijas de 45 a 60 minutos</t>
        </is>
      </c>
      <c r="B3">
        <f>SUMIFS(Datos!$E$2:$E$31,Datos!$A$2:$A$31,A3)</f>
        <v/>
      </c>
      <c r="C3" s="4">
        <f>B3/SUMIFS(Datos!$F$2:$F$31,Datos!$A$2:$A$31,A3)</f>
        <v/>
      </c>
      <c r="D3" s="4">
        <f>SUMIFS(Datos!$E$2:$E$31,Datos!$A$2:$A$31,$A3,Datos!$B$2:$B$31,"Docentes")/SUMIFS(Datos!$F$2:$F$31,Datos!$A$2:$A$31,$A3,Datos!$B$2:$B$31,"Docentes")</f>
        <v/>
      </c>
      <c r="E3" s="4">
        <f>SUMIFS(Datos!$E$2:$E$31,Datos!$A$2:$A$31,$A3,Datos!$B$2:$B$31,"Familias")/SUMIFS(Datos!$F$2:$F$31,Datos!$A$2:$A$31,$A3,Datos!$B$2:$B$31,"Familias")</f>
        <v/>
      </c>
      <c r="F3" s="4">
        <f>SUMIFS(Datos!$E$2:$E$31,Datos!$A$2:$A$31,$A3,Datos!$B$2:$B$31,"Estudiantes")/SUMIFS(Datos!$F$2:$F$31,Datos!$A$2:$A$31,$A3,Datos!$B$2:$B$31,"Estudiantes")</f>
        <v/>
      </c>
      <c r="G3" s="4">
        <f>MAX(D3:F3)-MIN(D3:F3)</f>
        <v/>
      </c>
      <c r="H3">
        <f>IF(MIN(D3:F3)&gt;=Parametros!$B$3,"Sí","No")</f>
        <v/>
      </c>
      <c r="I3">
        <f>IF(H3="Sí","Consenso para cambiar",IF(G3&gt;=Parametros!$B$4,"Brecha: los grupos piensan distinto","Sin urgencia compartida"))</f>
        <v/>
      </c>
    </row>
    <row r="4">
      <c r="A4" t="inlineStr">
        <is>
          <t>Asignaturas separadas</t>
        </is>
      </c>
      <c r="B4">
        <f>SUMIFS(Datos!$E$2:$E$31,Datos!$A$2:$A$31,A4)</f>
        <v/>
      </c>
      <c r="C4" s="4">
        <f>B4/SUMIFS(Datos!$F$2:$F$31,Datos!$A$2:$A$31,A4)</f>
        <v/>
      </c>
      <c r="D4" s="4">
        <f>SUMIFS(Datos!$E$2:$E$31,Datos!$A$2:$A$31,$A4,Datos!$B$2:$B$31,"Docentes")/SUMIFS(Datos!$F$2:$F$31,Datos!$A$2:$A$31,$A4,Datos!$B$2:$B$31,"Docentes")</f>
        <v/>
      </c>
      <c r="E4" s="4">
        <f>SUMIFS(Datos!$E$2:$E$31,Datos!$A$2:$A$31,$A4,Datos!$B$2:$B$31,"Familias")/SUMIFS(Datos!$F$2:$F$31,Datos!$A$2:$A$31,$A4,Datos!$B$2:$B$31,"Familias")</f>
        <v/>
      </c>
      <c r="F4" s="4">
        <f>SUMIFS(Datos!$E$2:$E$31,Datos!$A$2:$A$31,$A4,Datos!$B$2:$B$31,"Estudiantes")/SUMIFS(Datos!$F$2:$F$31,Datos!$A$2:$A$31,$A4,Datos!$B$2:$B$31,"Estudiantes")</f>
        <v/>
      </c>
      <c r="G4" s="4">
        <f>MAX(D4:F4)-MIN(D4:F4)</f>
        <v/>
      </c>
      <c r="H4">
        <f>IF(MIN(D4:F4)&gt;=Parametros!$B$3,"Sí","No")</f>
        <v/>
      </c>
      <c r="I4">
        <f>IF(H4="Sí","Consenso para cambiar",IF(G4&gt;=Parametros!$B$4,"Brecha: los grupos piensan distinto","Sin urgencia compartida"))</f>
        <v/>
      </c>
    </row>
    <row r="5">
      <c r="A5" t="inlineStr">
        <is>
          <t>Un docente para 30 o más estudiantes</t>
        </is>
      </c>
      <c r="B5">
        <f>SUMIFS(Datos!$E$2:$E$31,Datos!$A$2:$A$31,A5)</f>
        <v/>
      </c>
      <c r="C5" s="4">
        <f>B5/SUMIFS(Datos!$F$2:$F$31,Datos!$A$2:$A$31,A5)</f>
        <v/>
      </c>
      <c r="D5" s="4">
        <f>SUMIFS(Datos!$E$2:$E$31,Datos!$A$2:$A$31,$A5,Datos!$B$2:$B$31,"Docentes")/SUMIFS(Datos!$F$2:$F$31,Datos!$A$2:$A$31,$A5,Datos!$B$2:$B$31,"Docentes")</f>
        <v/>
      </c>
      <c r="E5" s="4">
        <f>SUMIFS(Datos!$E$2:$E$31,Datos!$A$2:$A$31,$A5,Datos!$B$2:$B$31,"Familias")/SUMIFS(Datos!$F$2:$F$31,Datos!$A$2:$A$31,$A5,Datos!$B$2:$B$31,"Familias")</f>
        <v/>
      </c>
      <c r="F5" s="4">
        <f>SUMIFS(Datos!$E$2:$E$31,Datos!$A$2:$A$31,$A5,Datos!$B$2:$B$31,"Estudiantes")/SUMIFS(Datos!$F$2:$F$31,Datos!$A$2:$A$31,$A5,Datos!$B$2:$B$31,"Estudiantes")</f>
        <v/>
      </c>
      <c r="G5" s="4">
        <f>MAX(D5:F5)-MIN(D5:F5)</f>
        <v/>
      </c>
      <c r="H5">
        <f>IF(MIN(D5:F5)&gt;=Parametros!$B$3,"Sí","No")</f>
        <v/>
      </c>
      <c r="I5">
        <f>IF(H5="Sí","Consenso para cambiar",IF(G5&gt;=Parametros!$B$4,"Brecha: los grupos piensan distinto","Sin urgencia compartida"))</f>
        <v/>
      </c>
    </row>
    <row r="6">
      <c r="A6" t="inlineStr">
        <is>
          <t>Notas numéricas por periodo</t>
        </is>
      </c>
      <c r="B6">
        <f>SUMIFS(Datos!$E$2:$E$31,Datos!$A$2:$A$31,A6)</f>
        <v/>
      </c>
      <c r="C6" s="4">
        <f>B6/SUMIFS(Datos!$F$2:$F$31,Datos!$A$2:$A$31,A6)</f>
        <v/>
      </c>
      <c r="D6" s="4">
        <f>SUMIFS(Datos!$E$2:$E$31,Datos!$A$2:$A$31,$A6,Datos!$B$2:$B$31,"Docentes")/SUMIFS(Datos!$F$2:$F$31,Datos!$A$2:$A$31,$A6,Datos!$B$2:$B$31,"Docentes")</f>
        <v/>
      </c>
      <c r="E6" s="4">
        <f>SUMIFS(Datos!$E$2:$E$31,Datos!$A$2:$A$31,$A6,Datos!$B$2:$B$31,"Familias")/SUMIFS(Datos!$F$2:$F$31,Datos!$A$2:$A$31,$A6,Datos!$B$2:$B$31,"Familias")</f>
        <v/>
      </c>
      <c r="F6" s="4">
        <f>SUMIFS(Datos!$E$2:$E$31,Datos!$A$2:$A$31,$A6,Datos!$B$2:$B$31,"Estudiantes")/SUMIFS(Datos!$F$2:$F$31,Datos!$A$2:$A$31,$A6,Datos!$B$2:$B$31,"Estudiantes")</f>
        <v/>
      </c>
      <c r="G6" s="4">
        <f>MAX(D6:F6)-MIN(D6:F6)</f>
        <v/>
      </c>
      <c r="H6">
        <f>IF(MIN(D6:F6)&gt;=Parametros!$B$3,"Sí","No")</f>
        <v/>
      </c>
      <c r="I6">
        <f>IF(H6="Sí","Consenso para cambiar",IF(G6&gt;=Parametros!$B$4,"Brecha: los grupos piensan distinto","Sin urgencia compartida"))</f>
        <v/>
      </c>
    </row>
    <row r="7">
      <c r="A7" t="inlineStr">
        <is>
          <t>Exámenes escritos como evidencia principal</t>
        </is>
      </c>
      <c r="B7">
        <f>SUMIFS(Datos!$E$2:$E$31,Datos!$A$2:$A$31,A7)</f>
        <v/>
      </c>
      <c r="C7" s="4">
        <f>B7/SUMIFS(Datos!$F$2:$F$31,Datos!$A$2:$A$31,A7)</f>
        <v/>
      </c>
      <c r="D7" s="4">
        <f>SUMIFS(Datos!$E$2:$E$31,Datos!$A$2:$A$31,$A7,Datos!$B$2:$B$31,"Docentes")/SUMIFS(Datos!$F$2:$F$31,Datos!$A$2:$A$31,$A7,Datos!$B$2:$B$31,"Docentes")</f>
        <v/>
      </c>
      <c r="E7" s="4">
        <f>SUMIFS(Datos!$E$2:$E$31,Datos!$A$2:$A$31,$A7,Datos!$B$2:$B$31,"Familias")/SUMIFS(Datos!$F$2:$F$31,Datos!$A$2:$A$31,$A7,Datos!$B$2:$B$31,"Familias")</f>
        <v/>
      </c>
      <c r="F7" s="4">
        <f>SUMIFS(Datos!$E$2:$E$31,Datos!$A$2:$A$31,$A7,Datos!$B$2:$B$31,"Estudiantes")/SUMIFS(Datos!$F$2:$F$31,Datos!$A$2:$A$31,$A7,Datos!$B$2:$B$31,"Estudiantes")</f>
        <v/>
      </c>
      <c r="G7" s="4">
        <f>MAX(D7:F7)-MIN(D7:F7)</f>
        <v/>
      </c>
      <c r="H7">
        <f>IF(MIN(D7:F7)&gt;=Parametros!$B$3,"Sí","No")</f>
        <v/>
      </c>
      <c r="I7">
        <f>IF(H7="Sí","Consenso para cambiar",IF(G7&gt;=Parametros!$B$4,"Brecha: los grupos piensan distinto","Sin urgencia compartida"))</f>
        <v/>
      </c>
    </row>
    <row r="8">
      <c r="A8" t="inlineStr">
        <is>
          <t>Calendario de 40 semanas con vacaciones largas</t>
        </is>
      </c>
      <c r="B8">
        <f>SUMIFS(Datos!$E$2:$E$31,Datos!$A$2:$A$31,A8)</f>
        <v/>
      </c>
      <c r="C8" s="4">
        <f>B8/SUMIFS(Datos!$F$2:$F$31,Datos!$A$2:$A$31,A8)</f>
        <v/>
      </c>
      <c r="D8" s="4">
        <f>SUMIFS(Datos!$E$2:$E$31,Datos!$A$2:$A$31,$A8,Datos!$B$2:$B$31,"Docentes")/SUMIFS(Datos!$F$2:$F$31,Datos!$A$2:$A$31,$A8,Datos!$B$2:$B$31,"Docentes")</f>
        <v/>
      </c>
      <c r="E8" s="4">
        <f>SUMIFS(Datos!$E$2:$E$31,Datos!$A$2:$A$31,$A8,Datos!$B$2:$B$31,"Familias")/SUMIFS(Datos!$F$2:$F$31,Datos!$A$2:$A$31,$A8,Datos!$B$2:$B$31,"Familias")</f>
        <v/>
      </c>
      <c r="F8" s="4">
        <f>SUMIFS(Datos!$E$2:$E$31,Datos!$A$2:$A$31,$A8,Datos!$B$2:$B$31,"Estudiantes")/SUMIFS(Datos!$F$2:$F$31,Datos!$A$2:$A$31,$A8,Datos!$B$2:$B$31,"Estudiantes")</f>
        <v/>
      </c>
      <c r="G8" s="4">
        <f>MAX(D8:F8)-MIN(D8:F8)</f>
        <v/>
      </c>
      <c r="H8">
        <f>IF(MIN(D8:F8)&gt;=Parametros!$B$3,"Sí","No")</f>
        <v/>
      </c>
      <c r="I8">
        <f>IF(H8="Sí","Consenso para cambiar",IF(G8&gt;=Parametros!$B$4,"Brecha: los grupos piensan distinto","Sin urgencia compartida"))</f>
        <v/>
      </c>
    </row>
    <row r="9">
      <c r="A9" t="inlineStr">
        <is>
          <t>Aulas con pupitres en filas</t>
        </is>
      </c>
      <c r="B9">
        <f>SUMIFS(Datos!$E$2:$E$31,Datos!$A$2:$A$31,A9)</f>
        <v/>
      </c>
      <c r="C9" s="4">
        <f>B9/SUMIFS(Datos!$F$2:$F$31,Datos!$A$2:$A$31,A9)</f>
        <v/>
      </c>
      <c r="D9" s="4">
        <f>SUMIFS(Datos!$E$2:$E$31,Datos!$A$2:$A$31,$A9,Datos!$B$2:$B$31,"Docentes")/SUMIFS(Datos!$F$2:$F$31,Datos!$A$2:$A$31,$A9,Datos!$B$2:$B$31,"Docentes")</f>
        <v/>
      </c>
      <c r="E9" s="4">
        <f>SUMIFS(Datos!$E$2:$E$31,Datos!$A$2:$A$31,$A9,Datos!$B$2:$B$31,"Familias")/SUMIFS(Datos!$F$2:$F$31,Datos!$A$2:$A$31,$A9,Datos!$B$2:$B$31,"Familias")</f>
        <v/>
      </c>
      <c r="F9" s="4">
        <f>SUMIFS(Datos!$E$2:$E$31,Datos!$A$2:$A$31,$A9,Datos!$B$2:$B$31,"Estudiantes")/SUMIFS(Datos!$F$2:$F$31,Datos!$A$2:$A$31,$A9,Datos!$B$2:$B$31,"Estudiantes")</f>
        <v/>
      </c>
      <c r="G9" s="4">
        <f>MAX(D9:F9)-MIN(D9:F9)</f>
        <v/>
      </c>
      <c r="H9">
        <f>IF(MIN(D9:F9)&gt;=Parametros!$B$3,"Sí","No")</f>
        <v/>
      </c>
      <c r="I9">
        <f>IF(H9="Sí","Consenso para cambiar",IF(G9&gt;=Parametros!$B$4,"Brecha: los grupos piensan distinto","Sin urgencia compartida"))</f>
        <v/>
      </c>
    </row>
    <row r="10">
      <c r="A10" t="inlineStr">
        <is>
          <t>Inicio de la jornada muy temprano</t>
        </is>
      </c>
      <c r="B10">
        <f>SUMIFS(Datos!$E$2:$E$31,Datos!$A$2:$A$31,A10)</f>
        <v/>
      </c>
      <c r="C10" s="4">
        <f>B10/SUMIFS(Datos!$F$2:$F$31,Datos!$A$2:$A$31,A10)</f>
        <v/>
      </c>
      <c r="D10" s="4">
        <f>SUMIFS(Datos!$E$2:$E$31,Datos!$A$2:$A$31,$A10,Datos!$B$2:$B$31,"Docentes")/SUMIFS(Datos!$F$2:$F$31,Datos!$A$2:$A$31,$A10,Datos!$B$2:$B$31,"Docentes")</f>
        <v/>
      </c>
      <c r="E10" s="4">
        <f>SUMIFS(Datos!$E$2:$E$31,Datos!$A$2:$A$31,$A10,Datos!$B$2:$B$31,"Familias")/SUMIFS(Datos!$F$2:$F$31,Datos!$A$2:$A$31,$A10,Datos!$B$2:$B$31,"Familias")</f>
        <v/>
      </c>
      <c r="F10" s="4">
        <f>SUMIFS(Datos!$E$2:$E$31,Datos!$A$2:$A$31,$A10,Datos!$B$2:$B$31,"Estudiantes")/SUMIFS(Datos!$F$2:$F$31,Datos!$A$2:$A$31,$A10,Datos!$B$2:$B$31,"Estudiantes")</f>
        <v/>
      </c>
      <c r="G10" s="4">
        <f>MAX(D10:F10)-MIN(D10:F10)</f>
        <v/>
      </c>
      <c r="H10">
        <f>IF(MIN(D10:F10)&gt;=Parametros!$B$3,"Sí","No")</f>
        <v/>
      </c>
      <c r="I10">
        <f>IF(H10="Sí","Consenso para cambiar",IF(G10&gt;=Parametros!$B$4,"Brecha: los grupos piensan distinto","Sin urgencia compartida"))</f>
        <v/>
      </c>
    </row>
    <row r="11">
      <c r="A11" t="inlineStr">
        <is>
          <t>Tareas para la casa</t>
        </is>
      </c>
      <c r="B11">
        <f>SUMIFS(Datos!$E$2:$E$31,Datos!$A$2:$A$31,A11)</f>
        <v/>
      </c>
      <c r="C11" s="4">
        <f>B11/SUMIFS(Datos!$F$2:$F$31,Datos!$A$2:$A$31,A11)</f>
        <v/>
      </c>
      <c r="D11" s="4">
        <f>SUMIFS(Datos!$E$2:$E$31,Datos!$A$2:$A$31,$A11,Datos!$B$2:$B$31,"Docentes")/SUMIFS(Datos!$F$2:$F$31,Datos!$A$2:$A$31,$A11,Datos!$B$2:$B$31,"Docentes")</f>
        <v/>
      </c>
      <c r="E11" s="4">
        <f>SUMIFS(Datos!$E$2:$E$31,Datos!$A$2:$A$31,$A11,Datos!$B$2:$B$31,"Familias")/SUMIFS(Datos!$F$2:$F$31,Datos!$A$2:$A$31,$A11,Datos!$B$2:$B$31,"Familias")</f>
        <v/>
      </c>
      <c r="F11" s="4">
        <f>SUMIFS(Datos!$E$2:$E$31,Datos!$A$2:$A$31,$A11,Datos!$B$2:$B$31,"Estudiantes")/SUMIFS(Datos!$F$2:$F$31,Datos!$A$2:$A$31,$A11,Datos!$B$2:$B$31,"Estudiantes")</f>
        <v/>
      </c>
      <c r="G11" s="4">
        <f>MAX(D11:F11)-MIN(D11:F11)</f>
        <v/>
      </c>
      <c r="H11">
        <f>IF(MIN(D11:F11)&gt;=Parametros!$B$3,"Sí","No")</f>
        <v/>
      </c>
      <c r="I11">
        <f>IF(H11="Sí","Consenso para cambiar",IF(G11&gt;=Parametros!$B$4,"Brecha: los grupos piensan distinto","Sin urgencia compartida"))</f>
        <v/>
      </c>
    </row>
  </sheetData>
  <conditionalFormatting sqref="I2:I11">
    <cfRule type="expression" priority="1" dxfId="0">
      <formula>LEFT(I2,4)="Cons"</formula>
    </cfRule>
    <cfRule type="expression" priority="2" dxfId="1">
      <formula>LEFT(I2,4)="Brec"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2026-10-11T20:55:00Z</dcterms:created>
  <dcterms:modified xmlns:dcterms="http://purl.org/dc/terms/" xmlns:xsi="http://www.w3.org/2001/XMLSchema-instance" xsi:type="dcterms:W3CDTF">2026-10-11T20:55:00Z</dcterms:modified>
</cp:coreProperties>
</file>