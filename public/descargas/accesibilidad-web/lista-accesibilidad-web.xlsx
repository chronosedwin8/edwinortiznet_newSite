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a_de_verificacion" sheetId="1" state="visible" r:id="rId1"/>
    <sheet xmlns:r="http://schemas.openxmlformats.org/officeDocument/2006/relationships" name="Contras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B4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3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9" fontId="0" fillId="0" borderId="0" pivotButton="0" quotePrefix="0" xfId="0"/>
    <xf numFmtId="0" fontId="2" fillId="3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6" customWidth="1" min="2" max="2"/>
    <col width="8" customWidth="1" min="3" max="3"/>
    <col width="62" customWidth="1" min="4" max="4"/>
    <col width="52" customWidth="1" min="5" max="5"/>
    <col width="14" customWidth="1" min="6" max="6"/>
    <col width="16" customWidth="1" min="7" max="7"/>
    <col width="18" customWidth="1" min="8" max="8"/>
  </cols>
  <sheetData>
    <row r="1">
      <c r="A1" s="1" t="inlineStr">
        <is>
          <t>LISTA DE VERIFICACIÓN DE ACCESIBILIDAD WEB PARA FORMULARIOS Y PÁGINAS (basada en criterios WCAG 2.1 y 2.2, nivel A/AA)</t>
        </is>
      </c>
    </row>
    <row r="2">
      <c r="A2" t="inlineStr">
        <is>
          <t>Una revisión automática solo encuentra una parte de los problemas: completa esta lista con pruebas manuales (teclado, zoom, lector de pantalla). Resultado: Cumple, No cumple o No aplica.</t>
        </is>
      </c>
    </row>
    <row r="3">
      <c r="A3" t="inlineStr">
        <is>
          <t>Página o formulario evaluado:</t>
        </is>
      </c>
      <c r="C3" s="2" t="n"/>
    </row>
    <row r="5">
      <c r="A5" s="3" t="inlineStr">
        <is>
          <t>#</t>
        </is>
      </c>
      <c r="B5" s="3" t="inlineStr">
        <is>
          <t>Criterio WCAG</t>
        </is>
      </c>
      <c r="C5" s="3" t="inlineStr">
        <is>
          <t>Nivel</t>
        </is>
      </c>
      <c r="D5" s="3" t="inlineStr">
        <is>
          <t>Qué verificar</t>
        </is>
      </c>
      <c r="E5" s="3" t="inlineStr">
        <is>
          <t>Cómo probarlo</t>
        </is>
      </c>
      <c r="F5" s="3" t="inlineStr">
        <is>
          <t>Resultado</t>
        </is>
      </c>
      <c r="G5" s="3" t="inlineStr">
        <is>
          <t>Prioridad si no cumple</t>
        </is>
      </c>
      <c r="H5" s="3" t="inlineStr">
        <is>
          <t>Responsable</t>
        </is>
      </c>
    </row>
    <row r="6">
      <c r="A6" t="n">
        <v>1</v>
      </c>
      <c r="B6" s="4" t="inlineStr">
        <is>
          <t>1.1.1 Contenido no textual</t>
        </is>
      </c>
      <c r="C6" t="inlineStr">
        <is>
          <t>A</t>
        </is>
      </c>
      <c r="D6" s="4" t="inlineStr">
        <is>
          <t>Cada imagen informativa tiene una alternativa de texto útil; las decorativas, alt vacío</t>
        </is>
      </c>
      <c r="E6" s="4" t="inlineStr">
        <is>
          <t>Revisar el atributo alt; apagar las imágenes y ver si la página se entiende</t>
        </is>
      </c>
      <c r="F6" s="2" t="inlineStr">
        <is>
          <t>No aplica</t>
        </is>
      </c>
      <c r="G6" t="inlineStr">
        <is>
          <t>Alta</t>
        </is>
      </c>
      <c r="H6" s="2" t="n"/>
    </row>
    <row r="7">
      <c r="A7" t="n">
        <v>2</v>
      </c>
      <c r="B7" s="4" t="inlineStr">
        <is>
          <t>1.3.1 Información y relaciones</t>
        </is>
      </c>
      <c r="C7" t="inlineStr">
        <is>
          <t>A</t>
        </is>
      </c>
      <c r="D7" s="4" t="inlineStr">
        <is>
          <t>Encabezados, listas, tablas y etiquetas están marcados con la estructura correcta (no solo con formato visual)</t>
        </is>
      </c>
      <c r="E7" s="4" t="inlineStr">
        <is>
          <t>Recorrer los encabezados con un lector de pantalla o la vista de estructura</t>
        </is>
      </c>
      <c r="F7" s="2" t="inlineStr">
        <is>
          <t>No aplica</t>
        </is>
      </c>
      <c r="G7" t="inlineStr">
        <is>
          <t>Alta</t>
        </is>
      </c>
      <c r="H7" s="2" t="n"/>
    </row>
    <row r="8">
      <c r="A8" t="n">
        <v>3</v>
      </c>
      <c r="B8" s="4" t="inlineStr">
        <is>
          <t>1.4.1 Uso del color</t>
        </is>
      </c>
      <c r="C8" t="inlineStr">
        <is>
          <t>A</t>
        </is>
      </c>
      <c r="D8" s="4" t="inlineStr">
        <is>
          <t>La información no depende solo del color (por ejemplo, un campo con error solo en rojo)</t>
        </is>
      </c>
      <c r="E8" s="4" t="inlineStr">
        <is>
          <t>Ver la página en escala de grises</t>
        </is>
      </c>
      <c r="F8" s="2" t="inlineStr">
        <is>
          <t>No aplica</t>
        </is>
      </c>
      <c r="G8" t="inlineStr">
        <is>
          <t>Media</t>
        </is>
      </c>
      <c r="H8" s="2" t="n"/>
    </row>
    <row r="9">
      <c r="A9" t="n">
        <v>4</v>
      </c>
      <c r="B9" s="4" t="inlineStr">
        <is>
          <t>1.4.3 Contraste (mínimo)</t>
        </is>
      </c>
      <c r="C9" t="inlineStr">
        <is>
          <t>AA</t>
        </is>
      </c>
      <c r="D9" s="4" t="inlineStr">
        <is>
          <t>Texto normal con contraste de al menos 4,5:1; texto grande, 3:1</t>
        </is>
      </c>
      <c r="E9" s="4" t="inlineStr">
        <is>
          <t>Medir con un verificador de contraste o con el script incluido</t>
        </is>
      </c>
      <c r="F9" s="2" t="inlineStr">
        <is>
          <t>No aplica</t>
        </is>
      </c>
      <c r="G9" t="inlineStr">
        <is>
          <t>Alta</t>
        </is>
      </c>
      <c r="H9" s="2" t="n"/>
    </row>
    <row r="10">
      <c r="A10" t="n">
        <v>5</v>
      </c>
      <c r="B10" s="4" t="inlineStr">
        <is>
          <t>1.4.4 Cambio de tamaño del texto</t>
        </is>
      </c>
      <c r="C10" t="inlineStr">
        <is>
          <t>AA</t>
        </is>
      </c>
      <c r="D10" s="4" t="inlineStr">
        <is>
          <t>Al ampliar el texto al 200 % no se pierde contenido ni funciones</t>
        </is>
      </c>
      <c r="E10" s="4" t="inlineStr">
        <is>
          <t>Ampliar con el navegador al 200 %</t>
        </is>
      </c>
      <c r="F10" s="2" t="inlineStr">
        <is>
          <t>No aplica</t>
        </is>
      </c>
      <c r="G10" t="inlineStr">
        <is>
          <t>Media</t>
        </is>
      </c>
      <c r="H10" s="2" t="n"/>
    </row>
    <row r="11">
      <c r="A11" t="n">
        <v>6</v>
      </c>
      <c r="B11" s="4" t="inlineStr">
        <is>
          <t>1.4.10 Reflujo</t>
        </is>
      </c>
      <c r="C11" t="inlineStr">
        <is>
          <t>AA</t>
        </is>
      </c>
      <c r="D11" s="4" t="inlineStr">
        <is>
          <t>Con zoom al 400 % (o ventana de 320 px) no hay desplazamiento horizontal</t>
        </is>
      </c>
      <c r="E11" s="4" t="inlineStr">
        <is>
          <t>Zoom al 400 % y revisar</t>
        </is>
      </c>
      <c r="F11" s="2" t="inlineStr">
        <is>
          <t>No aplica</t>
        </is>
      </c>
      <c r="G11" t="inlineStr">
        <is>
          <t>Media</t>
        </is>
      </c>
      <c r="H11" s="2" t="n"/>
    </row>
    <row r="12">
      <c r="A12" t="n">
        <v>7</v>
      </c>
      <c r="B12" s="4" t="inlineStr">
        <is>
          <t>2.1.1 Teclado</t>
        </is>
      </c>
      <c r="C12" t="inlineStr">
        <is>
          <t>A</t>
        </is>
      </c>
      <c r="D12" s="4" t="inlineStr">
        <is>
          <t>Todo se puede hacer solo con el teclado (formularios, menús, botones)</t>
        </is>
      </c>
      <c r="E12" s="4" t="inlineStr">
        <is>
          <t>Recorrer con Tab, Mayús+Tab, Enter y Espacio sin usar el ratón</t>
        </is>
      </c>
      <c r="F12" s="2" t="inlineStr">
        <is>
          <t>No aplica</t>
        </is>
      </c>
      <c r="G12" t="inlineStr">
        <is>
          <t>Alta</t>
        </is>
      </c>
      <c r="H12" s="2" t="n"/>
    </row>
    <row r="13">
      <c r="A13" t="n">
        <v>8</v>
      </c>
      <c r="B13" s="4" t="inlineStr">
        <is>
          <t>2.4.2 Página titulada</t>
        </is>
      </c>
      <c r="C13" t="inlineStr">
        <is>
          <t>A</t>
        </is>
      </c>
      <c r="D13" s="4" t="inlineStr">
        <is>
          <t>Cada página tiene un título que la describe</t>
        </is>
      </c>
      <c r="E13" s="4" t="inlineStr">
        <is>
          <t>Mirar la pestaña del navegador</t>
        </is>
      </c>
      <c r="F13" s="2" t="inlineStr">
        <is>
          <t>No aplica</t>
        </is>
      </c>
      <c r="G13" t="inlineStr">
        <is>
          <t>Media</t>
        </is>
      </c>
      <c r="H13" s="2" t="n"/>
    </row>
    <row r="14">
      <c r="A14" t="n">
        <v>9</v>
      </c>
      <c r="B14" s="4" t="inlineStr">
        <is>
          <t>2.4.3 Orden del foco</t>
        </is>
      </c>
      <c r="C14" t="inlineStr">
        <is>
          <t>A</t>
        </is>
      </c>
      <c r="D14" s="4" t="inlineStr">
        <is>
          <t>El orden de tabulación es lógico y sin tabindex positivos</t>
        </is>
      </c>
      <c r="E14" s="4" t="inlineStr">
        <is>
          <t>Recorrer con Tab y comparar con el orden visual</t>
        </is>
      </c>
      <c r="F14" s="2" t="inlineStr">
        <is>
          <t>No aplica</t>
        </is>
      </c>
      <c r="G14" t="inlineStr">
        <is>
          <t>Alta</t>
        </is>
      </c>
      <c r="H14" s="2" t="n"/>
    </row>
    <row r="15">
      <c r="A15" t="n">
        <v>10</v>
      </c>
      <c r="B15" s="4" t="inlineStr">
        <is>
          <t>2.4.4 Propósito de los enlaces</t>
        </is>
      </c>
      <c r="C15" t="inlineStr">
        <is>
          <t>A</t>
        </is>
      </c>
      <c r="D15" s="4" t="inlineStr">
        <is>
          <t>El texto del enlace dice a dónde lleva (evitar «haz clic aquí»)</t>
        </is>
      </c>
      <c r="E15" s="4" t="inlineStr">
        <is>
          <t>Listar los enlaces y leerlos fuera de contexto</t>
        </is>
      </c>
      <c r="F15" s="2" t="inlineStr">
        <is>
          <t>No aplica</t>
        </is>
      </c>
      <c r="G15" t="inlineStr">
        <is>
          <t>Media</t>
        </is>
      </c>
      <c r="H15" s="2" t="n"/>
    </row>
    <row r="16">
      <c r="A16" t="n">
        <v>11</v>
      </c>
      <c r="B16" s="4" t="inlineStr">
        <is>
          <t>2.4.7 Foco visible</t>
        </is>
      </c>
      <c r="C16" t="inlineStr">
        <is>
          <t>AA</t>
        </is>
      </c>
      <c r="D16" s="4" t="inlineStr">
        <is>
          <t>Se ve claramente qué elemento tiene el foco</t>
        </is>
      </c>
      <c r="E16" s="4" t="inlineStr">
        <is>
          <t>Recorrer con Tab y observar</t>
        </is>
      </c>
      <c r="F16" s="2" t="inlineStr">
        <is>
          <t>No aplica</t>
        </is>
      </c>
      <c r="G16" t="inlineStr">
        <is>
          <t>Alta</t>
        </is>
      </c>
      <c r="H16" s="2" t="n"/>
    </row>
    <row r="17">
      <c r="A17" t="n">
        <v>12</v>
      </c>
      <c r="B17" s="4" t="inlineStr">
        <is>
          <t>2.4.11 Foco no oculto (WCAG 2.2)</t>
        </is>
      </c>
      <c r="C17" t="inlineStr">
        <is>
          <t>AA</t>
        </is>
      </c>
      <c r="D17" s="4" t="inlineStr">
        <is>
          <t>El elemento enfocado no queda tapado por barras fijas o ventanas</t>
        </is>
      </c>
      <c r="E17" s="4" t="inlineStr">
        <is>
          <t>Recorrer con Tab con la ventana pequeña</t>
        </is>
      </c>
      <c r="F17" s="2" t="inlineStr">
        <is>
          <t>No aplica</t>
        </is>
      </c>
      <c r="G17" t="inlineStr">
        <is>
          <t>Media</t>
        </is>
      </c>
      <c r="H17" s="2" t="n"/>
    </row>
    <row r="18">
      <c r="A18" t="n">
        <v>13</v>
      </c>
      <c r="B18" s="4" t="inlineStr">
        <is>
          <t>2.5.8 Tamaño del objetivo, mínimo (WCAG 2.2)</t>
        </is>
      </c>
      <c r="C18" t="inlineStr">
        <is>
          <t>AA</t>
        </is>
      </c>
      <c r="D18" s="4" t="inlineStr">
        <is>
          <t>Los botones y enlaces táctiles tienen al menos 24 x 24 píxeles CSS o suficiente separación</t>
        </is>
      </c>
      <c r="E18" s="4" t="inlineStr">
        <is>
          <t>Medir con las herramientas del navegador</t>
        </is>
      </c>
      <c r="F18" s="2" t="inlineStr">
        <is>
          <t>No aplica</t>
        </is>
      </c>
      <c r="G18" t="inlineStr">
        <is>
          <t>Media</t>
        </is>
      </c>
      <c r="H18" s="2" t="n"/>
    </row>
    <row r="19">
      <c r="A19" t="n">
        <v>14</v>
      </c>
      <c r="B19" s="4" t="inlineStr">
        <is>
          <t>3.1.1 Idioma de la página</t>
        </is>
      </c>
      <c r="C19" t="inlineStr">
        <is>
          <t>A</t>
        </is>
      </c>
      <c r="D19" s="4" t="inlineStr">
        <is>
          <t>La página declara su idioma (lang="es")</t>
        </is>
      </c>
      <c r="E19" s="4" t="inlineStr">
        <is>
          <t>Revisar el código o usar un verificador</t>
        </is>
      </c>
      <c r="F19" s="2" t="inlineStr">
        <is>
          <t>No aplica</t>
        </is>
      </c>
      <c r="G19" t="inlineStr">
        <is>
          <t>Media</t>
        </is>
      </c>
      <c r="H19" s="2" t="n"/>
    </row>
    <row r="20">
      <c r="A20" t="n">
        <v>15</v>
      </c>
      <c r="B20" s="4" t="inlineStr">
        <is>
          <t>3.3.1 Identificación de errores</t>
        </is>
      </c>
      <c r="C20" t="inlineStr">
        <is>
          <t>A</t>
        </is>
      </c>
      <c r="D20" s="4" t="inlineStr">
        <is>
          <t>Los errores se describen en texto y señalan el campo</t>
        </is>
      </c>
      <c r="E20" s="4" t="inlineStr">
        <is>
          <t>Enviar el formulario vacío y leer los mensajes</t>
        </is>
      </c>
      <c r="F20" s="2" t="inlineStr">
        <is>
          <t>No aplica</t>
        </is>
      </c>
      <c r="G20" t="inlineStr">
        <is>
          <t>Alta</t>
        </is>
      </c>
      <c r="H20" s="2" t="n"/>
    </row>
    <row r="21">
      <c r="A21" t="n">
        <v>16</v>
      </c>
      <c r="B21" s="4" t="inlineStr">
        <is>
          <t>3.3.2 Etiquetas o instrucciones</t>
        </is>
      </c>
      <c r="C21" t="inlineStr">
        <is>
          <t>A</t>
        </is>
      </c>
      <c r="D21" s="4" t="inlineStr">
        <is>
          <t>Cada campo tiene una etiqueta visible y asociada (un placeholder no basta)</t>
        </is>
      </c>
      <c r="E21" s="4" t="inlineStr">
        <is>
          <t>Hacer clic en la etiqueta: debe enfocar el campo</t>
        </is>
      </c>
      <c r="F21" s="2" t="inlineStr">
        <is>
          <t>No aplica</t>
        </is>
      </c>
      <c r="G21" t="inlineStr">
        <is>
          <t>Alta</t>
        </is>
      </c>
      <c r="H21" s="2" t="n"/>
    </row>
    <row r="22">
      <c r="A22" t="n">
        <v>17</v>
      </c>
      <c r="B22" s="4" t="inlineStr">
        <is>
          <t>3.3.7 Entrada redundante (WCAG 2.2)</t>
        </is>
      </c>
      <c r="C22" t="inlineStr">
        <is>
          <t>A</t>
        </is>
      </c>
      <c r="D22" s="4" t="inlineStr">
        <is>
          <t>No se pide de nuevo información ya dada en el mismo proceso</t>
        </is>
      </c>
      <c r="E22" s="4" t="inlineStr">
        <is>
          <t>Recorrer el flujo completo</t>
        </is>
      </c>
      <c r="F22" s="2" t="inlineStr">
        <is>
          <t>No aplica</t>
        </is>
      </c>
      <c r="G22" t="inlineStr">
        <is>
          <t>Baja</t>
        </is>
      </c>
      <c r="H22" s="2" t="n"/>
    </row>
    <row r="23">
      <c r="A23" t="n">
        <v>18</v>
      </c>
      <c r="B23" s="4" t="inlineStr">
        <is>
          <t>3.3.8 Autenticación accesible, mínimo (WCAG 2.2)</t>
        </is>
      </c>
      <c r="C23" t="inlineStr">
        <is>
          <t>AA</t>
        </is>
      </c>
      <c r="D23" s="4" t="inlineStr">
        <is>
          <t>Iniciar sesión no exige resolver un acertijo ni recordar de memoria sin alternativas (permite pegar y gestores de contraseñas)</t>
        </is>
      </c>
      <c r="E23" s="4" t="inlineStr">
        <is>
          <t>Probar con un gestor de contraseñas y pegar</t>
        </is>
      </c>
      <c r="F23" s="2" t="inlineStr">
        <is>
          <t>No aplica</t>
        </is>
      </c>
      <c r="G23" t="inlineStr">
        <is>
          <t>Media</t>
        </is>
      </c>
      <c r="H23" s="2" t="n"/>
    </row>
    <row r="24">
      <c r="A24" t="n">
        <v>19</v>
      </c>
      <c r="B24" s="4" t="inlineStr">
        <is>
          <t>4.1.2 Nombre, función y valor</t>
        </is>
      </c>
      <c r="C24" t="inlineStr">
        <is>
          <t>A</t>
        </is>
      </c>
      <c r="D24" s="4" t="inlineStr">
        <is>
          <t>Los componentes personalizados tienen nombre y rol accesibles (botones reales, no divs con clic)</t>
        </is>
      </c>
      <c r="E24" s="4" t="inlineStr">
        <is>
          <t>Probar con un lector de pantalla</t>
        </is>
      </c>
      <c r="F24" s="2" t="inlineStr">
        <is>
          <t>No aplica</t>
        </is>
      </c>
      <c r="G24" t="inlineStr">
        <is>
          <t>Alta</t>
        </is>
      </c>
      <c r="H24" s="2" t="n"/>
    </row>
    <row r="25">
      <c r="A25" t="n">
        <v>20</v>
      </c>
      <c r="B25" s="4" t="inlineStr">
        <is>
          <t>4.1.3 Mensajes de estado</t>
        </is>
      </c>
      <c r="C25" t="inlineStr">
        <is>
          <t>AA</t>
        </is>
      </c>
      <c r="D25" s="4" t="inlineStr">
        <is>
          <t>Los mensajes de éxito o error se anuncian a los lectores de pantalla sin mover el foco</t>
        </is>
      </c>
      <c r="E25" s="4" t="inlineStr">
        <is>
          <t>Probar con un lector de pantalla</t>
        </is>
      </c>
      <c r="F25" s="2" t="inlineStr">
        <is>
          <t>No aplica</t>
        </is>
      </c>
      <c r="G25" t="inlineStr">
        <is>
          <t>Media</t>
        </is>
      </c>
      <c r="H25" s="2" t="n"/>
    </row>
    <row r="27">
      <c r="B27" s="5" t="inlineStr">
        <is>
          <t>Resumen</t>
        </is>
      </c>
    </row>
    <row r="28">
      <c r="B28" t="inlineStr">
        <is>
          <t>Cumple</t>
        </is>
      </c>
      <c r="D28">
        <f>COUNTIF(F6:F25,"Cumple")</f>
        <v/>
      </c>
    </row>
    <row r="29">
      <c r="B29" t="inlineStr">
        <is>
          <t>No cumple</t>
        </is>
      </c>
      <c r="D29">
        <f>COUNTIF(F6:F25,"No cumple")</f>
        <v/>
      </c>
    </row>
    <row r="30">
      <c r="B30" t="inlineStr">
        <is>
          <t>No cumple con prioridad alta</t>
        </is>
      </c>
      <c r="D30">
        <f>COUNTIFS(F6:F25,"No cumple",G6:G25,"Alta")</f>
        <v/>
      </c>
    </row>
    <row r="31">
      <c r="B31" t="inlineStr">
        <is>
          <t>Porcentaje de cumplimiento (de los que aplican)</t>
        </is>
      </c>
      <c r="D31" s="6">
        <f>IF(D28+D29=0,"",D28/(D28+D29))</f>
        <v/>
      </c>
    </row>
    <row r="33">
      <c r="B33" t="inlineStr">
        <is>
          <t>Esta lista no es una certificación. Si eres una entidad pública obligada por la Resolución 1519 de 2020, consulta su Anexo 1 y apóyate en un profesional de accesibilidad.</t>
        </is>
      </c>
    </row>
  </sheetData>
  <dataValidations count="1">
    <dataValidation sqref="F6:F25" showDropDown="0" showInputMessage="0" showErrorMessage="0" allowBlank="0" type="list">
      <formula1>"Cumple,No cumple,No aplica"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6" customWidth="1" min="3" max="3"/>
    <col width="22" customWidth="1" min="4" max="4"/>
  </cols>
  <sheetData>
    <row r="1">
      <c r="A1" s="1" t="inlineStr">
        <is>
          <t>CONTRASTES CALCULADOS CON LA FÓRMULA DE WCAG (texto sobre fondo blanco #FFFFFF)</t>
        </is>
      </c>
    </row>
    <row r="3">
      <c r="A3" s="7" t="inlineStr">
        <is>
          <t>Color del texto</t>
        </is>
      </c>
      <c r="B3" s="7" t="inlineStr">
        <is>
          <t>Relación de contraste</t>
        </is>
      </c>
      <c r="C3" s="7" t="inlineStr">
        <is>
          <t>¿Texto normal (4,5:1)?</t>
        </is>
      </c>
      <c r="D3" s="7" t="inlineStr">
        <is>
          <t>¿Texto grande (3:1)?</t>
        </is>
      </c>
    </row>
    <row r="4">
      <c r="A4" t="inlineStr">
        <is>
          <t>#000000</t>
        </is>
      </c>
      <c r="B4" s="8" t="n">
        <v>21</v>
      </c>
      <c r="C4">
        <f>IF(B4&gt;=4.5,"Cumple","No cumple")</f>
        <v/>
      </c>
      <c r="D4">
        <f>IF(B4&gt;=3,"Cumple","No cumple")</f>
        <v/>
      </c>
    </row>
    <row r="5">
      <c r="A5" t="inlineStr">
        <is>
          <t>#595959</t>
        </is>
      </c>
      <c r="B5" s="8" t="n">
        <v>7</v>
      </c>
      <c r="C5">
        <f>IF(B5&gt;=4.5,"Cumple","No cumple")</f>
        <v/>
      </c>
      <c r="D5">
        <f>IF(B5&gt;=3,"Cumple","No cumple")</f>
        <v/>
      </c>
    </row>
    <row r="6">
      <c r="A6" t="inlineStr">
        <is>
          <t>#0000FF</t>
        </is>
      </c>
      <c r="B6" s="8" t="n">
        <v>8.59</v>
      </c>
      <c r="C6">
        <f>IF(B6&gt;=4.5,"Cumple","No cumple")</f>
        <v/>
      </c>
      <c r="D6">
        <f>IF(B6&gt;=3,"Cumple","No cumple")</f>
        <v/>
      </c>
    </row>
    <row r="7">
      <c r="A7" t="inlineStr">
        <is>
          <t>#767676</t>
        </is>
      </c>
      <c r="B7" s="8" t="n">
        <v>4.54</v>
      </c>
      <c r="C7">
        <f>IF(B7&gt;=4.5,"Cumple","No cumple")</f>
        <v/>
      </c>
      <c r="D7">
        <f>IF(B7&gt;=3,"Cumple","No cumple")</f>
        <v/>
      </c>
    </row>
    <row r="8">
      <c r="A8" t="inlineStr">
        <is>
          <t>#777777</t>
        </is>
      </c>
      <c r="B8" s="8" t="n">
        <v>4.48</v>
      </c>
      <c r="C8">
        <f>IF(B8&gt;=4.5,"Cumple","No cumple")</f>
        <v/>
      </c>
      <c r="D8">
        <f>IF(B8&gt;=3,"Cumple","No cumple")</f>
        <v/>
      </c>
    </row>
    <row r="9">
      <c r="A9" t="inlineStr">
        <is>
          <t>#FF0000</t>
        </is>
      </c>
      <c r="B9" s="8" t="n">
        <v>4</v>
      </c>
      <c r="C9">
        <f>IF(B9&gt;=4.5,"Cumple","No cumple")</f>
        <v/>
      </c>
      <c r="D9">
        <f>IF(B9&gt;=3,"Cumple","No cumple")</f>
        <v/>
      </c>
    </row>
    <row r="10">
      <c r="A10" t="inlineStr">
        <is>
          <t>#AAAAAA</t>
        </is>
      </c>
      <c r="B10" s="8" t="n">
        <v>2.32</v>
      </c>
      <c r="C10">
        <f>IF(B10&gt;=4.5,"Cumple","No cumple")</f>
        <v/>
      </c>
      <c r="D10">
        <f>IF(B10&gt;=3,"Cumple","No cumple")</f>
        <v/>
      </c>
    </row>
    <row r="12">
      <c r="A12" t="inlineStr">
        <is>
          <t>Valores calculados con el script revisar_accesibilidad_basica.py (--contraste). #767676 es el gris más claro sobre blanco que cumple 4,5:1 en texto normal.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2026-10-10T01:12:21Z</dcterms:created>
  <dcterms:modified xmlns:dcterms="http://purl.org/dc/terms/" xmlns:xsi="http://www.w3.org/2001/XMLSchema-instance" xsi:type="dcterms:W3CDTF">2026-10-10T01:12:21Z</dcterms:modified>
</cp:coreProperties>
</file>