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Niveles" sheetId="2" state="visible" r:id="rId2"/>
    <sheet xmlns:r="http://schemas.openxmlformats.org/officeDocument/2006/relationships" name="Banco" sheetId="3" state="visible" r:id="rId3"/>
    <sheet xmlns:r="http://schemas.openxmlformats.org/officeDocument/2006/relationships" name="Plan" sheetId="4" state="visible" r:id="rId4"/>
  </sheets>
  <definedNames>
    <definedName name="_xlnm._FilterDatabase" localSheetId="2" hidden="1">'Banco'!$A$3:$J$39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4B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9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0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6" customWidth="1" min="1" max="1"/>
    <col width="10" customWidth="1" min="2" max="2"/>
  </cols>
  <sheetData>
    <row r="1">
      <c r="A1" s="1" t="inlineStr">
        <is>
          <t>RESUMEN DEL PLAN</t>
        </is>
      </c>
    </row>
    <row r="3">
      <c r="A3" t="inlineStr">
        <is>
          <t>Actividades en el banco</t>
        </is>
      </c>
      <c r="B3" s="2">
        <f>COUNTA(Banco!A4:A39)</f>
        <v/>
      </c>
    </row>
    <row r="4">
      <c r="A4" t="inlineStr">
        <is>
          <t>Actividades elegidas en el plan</t>
        </is>
      </c>
      <c r="B4" s="2">
        <f>COUNTA(Plan!B4:B18)</f>
        <v/>
      </c>
    </row>
    <row r="5">
      <c r="A5" t="inlineStr">
        <is>
          <t>Minutos del plan</t>
        </is>
      </c>
      <c r="B5" s="2">
        <f>SUM(Plan!E4:E18)</f>
        <v/>
      </c>
    </row>
    <row r="6">
      <c r="A6" t="inlineStr">
        <is>
          <t>Actividades de Recordar</t>
        </is>
      </c>
      <c r="B6" s="2">
        <f>COUNTIF(Plan!C4:C18,"Recordar")</f>
        <v/>
      </c>
    </row>
    <row r="7">
      <c r="A7" t="inlineStr">
        <is>
          <t>Actividades de Comprender</t>
        </is>
      </c>
      <c r="B7" s="2">
        <f>COUNTIF(Plan!C4:C18,"Comprender")</f>
        <v/>
      </c>
    </row>
    <row r="8">
      <c r="A8" t="inlineStr">
        <is>
          <t>Actividades de Aplicar</t>
        </is>
      </c>
      <c r="B8" s="2">
        <f>COUNTIF(Plan!C4:C18,"Aplicar")</f>
        <v/>
      </c>
    </row>
    <row r="9">
      <c r="A9" t="inlineStr">
        <is>
          <t>Actividades de Analizar</t>
        </is>
      </c>
      <c r="B9" s="2">
        <f>COUNTIF(Plan!C4:C18,"Analizar")</f>
        <v/>
      </c>
    </row>
    <row r="10">
      <c r="A10" t="inlineStr">
        <is>
          <t>Actividades de Evaluar</t>
        </is>
      </c>
      <c r="B10" s="2">
        <f>COUNTIF(Plan!C4:C18,"Evaluar")</f>
        <v/>
      </c>
    </row>
    <row r="11">
      <c r="A11" t="inlineStr">
        <is>
          <t>Actividades de Crear</t>
        </is>
      </c>
      <c r="B11" s="2">
        <f>COUNTIF(Plan!C4:C18,"Crear")</f>
        <v/>
      </c>
    </row>
    <row r="12">
      <c r="A12" t="inlineStr">
        <is>
          <t>Niveles de Bloom sin ninguna actividad en el plan</t>
        </is>
      </c>
      <c r="B12" s="2">
        <f>COUNTIF(B6:B11,0)</f>
        <v/>
      </c>
    </row>
    <row r="13">
      <c r="A13" t="inlineStr">
        <is>
          <t>Minutos en orden superior (analizar, evaluar, crear)</t>
        </is>
      </c>
      <c r="B13" s="2">
        <f>SUMIF(Plan!H4:H18,"Sí",Plan!E4:E18)</f>
        <v/>
      </c>
    </row>
    <row r="14">
      <c r="A14" t="inlineStr">
        <is>
          <t>% de minutos en orden superior</t>
        </is>
      </c>
      <c r="B14" s="3">
        <f>B13/B5</f>
        <v/>
      </c>
    </row>
    <row r="15">
      <c r="A15" t="inlineStr">
        <is>
          <t>Actividades de riesgo alto</t>
        </is>
      </c>
      <c r="B15" s="2">
        <f>COUNTIF(Plan!G4:G18,"Alto")</f>
        <v/>
      </c>
    </row>
    <row r="16">
      <c r="A16" t="inlineStr">
        <is>
          <t>Actividades con uso de IA de nivel 4 o 5</t>
        </is>
      </c>
      <c r="B16" s="2">
        <f>COUNTIF(Plan!F4:F18,"&gt;="&amp;4)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40" customWidth="1" min="3" max="3"/>
    <col width="46" customWidth="1" min="4" max="4"/>
    <col width="24" customWidth="1" min="5" max="5"/>
  </cols>
  <sheetData>
    <row r="1">
      <c r="A1" s="1" t="inlineStr">
        <is>
          <t>LOS SEIS NIVELES DE LA TAXONOMÍA DE BLOOM REVISADA (Anderson y Krathwohl, 2001; Krathwohl, 2002)</t>
        </is>
      </c>
    </row>
    <row r="3">
      <c r="A3" s="4" t="inlineStr">
        <is>
          <t>Código</t>
        </is>
      </c>
      <c r="B3" s="4" t="inlineStr">
        <is>
          <t>Nivel</t>
        </is>
      </c>
      <c r="C3" s="4" t="inlineStr">
        <is>
          <t>Verbos típicos</t>
        </is>
      </c>
      <c r="D3" s="4" t="inlineStr">
        <is>
          <t>Pregunta guía</t>
        </is>
      </c>
      <c r="E3" s="4" t="inlineStr">
        <is>
          <t>¿Pensamiento de orden superior? (Sí/No)</t>
        </is>
      </c>
    </row>
    <row r="4">
      <c r="A4" s="5" t="inlineStr">
        <is>
          <t>RE</t>
        </is>
      </c>
      <c r="B4" s="5" t="inlineStr">
        <is>
          <t>Recordar</t>
        </is>
      </c>
      <c r="C4" s="5" t="inlineStr">
        <is>
          <t>listar, nombrar, definir, ordenar</t>
        </is>
      </c>
      <c r="D4" s="5" t="inlineStr">
        <is>
          <t>¿Puede recuperar lo aprendido?</t>
        </is>
      </c>
      <c r="E4" s="5" t="inlineStr">
        <is>
          <t>No</t>
        </is>
      </c>
    </row>
    <row r="5">
      <c r="A5" s="5" t="inlineStr">
        <is>
          <t>CO</t>
        </is>
      </c>
      <c r="B5" s="5" t="inlineStr">
        <is>
          <t>Comprender</t>
        </is>
      </c>
      <c r="C5" s="5" t="inlineStr">
        <is>
          <t>explicar, resumir, reformular, ejemplificar</t>
        </is>
      </c>
      <c r="D5" s="5" t="inlineStr">
        <is>
          <t>¿Puede explicarlo con sus palabras?</t>
        </is>
      </c>
      <c r="E5" s="5" t="inlineStr">
        <is>
          <t>No</t>
        </is>
      </c>
    </row>
    <row r="6">
      <c r="A6" s="5" t="inlineStr">
        <is>
          <t>AP</t>
        </is>
      </c>
      <c r="B6" s="5" t="inlineStr">
        <is>
          <t>Aplicar</t>
        </is>
      </c>
      <c r="C6" s="5" t="inlineStr">
        <is>
          <t>resolver, usar, simular, calcular</t>
        </is>
      </c>
      <c r="D6" s="5" t="inlineStr">
        <is>
          <t>¿Puede usarlo en una situación nueva?</t>
        </is>
      </c>
      <c r="E6" s="5" t="inlineStr">
        <is>
          <t>No</t>
        </is>
      </c>
    </row>
    <row r="7">
      <c r="A7" s="5" t="inlineStr">
        <is>
          <t>AN</t>
        </is>
      </c>
      <c r="B7" s="5" t="inlineStr">
        <is>
          <t>Analizar</t>
        </is>
      </c>
      <c r="C7" s="5" t="inlineStr">
        <is>
          <t>comparar, descomponer, distinguir, detectar</t>
        </is>
      </c>
      <c r="D7" s="5" t="inlineStr">
        <is>
          <t>¿Puede separar las partes y ver cómo se relacionan?</t>
        </is>
      </c>
      <c r="E7" s="5" t="inlineStr">
        <is>
          <t>Sí</t>
        </is>
      </c>
    </row>
    <row r="8">
      <c r="A8" s="5" t="inlineStr">
        <is>
          <t>EV</t>
        </is>
      </c>
      <c r="B8" s="5" t="inlineStr">
        <is>
          <t>Evaluar</t>
        </is>
      </c>
      <c r="C8" s="5" t="inlineStr">
        <is>
          <t>juzgar, criticar, justificar, valorar</t>
        </is>
      </c>
      <c r="D8" s="5" t="inlineStr">
        <is>
          <t>¿Puede juzgar con criterios?</t>
        </is>
      </c>
      <c r="E8" s="5" t="inlineStr">
        <is>
          <t>Sí</t>
        </is>
      </c>
    </row>
    <row r="9">
      <c r="A9" s="5" t="inlineStr">
        <is>
          <t>CR</t>
        </is>
      </c>
      <c r="B9" s="5" t="inlineStr">
        <is>
          <t>Crear</t>
        </is>
      </c>
      <c r="C9" s="5" t="inlineStr">
        <is>
          <t>diseñar, producir, componer, proponer</t>
        </is>
      </c>
      <c r="D9" s="5" t="inlineStr">
        <is>
          <t>¿Puede producir algo nuevo a partir de lo aprendido?</t>
        </is>
      </c>
      <c r="E9" s="5" t="inlineStr">
        <is>
          <t>Sí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34" customWidth="1" min="3" max="3"/>
    <col width="44" customWidth="1" min="4" max="4"/>
    <col width="40" customWidth="1" min="5" max="5"/>
    <col width="9" customWidth="1" min="6" max="6"/>
    <col width="22" customWidth="1" min="7" max="7"/>
    <col width="12" customWidth="1" min="8" max="8"/>
    <col width="9" customWidth="1" min="9" max="9"/>
    <col width="34" customWidth="1" min="10" max="10"/>
  </cols>
  <sheetData>
    <row r="1">
      <c r="A1" s="1" t="inlineStr">
        <is>
          <t>BANCO DE 36 ACTIVIDADES CON IA POR NIVEL DE BLOOM (AIAS = nivel de uso de IA según la escala de la guía: 1 sin IA, 2 ideas, 3 esquemas y notas, 4 retroalimentación y edición, 5 IA total)</t>
        </is>
      </c>
    </row>
    <row r="3" ht="40" customHeight="1">
      <c r="A3" s="4" t="inlineStr">
        <is>
          <t>ID</t>
        </is>
      </c>
      <c r="B3" s="4" t="inlineStr">
        <is>
          <t>Nivel</t>
        </is>
      </c>
      <c r="C3" s="4" t="inlineStr">
        <is>
          <t>Actividad</t>
        </is>
      </c>
      <c r="D3" s="4" t="inlineStr">
        <is>
          <t>Qué hace la IA</t>
        </is>
      </c>
      <c r="E3" s="4" t="inlineStr">
        <is>
          <t>Qué hace el estudiante</t>
        </is>
      </c>
      <c r="F3" s="4" t="inlineStr">
        <is>
          <t>Minutos</t>
        </is>
      </c>
      <c r="G3" s="4" t="inlineStr">
        <is>
          <t>Rol de la IA</t>
        </is>
      </c>
      <c r="H3" s="4" t="inlineStr">
        <is>
          <t>Nivel de uso de IA (1 a 5)</t>
        </is>
      </c>
      <c r="I3" s="4" t="inlineStr">
        <is>
          <t>Riesgo</t>
        </is>
      </c>
      <c r="J3" s="4" t="inlineStr">
        <is>
          <t>Evidencia que deja</t>
        </is>
      </c>
    </row>
    <row r="4">
      <c r="A4" s="5" t="inlineStr">
        <is>
          <t>RE1</t>
        </is>
      </c>
      <c r="B4" s="5" t="inlineStr">
        <is>
          <t>Recordar</t>
        </is>
      </c>
      <c r="C4" s="5" t="inlineStr">
        <is>
          <t>Práctica de recuperación con tarjetas</t>
        </is>
      </c>
      <c r="D4" s="5" t="inlineStr">
        <is>
          <t>Genera 20 preguntas de práctica a partir de los apuntes (sin datos personales)</t>
        </is>
      </c>
      <c r="E4" s="5" t="inlineStr">
        <is>
          <t>Responde sin mirar y marca aciertos; repite lo fallado</t>
        </is>
      </c>
      <c r="F4" s="6" t="n">
        <v>15</v>
      </c>
      <c r="G4" s="5" t="inlineStr">
        <is>
          <t>Generador de material</t>
        </is>
      </c>
      <c r="H4" s="6" t="n">
        <v>2</v>
      </c>
      <c r="I4" s="5" t="inlineStr">
        <is>
          <t>Bajo</t>
        </is>
      </c>
      <c r="J4" s="5" t="inlineStr">
        <is>
          <t>Registro de aciertos por sesión</t>
        </is>
      </c>
    </row>
    <row r="5">
      <c r="A5" s="5" t="inlineStr">
        <is>
          <t>RE2</t>
        </is>
      </c>
      <c r="B5" s="5" t="inlineStr">
        <is>
          <t>Recordar</t>
        </is>
      </c>
      <c r="C5" s="5" t="inlineStr">
        <is>
          <t>Quiz en variantes equivalentes</t>
        </is>
      </c>
      <c r="D5" s="5" t="inlineStr">
        <is>
          <t>La docente la usa para crear tres versiones del mismo quiz</t>
        </is>
      </c>
      <c r="E5" s="5" t="inlineStr">
        <is>
          <t>Responde en clase, sin IA</t>
        </is>
      </c>
      <c r="F5" s="6" t="n">
        <v>10</v>
      </c>
      <c r="G5" s="5" t="inlineStr">
        <is>
          <t>Generador de material</t>
        </is>
      </c>
      <c r="H5" s="6" t="n">
        <v>1</v>
      </c>
      <c r="I5" s="5" t="inlineStr">
        <is>
          <t>Bajo</t>
        </is>
      </c>
      <c r="J5" s="5" t="inlineStr">
        <is>
          <t>Resultados del quiz</t>
        </is>
      </c>
    </row>
    <row r="6">
      <c r="A6" s="5" t="inlineStr">
        <is>
          <t>RE3</t>
        </is>
      </c>
      <c r="B6" s="5" t="inlineStr">
        <is>
          <t>Recordar</t>
        </is>
      </c>
      <c r="C6" s="5" t="inlineStr">
        <is>
          <t>Glosario verificado</t>
        </is>
      </c>
      <c r="D6" s="5" t="inlineStr">
        <is>
          <t>Señala imprecisiones en las definiciones escritas por el estudiante</t>
        </is>
      </c>
      <c r="E6" s="5" t="inlineStr">
        <is>
          <t>Define 10 términos y corrige con base en la retroalimentación</t>
        </is>
      </c>
      <c r="F6" s="6" t="n">
        <v>20</v>
      </c>
      <c r="G6" s="5" t="inlineStr">
        <is>
          <t>Retroalimentador</t>
        </is>
      </c>
      <c r="H6" s="6" t="n">
        <v>4</v>
      </c>
      <c r="I6" s="5" t="inlineStr">
        <is>
          <t>Medio</t>
        </is>
      </c>
      <c r="J6" s="5" t="inlineStr">
        <is>
          <t>Glosario con correcciones marcadas</t>
        </is>
      </c>
    </row>
    <row r="7">
      <c r="A7" s="5" t="inlineStr">
        <is>
          <t>RE4</t>
        </is>
      </c>
      <c r="B7" s="5" t="inlineStr">
        <is>
          <t>Recordar</t>
        </is>
      </c>
      <c r="C7" s="5" t="inlineStr">
        <is>
          <t>Bingo de conceptos</t>
        </is>
      </c>
      <c r="D7" s="5" t="inlineStr">
        <is>
          <t>Genera tarjetas y pistas del bingo</t>
        </is>
      </c>
      <c r="E7" s="5" t="inlineStr">
        <is>
          <t>Juega y justifica cada marca</t>
        </is>
      </c>
      <c r="F7" s="6" t="n">
        <v>20</v>
      </c>
      <c r="G7" s="5" t="inlineStr">
        <is>
          <t>Generador de material</t>
        </is>
      </c>
      <c r="H7" s="6" t="n">
        <v>2</v>
      </c>
      <c r="I7" s="5" t="inlineStr">
        <is>
          <t>Bajo</t>
        </is>
      </c>
      <c r="J7" s="5" t="inlineStr">
        <is>
          <t>Tarjeta de bingo con justificaciones</t>
        </is>
      </c>
    </row>
    <row r="8">
      <c r="A8" s="5" t="inlineStr">
        <is>
          <t>RE5</t>
        </is>
      </c>
      <c r="B8" s="5" t="inlineStr">
        <is>
          <t>Recordar</t>
        </is>
      </c>
      <c r="C8" s="5" t="inlineStr">
        <is>
          <t>Mnemotecnias propias</t>
        </is>
      </c>
      <c r="D8" s="5" t="inlineStr">
        <is>
          <t>Propone cinco mnemotecnias para un listado</t>
        </is>
      </c>
      <c r="E8" s="5" t="inlineStr">
        <is>
          <t>Elige una, la mejora y la prueba con un compañero</t>
        </is>
      </c>
      <c r="F8" s="6" t="n">
        <v>15</v>
      </c>
      <c r="G8" s="5" t="inlineStr">
        <is>
          <t>Generador de material</t>
        </is>
      </c>
      <c r="H8" s="6" t="n">
        <v>2</v>
      </c>
      <c r="I8" s="5" t="inlineStr">
        <is>
          <t>Bajo</t>
        </is>
      </c>
      <c r="J8" s="5" t="inlineStr">
        <is>
          <t>Mnemotecnia final y resultado de la prueba</t>
        </is>
      </c>
    </row>
    <row r="9">
      <c r="A9" s="5" t="inlineStr">
        <is>
          <t>RE6</t>
        </is>
      </c>
      <c r="B9" s="5" t="inlineStr">
        <is>
          <t>Recordar</t>
        </is>
      </c>
      <c r="C9" s="5" t="inlineStr">
        <is>
          <t>Calendario de repasos espaciados</t>
        </is>
      </c>
      <c r="D9" s="5" t="inlineStr">
        <is>
          <t>Arma un calendario de repasos antes de la evaluación</t>
        </is>
      </c>
      <c r="E9" s="5" t="inlineStr">
        <is>
          <t>Lo ajusta a su horario y lo cumple</t>
        </is>
      </c>
      <c r="F9" s="6" t="n">
        <v>15</v>
      </c>
      <c r="G9" s="5" t="inlineStr">
        <is>
          <t>Planificador</t>
        </is>
      </c>
      <c r="H9" s="6" t="n">
        <v>3</v>
      </c>
      <c r="I9" s="5" t="inlineStr">
        <is>
          <t>Bajo</t>
        </is>
      </c>
      <c r="J9" s="5" t="inlineStr">
        <is>
          <t>Calendario y registro de cumplimiento</t>
        </is>
      </c>
    </row>
    <row r="10">
      <c r="A10" s="5" t="inlineStr">
        <is>
          <t>CO1</t>
        </is>
      </c>
      <c r="B10" s="5" t="inlineStr">
        <is>
          <t>Comprender</t>
        </is>
      </c>
      <c r="C10" s="5" t="inlineStr">
        <is>
          <t>Explícaselo a un niño de 10 años</t>
        </is>
      </c>
      <c r="D10" s="5" t="inlineStr">
        <is>
          <t>Actúa como un niño que hace preguntas</t>
        </is>
      </c>
      <c r="E10" s="5" t="inlineStr">
        <is>
          <t>Explica el concepto con sus palabras y responde</t>
        </is>
      </c>
      <c r="F10" s="6" t="n">
        <v>20</v>
      </c>
      <c r="G10" s="5" t="inlineStr">
        <is>
          <t>Tutor que pregunta</t>
        </is>
      </c>
      <c r="H10" s="6" t="n">
        <v>2</v>
      </c>
      <c r="I10" s="5" t="inlineStr">
        <is>
          <t>Medio</t>
        </is>
      </c>
      <c r="J10" s="5" t="inlineStr">
        <is>
          <t>Transcripción comentada</t>
        </is>
      </c>
    </row>
    <row r="11">
      <c r="A11" s="5" t="inlineStr">
        <is>
          <t>CO2</t>
        </is>
      </c>
      <c r="B11" s="5" t="inlineStr">
        <is>
          <t>Comprender</t>
        </is>
      </c>
      <c r="C11" s="5" t="inlineStr">
        <is>
          <t>Mi resumen frente al de la IA</t>
        </is>
      </c>
      <c r="D11" s="5" t="inlineStr">
        <is>
          <t>Genera un resumen del texto</t>
        </is>
      </c>
      <c r="E11" s="5" t="inlineStr">
        <is>
          <t>Escribe el suyo primero y compara qué se perdió</t>
        </is>
      </c>
      <c r="F11" s="6" t="n">
        <v>25</v>
      </c>
      <c r="G11" s="5" t="inlineStr">
        <is>
          <t>Objeto de comparación</t>
        </is>
      </c>
      <c r="H11" s="6" t="n">
        <v>3</v>
      </c>
      <c r="I11" s="5" t="inlineStr">
        <is>
          <t>Medio</t>
        </is>
      </c>
      <c r="J11" s="5" t="inlineStr">
        <is>
          <t>Tabla de diferencias entre ambos resúmenes</t>
        </is>
      </c>
    </row>
    <row r="12">
      <c r="A12" s="5" t="inlineStr">
        <is>
          <t>CO3</t>
        </is>
      </c>
      <c r="B12" s="5" t="inlineStr">
        <is>
          <t>Comprender</t>
        </is>
      </c>
      <c r="C12" s="5" t="inlineStr">
        <is>
          <t>Ejemplos y no ejemplos</t>
        </is>
      </c>
      <c r="D12" s="5" t="inlineStr">
        <is>
          <t>Genera tres ejemplos y tres no ejemplos de un concepto</t>
        </is>
      </c>
      <c r="E12" s="5" t="inlineStr">
        <is>
          <t>Clasifica y justifica cada uno</t>
        </is>
      </c>
      <c r="F12" s="6" t="n">
        <v>20</v>
      </c>
      <c r="G12" s="5" t="inlineStr">
        <is>
          <t>Generador de material</t>
        </is>
      </c>
      <c r="H12" s="6" t="n">
        <v>2</v>
      </c>
      <c r="I12" s="5" t="inlineStr">
        <is>
          <t>Bajo</t>
        </is>
      </c>
      <c r="J12" s="5" t="inlineStr">
        <is>
          <t>Clasificación justificada</t>
        </is>
      </c>
    </row>
    <row r="13">
      <c r="A13" s="5" t="inlineStr">
        <is>
          <t>CO4</t>
        </is>
      </c>
      <c r="B13" s="5" t="inlineStr">
        <is>
          <t>Comprender</t>
        </is>
      </c>
      <c r="C13" s="5" t="inlineStr">
        <is>
          <t>Cadena de por qués</t>
        </is>
      </c>
      <c r="D13" s="5" t="inlineStr">
        <is>
          <t>Formula cinco "por qué" encadenados</t>
        </is>
      </c>
      <c r="E13" s="5" t="inlineStr">
        <is>
          <t>Responde cada uno con evidencia o razonamiento</t>
        </is>
      </c>
      <c r="F13" s="6" t="n">
        <v>20</v>
      </c>
      <c r="G13" s="5" t="inlineStr">
        <is>
          <t>Tutor que pregunta</t>
        </is>
      </c>
      <c r="H13" s="6" t="n">
        <v>2</v>
      </c>
      <c r="I13" s="5" t="inlineStr">
        <is>
          <t>Bajo</t>
        </is>
      </c>
      <c r="J13" s="5" t="inlineStr">
        <is>
          <t>Cadena de respuestas</t>
        </is>
      </c>
    </row>
    <row r="14">
      <c r="A14" s="5" t="inlineStr">
        <is>
          <t>CO5</t>
        </is>
      </c>
      <c r="B14" s="5" t="inlineStr">
        <is>
          <t>Comprender</t>
        </is>
      </c>
      <c r="C14" s="5" t="inlineStr">
        <is>
          <t>Un resumen en tres tamaños</t>
        </is>
      </c>
      <c r="D14" s="5" t="inlineStr">
        <is>
          <t>Resume en una línea, un párrafo y una página</t>
        </is>
      </c>
      <c r="E14" s="5" t="inlineStr">
        <is>
          <t>Identifica qué se pierde en cada tamaño</t>
        </is>
      </c>
      <c r="F14" s="6" t="n">
        <v>20</v>
      </c>
      <c r="G14" s="5" t="inlineStr">
        <is>
          <t>Objeto de comparación</t>
        </is>
      </c>
      <c r="H14" s="6" t="n">
        <v>3</v>
      </c>
      <c r="I14" s="5" t="inlineStr">
        <is>
          <t>Medio</t>
        </is>
      </c>
      <c r="J14" s="5" t="inlineStr">
        <is>
          <t>Lista de pérdidas por tamaño</t>
        </is>
      </c>
    </row>
    <row r="15">
      <c r="A15" s="5" t="inlineStr">
        <is>
          <t>CO6</t>
        </is>
      </c>
      <c r="B15" s="5" t="inlineStr">
        <is>
          <t>Comprender</t>
        </is>
      </c>
      <c r="C15" s="5" t="inlineStr">
        <is>
          <t>Lectura con glosario a su nivel</t>
        </is>
      </c>
      <c r="D15" s="5" t="inlineStr">
        <is>
          <t>Adapta el glosario al nivel lector del estudiante</t>
        </is>
      </c>
      <c r="E15" s="5" t="inlineStr">
        <is>
          <t>Lee y usa el glosario; explica dos términos</t>
        </is>
      </c>
      <c r="F15" s="6" t="n">
        <v>25</v>
      </c>
      <c r="G15" s="5" t="inlineStr">
        <is>
          <t>Apoyo de accesibilidad</t>
        </is>
      </c>
      <c r="H15" s="6" t="n">
        <v>3</v>
      </c>
      <c r="I15" s="5" t="inlineStr">
        <is>
          <t>Bajo</t>
        </is>
      </c>
      <c r="J15" s="5" t="inlineStr">
        <is>
          <t>Explicación oral de dos términos</t>
        </is>
      </c>
    </row>
    <row r="16">
      <c r="A16" s="5" t="inlineStr">
        <is>
          <t>AP1</t>
        </is>
      </c>
      <c r="B16" s="5" t="inlineStr">
        <is>
          <t>Aplicar</t>
        </is>
      </c>
      <c r="C16" s="5" t="inlineStr">
        <is>
          <t>Problemas con contexto local</t>
        </is>
      </c>
      <c r="D16" s="5" t="inlineStr">
        <is>
          <t>Genera problemas con contexto de la región; la docente los revisa</t>
        </is>
      </c>
      <c r="E16" s="5" t="inlineStr">
        <is>
          <t>Resuelve y explica el procedimiento</t>
        </is>
      </c>
      <c r="F16" s="6" t="n">
        <v>25</v>
      </c>
      <c r="G16" s="5" t="inlineStr">
        <is>
          <t>Generador de material</t>
        </is>
      </c>
      <c r="H16" s="6" t="n">
        <v>2</v>
      </c>
      <c r="I16" s="5" t="inlineStr">
        <is>
          <t>Medio</t>
        </is>
      </c>
      <c r="J16" s="5" t="inlineStr">
        <is>
          <t>Soluciones con procedimiento</t>
        </is>
      </c>
    </row>
    <row r="17">
      <c r="A17" s="5" t="inlineStr">
        <is>
          <t>AP2</t>
        </is>
      </c>
      <c r="B17" s="5" t="inlineStr">
        <is>
          <t>Aplicar</t>
        </is>
      </c>
      <c r="C17" s="5" t="inlineStr">
        <is>
          <t>Simulación de un caso</t>
        </is>
      </c>
      <c r="D17" s="5" t="inlineStr">
        <is>
          <t>Responde como cliente o personaje del caso</t>
        </is>
      </c>
      <c r="E17" s="5" t="inlineStr">
        <is>
          <t>Aplica el procedimiento y decide</t>
        </is>
      </c>
      <c r="F17" s="6" t="n">
        <v>30</v>
      </c>
      <c r="G17" s="5" t="inlineStr">
        <is>
          <t>Contraparte</t>
        </is>
      </c>
      <c r="H17" s="6" t="n">
        <v>3</v>
      </c>
      <c r="I17" s="5" t="inlineStr">
        <is>
          <t>Medio</t>
        </is>
      </c>
      <c r="J17" s="5" t="inlineStr">
        <is>
          <t>Registro de decisiones</t>
        </is>
      </c>
    </row>
    <row r="18">
      <c r="A18" s="5" t="inlineStr">
        <is>
          <t>AP3</t>
        </is>
      </c>
      <c r="B18" s="5" t="inlineStr">
        <is>
          <t>Aplicar</t>
        </is>
      </c>
      <c r="C18" s="5" t="inlineStr">
        <is>
          <t>Ejercicios graduados con pistas</t>
        </is>
      </c>
      <c r="D18" s="5" t="inlineStr">
        <is>
          <t>Genera cinco ejercicios con dificultad creciente y pistas escalonadas</t>
        </is>
      </c>
      <c r="E18" s="5" t="inlineStr">
        <is>
          <t>Resuelve, usa las pistas solo si las necesita</t>
        </is>
      </c>
      <c r="F18" s="6" t="n">
        <v>20</v>
      </c>
      <c r="G18" s="5" t="inlineStr">
        <is>
          <t>Tutor que pregunta</t>
        </is>
      </c>
      <c r="H18" s="6" t="n">
        <v>2</v>
      </c>
      <c r="I18" s="5" t="inlineStr">
        <is>
          <t>Bajo</t>
        </is>
      </c>
      <c r="J18" s="5" t="inlineStr">
        <is>
          <t>Ejercicios resueltos y pistas usadas</t>
        </is>
      </c>
    </row>
    <row r="19">
      <c r="A19" s="5" t="inlineStr">
        <is>
          <t>AP4</t>
        </is>
      </c>
      <c r="B19" s="5" t="inlineStr">
        <is>
          <t>Aplicar</t>
        </is>
      </c>
      <c r="C19" s="5" t="inlineStr">
        <is>
          <t>Qué pasaría si cambia una variable</t>
        </is>
      </c>
      <c r="D19" s="5" t="inlineStr">
        <is>
          <t>Pregunta qué cambia si se modifica una condición</t>
        </is>
      </c>
      <c r="E19" s="5" t="inlineStr">
        <is>
          <t>Predice, prueba y compara</t>
        </is>
      </c>
      <c r="F19" s="6" t="n">
        <v>30</v>
      </c>
      <c r="G19" s="5" t="inlineStr">
        <is>
          <t>Tutor que pregunta</t>
        </is>
      </c>
      <c r="H19" s="6" t="n">
        <v>2</v>
      </c>
      <c r="I19" s="5" t="inlineStr">
        <is>
          <t>Bajo</t>
        </is>
      </c>
      <c r="J19" s="5" t="inlineStr">
        <is>
          <t>Predicción y resultado</t>
        </is>
      </c>
    </row>
    <row r="20">
      <c r="A20" s="5" t="inlineStr">
        <is>
          <t>AP5</t>
        </is>
      </c>
      <c r="B20" s="5" t="inlineStr">
        <is>
          <t>Aplicar</t>
        </is>
      </c>
      <c r="C20" s="5" t="inlineStr">
        <is>
          <t>Fórmula comprendida y aplicada</t>
        </is>
      </c>
      <c r="D20" s="5" t="inlineStr">
        <is>
          <t>Explica una fórmula de hoja de cálculo paso a paso</t>
        </is>
      </c>
      <c r="E20" s="5" t="inlineStr">
        <is>
          <t>La aplica a datos propios y verifica el resultado a mano</t>
        </is>
      </c>
      <c r="F20" s="6" t="n">
        <v>30</v>
      </c>
      <c r="G20" s="5" t="inlineStr">
        <is>
          <t>Tutor que pregunta</t>
        </is>
      </c>
      <c r="H20" s="6" t="n">
        <v>3</v>
      </c>
      <c r="I20" s="5" t="inlineStr">
        <is>
          <t>Medio</t>
        </is>
      </c>
      <c r="J20" s="5" t="inlineStr">
        <is>
          <t>Hoja de cálculo con verificación</t>
        </is>
      </c>
    </row>
    <row r="21">
      <c r="A21" s="5" t="inlineStr">
        <is>
          <t>AP6</t>
        </is>
      </c>
      <c r="B21" s="5" t="inlineStr">
        <is>
          <t>Aplicar</t>
        </is>
      </c>
      <c r="C21" s="5" t="inlineStr">
        <is>
          <t>Predicciones antes del experimento</t>
        </is>
      </c>
      <c r="D21" s="5" t="inlineStr">
        <is>
          <t>Pide que prediga el resultado antes de hacerlo</t>
        </is>
      </c>
      <c r="E21" s="5" t="inlineStr">
        <is>
          <t>Predice, experimenta y explica la diferencia</t>
        </is>
      </c>
      <c r="F21" s="6" t="n">
        <v>30</v>
      </c>
      <c r="G21" s="5" t="inlineStr">
        <is>
          <t>Tutor que pregunta</t>
        </is>
      </c>
      <c r="H21" s="6" t="n">
        <v>2</v>
      </c>
      <c r="I21" s="5" t="inlineStr">
        <is>
          <t>Bajo</t>
        </is>
      </c>
      <c r="J21" s="5" t="inlineStr">
        <is>
          <t>Bitácora de predicciones</t>
        </is>
      </c>
    </row>
    <row r="22">
      <c r="A22" s="5" t="inlineStr">
        <is>
          <t>AN1</t>
        </is>
      </c>
      <c r="B22" s="5" t="inlineStr">
        <is>
          <t>Analizar</t>
        </is>
      </c>
      <c r="C22" s="5" t="inlineStr">
        <is>
          <t>Dos respuestas de IA frente a frente</t>
        </is>
      </c>
      <c r="D22" s="5" t="inlineStr">
        <is>
          <t>Responde dos veces la misma pregunta con distinto enfoque</t>
        </is>
      </c>
      <c r="E22" s="5" t="inlineStr">
        <is>
          <t>Lista diferencias y decide cuál es más confiable</t>
        </is>
      </c>
      <c r="F22" s="6" t="n">
        <v>25</v>
      </c>
      <c r="G22" s="5" t="inlineStr">
        <is>
          <t>Objeto de análisis</t>
        </is>
      </c>
      <c r="H22" s="6" t="n">
        <v>5</v>
      </c>
      <c r="I22" s="5" t="inlineStr">
        <is>
          <t>Medio</t>
        </is>
      </c>
      <c r="J22" s="5" t="inlineStr">
        <is>
          <t>Tabla comparativa</t>
        </is>
      </c>
    </row>
    <row r="23">
      <c r="A23" s="5" t="inlineStr">
        <is>
          <t>AN2</t>
        </is>
      </c>
      <c r="B23" s="5" t="inlineStr">
        <is>
          <t>Analizar</t>
        </is>
      </c>
      <c r="C23" s="5" t="inlineStr">
        <is>
          <t>Encuentra el error</t>
        </is>
      </c>
      <c r="D23" s="5" t="inlineStr">
        <is>
          <t>Redacta una explicación con tres errores sutiles (la docente la revisa antes)</t>
        </is>
      </c>
      <c r="E23" s="5" t="inlineStr">
        <is>
          <t>Encuentra los errores y los corrige</t>
        </is>
      </c>
      <c r="F23" s="6" t="n">
        <v>25</v>
      </c>
      <c r="G23" s="5" t="inlineStr">
        <is>
          <t>Objeto de análisis</t>
        </is>
      </c>
      <c r="H23" s="6" t="n">
        <v>5</v>
      </c>
      <c r="I23" s="5" t="inlineStr">
        <is>
          <t>Bajo</t>
        </is>
      </c>
      <c r="J23" s="5" t="inlineStr">
        <is>
          <t>Errores marcados y corregidos</t>
        </is>
      </c>
    </row>
    <row r="24">
      <c r="A24" s="5" t="inlineStr">
        <is>
          <t>AN3</t>
        </is>
      </c>
      <c r="B24" s="5" t="inlineStr">
        <is>
          <t>Analizar</t>
        </is>
      </c>
      <c r="C24" s="5" t="inlineStr">
        <is>
          <t>Del texto al mapa del argumento</t>
        </is>
      </c>
      <c r="D24" s="5" t="inlineStr">
        <is>
          <t>Verifica el mapa (tesis, evidencias, supuestos) construido por el estudiante</t>
        </is>
      </c>
      <c r="E24" s="5" t="inlineStr">
        <is>
          <t>Descompone el texto y ajusta el mapa</t>
        </is>
      </c>
      <c r="F24" s="6" t="n">
        <v>30</v>
      </c>
      <c r="G24" s="5" t="inlineStr">
        <is>
          <t>Retroalimentador</t>
        </is>
      </c>
      <c r="H24" s="6" t="n">
        <v>4</v>
      </c>
      <c r="I24" s="5" t="inlineStr">
        <is>
          <t>Medio</t>
        </is>
      </c>
      <c r="J24" s="5" t="inlineStr">
        <is>
          <t>Mapa del argumento con ajustes</t>
        </is>
      </c>
    </row>
    <row r="25">
      <c r="A25" s="5" t="inlineStr">
        <is>
          <t>AN4</t>
        </is>
      </c>
      <c r="B25" s="5" t="inlineStr">
        <is>
          <t>Analizar</t>
        </is>
      </c>
      <c r="C25" s="5" t="inlineStr">
        <is>
          <t>Cómo cambia la respuesta si cambia la pregunta</t>
        </is>
      </c>
      <c r="D25" s="5" t="inlineStr">
        <is>
          <t>Responde variantes de una misma pregunta</t>
        </is>
      </c>
      <c r="E25" s="5" t="inlineStr">
        <is>
          <t>Analiza qué cambió y por qué (sesgos del enunciado)</t>
        </is>
      </c>
      <c r="F25" s="6" t="n">
        <v>25</v>
      </c>
      <c r="G25" s="5" t="inlineStr">
        <is>
          <t>Objeto de análisis</t>
        </is>
      </c>
      <c r="H25" s="6" t="n">
        <v>5</v>
      </c>
      <c r="I25" s="5" t="inlineStr">
        <is>
          <t>Medio</t>
        </is>
      </c>
      <c r="J25" s="5" t="inlineStr">
        <is>
          <t>Análisis de variantes</t>
        </is>
      </c>
    </row>
    <row r="26">
      <c r="A26" s="5" t="inlineStr">
        <is>
          <t>AN5</t>
        </is>
      </c>
      <c r="B26" s="5" t="inlineStr">
        <is>
          <t>Analizar</t>
        </is>
      </c>
      <c r="C26" s="5" t="inlineStr">
        <is>
          <t>La gráfica que distorsiona</t>
        </is>
      </c>
      <c r="D26" s="5" t="inlineStr">
        <is>
          <t>Propone tres gráficas del mismo conjunto de datos</t>
        </is>
      </c>
      <c r="E26" s="5" t="inlineStr">
        <is>
          <t>Decide cuál distorsiona y por qué</t>
        </is>
      </c>
      <c r="F26" s="6" t="n">
        <v>25</v>
      </c>
      <c r="G26" s="5" t="inlineStr">
        <is>
          <t>Objeto de análisis</t>
        </is>
      </c>
      <c r="H26" s="6" t="n">
        <v>5</v>
      </c>
      <c r="I26" s="5" t="inlineStr">
        <is>
          <t>Bajo</t>
        </is>
      </c>
      <c r="J26" s="5" t="inlineStr">
        <is>
          <t>Justificación por gráfica</t>
        </is>
      </c>
    </row>
    <row r="27">
      <c r="A27" s="5" t="inlineStr">
        <is>
          <t>AN6</t>
        </is>
      </c>
      <c r="B27" s="5" t="inlineStr">
        <is>
          <t>Analizar</t>
        </is>
      </c>
      <c r="C27" s="5" t="inlineStr">
        <is>
          <t>Verifica las fuentes</t>
        </is>
      </c>
      <c r="D27" s="5" t="inlineStr">
        <is>
          <t>Lista fuentes para una afirmación</t>
        </is>
      </c>
      <c r="E27" s="5" t="inlineStr">
        <is>
          <t>Comprueba cuáles existen y qué dicen realmente</t>
        </is>
      </c>
      <c r="F27" s="6" t="n">
        <v>30</v>
      </c>
      <c r="G27" s="5" t="inlineStr">
        <is>
          <t>Objeto de análisis</t>
        </is>
      </c>
      <c r="H27" s="6" t="n">
        <v>5</v>
      </c>
      <c r="I27" s="5" t="inlineStr">
        <is>
          <t>Medio</t>
        </is>
      </c>
      <c r="J27" s="5" t="inlineStr">
        <is>
          <t>Tabla de fuentes verificadas</t>
        </is>
      </c>
    </row>
    <row r="28">
      <c r="A28" s="5" t="inlineStr">
        <is>
          <t>EV1</t>
        </is>
      </c>
      <c r="B28" s="5" t="inlineStr">
        <is>
          <t>Evaluar</t>
        </is>
      </c>
      <c r="C28" s="5" t="inlineStr">
        <is>
          <t>Jueces con rúbrica</t>
        </is>
      </c>
      <c r="D28" s="5" t="inlineStr">
        <is>
          <t>Genera una respuesta que se evalúa</t>
        </is>
      </c>
      <c r="E28" s="5" t="inlineStr">
        <is>
          <t>La califica con una rúbrica y justifica</t>
        </is>
      </c>
      <c r="F28" s="6" t="n">
        <v>25</v>
      </c>
      <c r="G28" s="5" t="inlineStr">
        <is>
          <t>Objeto de evaluación</t>
        </is>
      </c>
      <c r="H28" s="6" t="n">
        <v>5</v>
      </c>
      <c r="I28" s="5" t="inlineStr">
        <is>
          <t>Bajo</t>
        </is>
      </c>
      <c r="J28" s="5" t="inlineStr">
        <is>
          <t>Rúbrica diligenciada con justificación</t>
        </is>
      </c>
    </row>
    <row r="29">
      <c r="A29" s="5" t="inlineStr">
        <is>
          <t>EV2</t>
        </is>
      </c>
      <c r="B29" s="5" t="inlineStr">
        <is>
          <t>Evaluar</t>
        </is>
      </c>
      <c r="C29" s="5" t="inlineStr">
        <is>
          <t>Retroalimentación sobre mi borrador</t>
        </is>
      </c>
      <c r="D29" s="5" t="inlineStr">
        <is>
          <t>Comenta el borrador del estudiante</t>
        </is>
      </c>
      <c r="E29" s="5" t="inlineStr">
        <is>
          <t>Decide qué acepta y qué no, y por qué</t>
        </is>
      </c>
      <c r="F29" s="6" t="n">
        <v>25</v>
      </c>
      <c r="G29" s="5" t="inlineStr">
        <is>
          <t>Retroalimentador</t>
        </is>
      </c>
      <c r="H29" s="6" t="n">
        <v>4</v>
      </c>
      <c r="I29" s="5" t="inlineStr">
        <is>
          <t>Medio</t>
        </is>
      </c>
      <c r="J29" s="5" t="inlineStr">
        <is>
          <t>Bitácora de decisiones</t>
        </is>
      </c>
    </row>
    <row r="30">
      <c r="A30" s="5" t="inlineStr">
        <is>
          <t>EV3</t>
        </is>
      </c>
      <c r="B30" s="5" t="inlineStr">
        <is>
          <t>Evaluar</t>
        </is>
      </c>
      <c r="C30" s="5" t="inlineStr">
        <is>
          <t>Debate de posturas</t>
        </is>
      </c>
      <c r="D30" s="5" t="inlineStr">
        <is>
          <t>Defiende la postura contraria</t>
        </is>
      </c>
      <c r="E30" s="5" t="inlineStr">
        <is>
          <t>Evalúa la solidez de los argumentos de ambos lados</t>
        </is>
      </c>
      <c r="F30" s="6" t="n">
        <v>30</v>
      </c>
      <c r="G30" s="5" t="inlineStr">
        <is>
          <t>Contraparte</t>
        </is>
      </c>
      <c r="H30" s="6" t="n">
        <v>3</v>
      </c>
      <c r="I30" s="5" t="inlineStr">
        <is>
          <t>Medio</t>
        </is>
      </c>
      <c r="J30" s="5" t="inlineStr">
        <is>
          <t>Juicio razonado</t>
        </is>
      </c>
    </row>
    <row r="31">
      <c r="A31" s="5" t="inlineStr">
        <is>
          <t>EV4</t>
        </is>
      </c>
      <c r="B31" s="5" t="inlineStr">
        <is>
          <t>Evaluar</t>
        </is>
      </c>
      <c r="C31" s="5" t="inlineStr">
        <is>
          <t>Auditoría de una decisión</t>
        </is>
      </c>
      <c r="D31" s="5" t="inlineStr">
        <is>
          <t>Propone criterios para valorar una decisión o norma</t>
        </is>
      </c>
      <c r="E31" s="5" t="inlineStr">
        <is>
          <t>Ajusta los criterios y emite su juicio</t>
        </is>
      </c>
      <c r="F31" s="6" t="n">
        <v>30</v>
      </c>
      <c r="G31" s="5" t="inlineStr">
        <is>
          <t>Retroalimentador</t>
        </is>
      </c>
      <c r="H31" s="6" t="n">
        <v>3</v>
      </c>
      <c r="I31" s="5" t="inlineStr">
        <is>
          <t>Bajo</t>
        </is>
      </c>
      <c r="J31" s="5" t="inlineStr">
        <is>
          <t>Criterios y juicio</t>
        </is>
      </c>
    </row>
    <row r="32">
      <c r="A32" s="5" t="inlineStr">
        <is>
          <t>EV5</t>
        </is>
      </c>
      <c r="B32" s="5" t="inlineStr">
        <is>
          <t>Evaluar</t>
        </is>
      </c>
      <c r="C32" s="5" t="inlineStr">
        <is>
          <t>¿Es fiel el resumen?</t>
        </is>
      </c>
      <c r="D32" s="5" t="inlineStr">
        <is>
          <t>Resume un texto</t>
        </is>
      </c>
      <c r="E32" s="5" t="inlineStr">
        <is>
          <t>Contrasta el resumen con el original y juzga su fidelidad</t>
        </is>
      </c>
      <c r="F32" s="6" t="n">
        <v>25</v>
      </c>
      <c r="G32" s="5" t="inlineStr">
        <is>
          <t>Objeto de evaluación</t>
        </is>
      </c>
      <c r="H32" s="6" t="n">
        <v>5</v>
      </c>
      <c r="I32" s="5" t="inlineStr">
        <is>
          <t>Bajo</t>
        </is>
      </c>
      <c r="J32" s="5" t="inlineStr">
        <is>
          <t>Informe de fidelidad</t>
        </is>
      </c>
    </row>
    <row r="33">
      <c r="A33" s="5" t="inlineStr">
        <is>
          <t>EV6</t>
        </is>
      </c>
      <c r="B33" s="5" t="inlineStr">
        <is>
          <t>Evaluar</t>
        </is>
      </c>
      <c r="C33" s="5" t="inlineStr">
        <is>
          <t>Criterios de coevaluación</t>
        </is>
      </c>
      <c r="D33" s="5" t="inlineStr">
        <is>
          <t>Ayuda a redactar criterios</t>
        </is>
      </c>
      <c r="E33" s="5" t="inlineStr">
        <is>
          <t>El grupo los ajusta y los aplica a un trabajo</t>
        </is>
      </c>
      <c r="F33" s="6" t="n">
        <v>30</v>
      </c>
      <c r="G33" s="5" t="inlineStr">
        <is>
          <t>Apoyo de redacción</t>
        </is>
      </c>
      <c r="H33" s="6" t="n">
        <v>3</v>
      </c>
      <c r="I33" s="5" t="inlineStr">
        <is>
          <t>Bajo</t>
        </is>
      </c>
      <c r="J33" s="5" t="inlineStr">
        <is>
          <t>Criterios finales y coevaluación</t>
        </is>
      </c>
    </row>
    <row r="34">
      <c r="A34" s="5" t="inlineStr">
        <is>
          <t>CR1</t>
        </is>
      </c>
      <c r="B34" s="5" t="inlineStr">
        <is>
          <t>Crear</t>
        </is>
      </c>
      <c r="C34" s="5" t="inlineStr">
        <is>
          <t>Proyecto con bitácora de prompts</t>
        </is>
      </c>
      <c r="D34" s="5" t="inlineStr">
        <is>
          <t>Asiste en tareas acotadas del proyecto</t>
        </is>
      </c>
      <c r="E34" s="5" t="inlineStr">
        <is>
          <t>Diseña el proyecto y documenta cada uso de IA</t>
        </is>
      </c>
      <c r="F34" s="6" t="n">
        <v>45</v>
      </c>
      <c r="G34" s="5" t="inlineStr">
        <is>
          <t>Asistente documentado</t>
        </is>
      </c>
      <c r="H34" s="6" t="n">
        <v>4</v>
      </c>
      <c r="I34" s="5" t="inlineStr">
        <is>
          <t>Alto</t>
        </is>
      </c>
      <c r="J34" s="5" t="inlineStr">
        <is>
          <t>Producto y bitácora de uso</t>
        </is>
      </c>
    </row>
    <row r="35">
      <c r="A35" s="5" t="inlineStr">
        <is>
          <t>CR2</t>
        </is>
      </c>
      <c r="B35" s="5" t="inlineStr">
        <is>
          <t>Crear</t>
        </is>
      </c>
      <c r="C35" s="5" t="inlineStr">
        <is>
          <t>Un examen para los compañeros</t>
        </is>
      </c>
      <c r="D35" s="5" t="inlineStr">
        <is>
          <t>Revisa la claridad de las preguntas</t>
        </is>
      </c>
      <c r="E35" s="5" t="inlineStr">
        <is>
          <t>Diseña las preguntas y la clave</t>
        </is>
      </c>
      <c r="F35" s="6" t="n">
        <v>40</v>
      </c>
      <c r="G35" s="5" t="inlineStr">
        <is>
          <t>Retroalimentador</t>
        </is>
      </c>
      <c r="H35" s="6" t="n">
        <v>4</v>
      </c>
      <c r="I35" s="5" t="inlineStr">
        <is>
          <t>Medio</t>
        </is>
      </c>
      <c r="J35" s="5" t="inlineStr">
        <is>
          <t>Examen y clave</t>
        </is>
      </c>
    </row>
    <row r="36">
      <c r="A36" s="5" t="inlineStr">
        <is>
          <t>CR3</t>
        </is>
      </c>
      <c r="B36" s="5" t="inlineStr">
        <is>
          <t>Crear</t>
        </is>
      </c>
      <c r="C36" s="5" t="inlineStr">
        <is>
          <t>La misma idea en otro formato</t>
        </is>
      </c>
      <c r="D36" s="5" t="inlineStr">
        <is>
          <t>Propone borradores de un guion o infografía</t>
        </is>
      </c>
      <c r="E36" s="5" t="inlineStr">
        <is>
          <t>Decide, edita y presenta</t>
        </is>
      </c>
      <c r="F36" s="6" t="n">
        <v>40</v>
      </c>
      <c r="G36" s="5" t="inlineStr">
        <is>
          <t>Generador de material</t>
        </is>
      </c>
      <c r="H36" s="6" t="n">
        <v>4</v>
      </c>
      <c r="I36" s="5" t="inlineStr">
        <is>
          <t>Medio</t>
        </is>
      </c>
      <c r="J36" s="5" t="inlineStr">
        <is>
          <t>Producto final y borradores</t>
        </is>
      </c>
    </row>
    <row r="37">
      <c r="A37" s="5" t="inlineStr">
        <is>
          <t>CR4</t>
        </is>
      </c>
      <c r="B37" s="5" t="inlineStr">
        <is>
          <t>Crear</t>
        </is>
      </c>
      <c r="C37" s="5" t="inlineStr">
        <is>
          <t>Solución a un problema de la comunidad</t>
        </is>
      </c>
      <c r="D37" s="5" t="inlineStr">
        <is>
          <t>Aporta ideas en una lluvia de ideas</t>
        </is>
      </c>
      <c r="E37" s="5" t="inlineStr">
        <is>
          <t>Selecciona, prototipa y justifica</t>
        </is>
      </c>
      <c r="F37" s="6" t="n">
        <v>45</v>
      </c>
      <c r="G37" s="5" t="inlineStr">
        <is>
          <t>Generador de ideas</t>
        </is>
      </c>
      <c r="H37" s="6" t="n">
        <v>2</v>
      </c>
      <c r="I37" s="5" t="inlineStr">
        <is>
          <t>Medio</t>
        </is>
      </c>
      <c r="J37" s="5" t="inlineStr">
        <is>
          <t>Prototipo y justificación</t>
        </is>
      </c>
    </row>
    <row r="38">
      <c r="A38" s="5" t="inlineStr">
        <is>
          <t>CR5</t>
        </is>
      </c>
      <c r="B38" s="5" t="inlineStr">
        <is>
          <t>Crear</t>
        </is>
      </c>
      <c r="C38" s="5" t="inlineStr">
        <is>
          <t>Mi texto, la crítica de la IA</t>
        </is>
      </c>
      <c r="D38" s="5" t="inlineStr">
        <is>
          <t>Critica la coherencia del texto</t>
        </is>
      </c>
      <c r="E38" s="5" t="inlineStr">
        <is>
          <t>Escribe su texto y decide cómo revisarlo</t>
        </is>
      </c>
      <c r="F38" s="6" t="n">
        <v>40</v>
      </c>
      <c r="G38" s="5" t="inlineStr">
        <is>
          <t>Retroalimentador</t>
        </is>
      </c>
      <c r="H38" s="6" t="n">
        <v>4</v>
      </c>
      <c r="I38" s="5" t="inlineStr">
        <is>
          <t>Medio</t>
        </is>
      </c>
      <c r="J38" s="5" t="inlineStr">
        <is>
          <t>Versiones del texto y decisiones</t>
        </is>
      </c>
    </row>
    <row r="39">
      <c r="A39" s="5" t="inlineStr">
        <is>
          <t>CR6</t>
        </is>
      </c>
      <c r="B39" s="5" t="inlineStr">
        <is>
          <t>Crear</t>
        </is>
      </c>
      <c r="C39" s="5" t="inlineStr">
        <is>
          <t>Un tutor que no da la respuesta</t>
        </is>
      </c>
      <c r="D39" s="5" t="inlineStr">
        <is>
          <t>Responde como tutor con el prompt de los estudiantes</t>
        </is>
      </c>
      <c r="E39" s="5" t="inlineStr">
        <is>
          <t>Diseña y prueba prompts que enseñen sin resolver</t>
        </is>
      </c>
      <c r="F39" s="6" t="n">
        <v>45</v>
      </c>
      <c r="G39" s="5" t="inlineStr">
        <is>
          <t>Objeto de diseño</t>
        </is>
      </c>
      <c r="H39" s="6" t="n">
        <v>5</v>
      </c>
      <c r="I39" s="5" t="inlineStr">
        <is>
          <t>Alto</t>
        </is>
      </c>
      <c r="J39" s="5" t="inlineStr">
        <is>
          <t>Prompt, pruebas y mejoras</t>
        </is>
      </c>
    </row>
  </sheetData>
  <autoFilter ref="A3:J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40" customWidth="1" min="4" max="4"/>
    <col width="10" customWidth="1" min="5" max="5"/>
    <col width="16" customWidth="1" min="6" max="6"/>
    <col width="10" customWidth="1" min="7" max="7"/>
    <col width="16" customWidth="1" min="8" max="8"/>
  </cols>
  <sheetData>
    <row r="1">
      <c r="A1" s="1" t="inlineStr">
        <is>
          <t>PLAN DE UNIDAD: ESCRIBE LOS ID DE LAS ACTIVIDADES ELEGIDAS Y MIRA LA COBERTURA POR NIVEL (ejemplo: 8 actividades)</t>
        </is>
      </c>
    </row>
    <row r="3">
      <c r="A3" s="4" t="inlineStr">
        <is>
          <t>N.º</t>
        </is>
      </c>
      <c r="B3" s="4" t="inlineStr">
        <is>
          <t>ID elegido</t>
        </is>
      </c>
      <c r="C3" s="4" t="inlineStr">
        <is>
          <t>Nivel</t>
        </is>
      </c>
      <c r="D3" s="4" t="inlineStr">
        <is>
          <t>Actividad</t>
        </is>
      </c>
      <c r="E3" s="4" t="inlineStr">
        <is>
          <t>Minutos</t>
        </is>
      </c>
      <c r="F3" s="4" t="inlineStr">
        <is>
          <t>Nivel de uso de IA</t>
        </is>
      </c>
      <c r="G3" s="4" t="inlineStr">
        <is>
          <t>Riesgo</t>
        </is>
      </c>
      <c r="H3" s="4" t="inlineStr">
        <is>
          <t>Orden superior</t>
        </is>
      </c>
    </row>
    <row r="4">
      <c r="A4" t="n">
        <v>1</v>
      </c>
      <c r="B4" s="7" t="inlineStr">
        <is>
          <t>RE1</t>
        </is>
      </c>
      <c r="C4">
        <f>IF(B4="","",INDEX(Banco!$B$4:$B$39,MATCH(B4,Banco!$A$4:$A$39,0)))</f>
        <v/>
      </c>
      <c r="D4">
        <f>IF(B4="","",INDEX(Banco!$C$4:$C$39,MATCH(B4,Banco!$A$4:$A$39,0)))</f>
        <v/>
      </c>
      <c r="E4">
        <f>IF(B4="","",INDEX(Banco!$F$4:$F$39,MATCH(B4,Banco!$A$4:$A$39,0)))</f>
        <v/>
      </c>
      <c r="F4">
        <f>IF(B4="","",INDEX(Banco!$H$4:$H$39,MATCH(B4,Banco!$A$4:$A$39,0)))</f>
        <v/>
      </c>
      <c r="G4">
        <f>IF(B4="","",INDEX(Banco!$I$4:$I$39,MATCH(B4,Banco!$A$4:$A$39,0)))</f>
        <v/>
      </c>
      <c r="H4">
        <f>IF(B4="","",INDEX(Niveles!$E$4:$E$9,MATCH(C4,Niveles!$B$4:$B$9,0)))</f>
        <v/>
      </c>
    </row>
    <row r="5">
      <c r="A5" t="n">
        <v>2</v>
      </c>
      <c r="B5" s="7" t="inlineStr">
        <is>
          <t>CO4</t>
        </is>
      </c>
      <c r="C5">
        <f>IF(B5="","",INDEX(Banco!$B$4:$B$39,MATCH(B5,Banco!$A$4:$A$39,0)))</f>
        <v/>
      </c>
      <c r="D5">
        <f>IF(B5="","",INDEX(Banco!$C$4:$C$39,MATCH(B5,Banco!$A$4:$A$39,0)))</f>
        <v/>
      </c>
      <c r="E5">
        <f>IF(B5="","",INDEX(Banco!$F$4:$F$39,MATCH(B5,Banco!$A$4:$A$39,0)))</f>
        <v/>
      </c>
      <c r="F5">
        <f>IF(B5="","",INDEX(Banco!$H$4:$H$39,MATCH(B5,Banco!$A$4:$A$39,0)))</f>
        <v/>
      </c>
      <c r="G5">
        <f>IF(B5="","",INDEX(Banco!$I$4:$I$39,MATCH(B5,Banco!$A$4:$A$39,0)))</f>
        <v/>
      </c>
      <c r="H5">
        <f>IF(B5="","",INDEX(Niveles!$E$4:$E$9,MATCH(C5,Niveles!$B$4:$B$9,0)))</f>
        <v/>
      </c>
    </row>
    <row r="6">
      <c r="A6" t="n">
        <v>3</v>
      </c>
      <c r="B6" s="7" t="inlineStr">
        <is>
          <t>AP1</t>
        </is>
      </c>
      <c r="C6">
        <f>IF(B6="","",INDEX(Banco!$B$4:$B$39,MATCH(B6,Banco!$A$4:$A$39,0)))</f>
        <v/>
      </c>
      <c r="D6">
        <f>IF(B6="","",INDEX(Banco!$C$4:$C$39,MATCH(B6,Banco!$A$4:$A$39,0)))</f>
        <v/>
      </c>
      <c r="E6">
        <f>IF(B6="","",INDEX(Banco!$F$4:$F$39,MATCH(B6,Banco!$A$4:$A$39,0)))</f>
        <v/>
      </c>
      <c r="F6">
        <f>IF(B6="","",INDEX(Banco!$H$4:$H$39,MATCH(B6,Banco!$A$4:$A$39,0)))</f>
        <v/>
      </c>
      <c r="G6">
        <f>IF(B6="","",INDEX(Banco!$I$4:$I$39,MATCH(B6,Banco!$A$4:$A$39,0)))</f>
        <v/>
      </c>
      <c r="H6">
        <f>IF(B6="","",INDEX(Niveles!$E$4:$E$9,MATCH(C6,Niveles!$B$4:$B$9,0)))</f>
        <v/>
      </c>
    </row>
    <row r="7">
      <c r="A7" t="n">
        <v>4</v>
      </c>
      <c r="B7" s="7" t="inlineStr">
        <is>
          <t>AP3</t>
        </is>
      </c>
      <c r="C7">
        <f>IF(B7="","",INDEX(Banco!$B$4:$B$39,MATCH(B7,Banco!$A$4:$A$39,0)))</f>
        <v/>
      </c>
      <c r="D7">
        <f>IF(B7="","",INDEX(Banco!$C$4:$C$39,MATCH(B7,Banco!$A$4:$A$39,0)))</f>
        <v/>
      </c>
      <c r="E7">
        <f>IF(B7="","",INDEX(Banco!$F$4:$F$39,MATCH(B7,Banco!$A$4:$A$39,0)))</f>
        <v/>
      </c>
      <c r="F7">
        <f>IF(B7="","",INDEX(Banco!$H$4:$H$39,MATCH(B7,Banco!$A$4:$A$39,0)))</f>
        <v/>
      </c>
      <c r="G7">
        <f>IF(B7="","",INDEX(Banco!$I$4:$I$39,MATCH(B7,Banco!$A$4:$A$39,0)))</f>
        <v/>
      </c>
      <c r="H7">
        <f>IF(B7="","",INDEX(Niveles!$E$4:$E$9,MATCH(C7,Niveles!$B$4:$B$9,0)))</f>
        <v/>
      </c>
    </row>
    <row r="8">
      <c r="A8" t="n">
        <v>5</v>
      </c>
      <c r="B8" s="7" t="inlineStr">
        <is>
          <t>AN2</t>
        </is>
      </c>
      <c r="C8">
        <f>IF(B8="","",INDEX(Banco!$B$4:$B$39,MATCH(B8,Banco!$A$4:$A$39,0)))</f>
        <v/>
      </c>
      <c r="D8">
        <f>IF(B8="","",INDEX(Banco!$C$4:$C$39,MATCH(B8,Banco!$A$4:$A$39,0)))</f>
        <v/>
      </c>
      <c r="E8">
        <f>IF(B8="","",INDEX(Banco!$F$4:$F$39,MATCH(B8,Banco!$A$4:$A$39,0)))</f>
        <v/>
      </c>
      <c r="F8">
        <f>IF(B8="","",INDEX(Banco!$H$4:$H$39,MATCH(B8,Banco!$A$4:$A$39,0)))</f>
        <v/>
      </c>
      <c r="G8">
        <f>IF(B8="","",INDEX(Banco!$I$4:$I$39,MATCH(B8,Banco!$A$4:$A$39,0)))</f>
        <v/>
      </c>
      <c r="H8">
        <f>IF(B8="","",INDEX(Niveles!$E$4:$E$9,MATCH(C8,Niveles!$B$4:$B$9,0)))</f>
        <v/>
      </c>
    </row>
    <row r="9">
      <c r="A9" t="n">
        <v>6</v>
      </c>
      <c r="B9" s="7" t="inlineStr">
        <is>
          <t>AN6</t>
        </is>
      </c>
      <c r="C9">
        <f>IF(B9="","",INDEX(Banco!$B$4:$B$39,MATCH(B9,Banco!$A$4:$A$39,0)))</f>
        <v/>
      </c>
      <c r="D9">
        <f>IF(B9="","",INDEX(Banco!$C$4:$C$39,MATCH(B9,Banco!$A$4:$A$39,0)))</f>
        <v/>
      </c>
      <c r="E9">
        <f>IF(B9="","",INDEX(Banco!$F$4:$F$39,MATCH(B9,Banco!$A$4:$A$39,0)))</f>
        <v/>
      </c>
      <c r="F9">
        <f>IF(B9="","",INDEX(Banco!$H$4:$H$39,MATCH(B9,Banco!$A$4:$A$39,0)))</f>
        <v/>
      </c>
      <c r="G9">
        <f>IF(B9="","",INDEX(Banco!$I$4:$I$39,MATCH(B9,Banco!$A$4:$A$39,0)))</f>
        <v/>
      </c>
      <c r="H9">
        <f>IF(B9="","",INDEX(Niveles!$E$4:$E$9,MATCH(C9,Niveles!$B$4:$B$9,0)))</f>
        <v/>
      </c>
    </row>
    <row r="10">
      <c r="A10" t="n">
        <v>7</v>
      </c>
      <c r="B10" s="7" t="inlineStr">
        <is>
          <t>EV2</t>
        </is>
      </c>
      <c r="C10">
        <f>IF(B10="","",INDEX(Banco!$B$4:$B$39,MATCH(B10,Banco!$A$4:$A$39,0)))</f>
        <v/>
      </c>
      <c r="D10">
        <f>IF(B10="","",INDEX(Banco!$C$4:$C$39,MATCH(B10,Banco!$A$4:$A$39,0)))</f>
        <v/>
      </c>
      <c r="E10">
        <f>IF(B10="","",INDEX(Banco!$F$4:$F$39,MATCH(B10,Banco!$A$4:$A$39,0)))</f>
        <v/>
      </c>
      <c r="F10">
        <f>IF(B10="","",INDEX(Banco!$H$4:$H$39,MATCH(B10,Banco!$A$4:$A$39,0)))</f>
        <v/>
      </c>
      <c r="G10">
        <f>IF(B10="","",INDEX(Banco!$I$4:$I$39,MATCH(B10,Banco!$A$4:$A$39,0)))</f>
        <v/>
      </c>
      <c r="H10">
        <f>IF(B10="","",INDEX(Niveles!$E$4:$E$9,MATCH(C10,Niveles!$B$4:$B$9,0)))</f>
        <v/>
      </c>
    </row>
    <row r="11">
      <c r="A11" t="n">
        <v>8</v>
      </c>
      <c r="B11" s="7" t="inlineStr">
        <is>
          <t>CR6</t>
        </is>
      </c>
      <c r="C11">
        <f>IF(B11="","",INDEX(Banco!$B$4:$B$39,MATCH(B11,Banco!$A$4:$A$39,0)))</f>
        <v/>
      </c>
      <c r="D11">
        <f>IF(B11="","",INDEX(Banco!$C$4:$C$39,MATCH(B11,Banco!$A$4:$A$39,0)))</f>
        <v/>
      </c>
      <c r="E11">
        <f>IF(B11="","",INDEX(Banco!$F$4:$F$39,MATCH(B11,Banco!$A$4:$A$39,0)))</f>
        <v/>
      </c>
      <c r="F11">
        <f>IF(B11="","",INDEX(Banco!$H$4:$H$39,MATCH(B11,Banco!$A$4:$A$39,0)))</f>
        <v/>
      </c>
      <c r="G11">
        <f>IF(B11="","",INDEX(Banco!$I$4:$I$39,MATCH(B11,Banco!$A$4:$A$39,0)))</f>
        <v/>
      </c>
      <c r="H11">
        <f>IF(B11="","",INDEX(Niveles!$E$4:$E$9,MATCH(C11,Niveles!$B$4:$B$9,0)))</f>
        <v/>
      </c>
    </row>
    <row r="12">
      <c r="A12" t="n">
        <v>9</v>
      </c>
      <c r="B12" s="7" t="n"/>
      <c r="C12">
        <f>IF(B12="","",INDEX(Banco!$B$4:$B$39,MATCH(B12,Banco!$A$4:$A$39,0)))</f>
        <v/>
      </c>
      <c r="D12">
        <f>IF(B12="","",INDEX(Banco!$C$4:$C$39,MATCH(B12,Banco!$A$4:$A$39,0)))</f>
        <v/>
      </c>
      <c r="E12">
        <f>IF(B12="","",INDEX(Banco!$F$4:$F$39,MATCH(B12,Banco!$A$4:$A$39,0)))</f>
        <v/>
      </c>
      <c r="F12">
        <f>IF(B12="","",INDEX(Banco!$H$4:$H$39,MATCH(B12,Banco!$A$4:$A$39,0)))</f>
        <v/>
      </c>
      <c r="G12">
        <f>IF(B12="","",INDEX(Banco!$I$4:$I$39,MATCH(B12,Banco!$A$4:$A$39,0)))</f>
        <v/>
      </c>
      <c r="H12">
        <f>IF(B12="","",INDEX(Niveles!$E$4:$E$9,MATCH(C12,Niveles!$B$4:$B$9,0)))</f>
        <v/>
      </c>
    </row>
    <row r="13">
      <c r="A13" t="n">
        <v>10</v>
      </c>
      <c r="B13" s="7" t="n"/>
      <c r="C13">
        <f>IF(B13="","",INDEX(Banco!$B$4:$B$39,MATCH(B13,Banco!$A$4:$A$39,0)))</f>
        <v/>
      </c>
      <c r="D13">
        <f>IF(B13="","",INDEX(Banco!$C$4:$C$39,MATCH(B13,Banco!$A$4:$A$39,0)))</f>
        <v/>
      </c>
      <c r="E13">
        <f>IF(B13="","",INDEX(Banco!$F$4:$F$39,MATCH(B13,Banco!$A$4:$A$39,0)))</f>
        <v/>
      </c>
      <c r="F13">
        <f>IF(B13="","",INDEX(Banco!$H$4:$H$39,MATCH(B13,Banco!$A$4:$A$39,0)))</f>
        <v/>
      </c>
      <c r="G13">
        <f>IF(B13="","",INDEX(Banco!$I$4:$I$39,MATCH(B13,Banco!$A$4:$A$39,0)))</f>
        <v/>
      </c>
      <c r="H13">
        <f>IF(B13="","",INDEX(Niveles!$E$4:$E$9,MATCH(C13,Niveles!$B$4:$B$9,0)))</f>
        <v/>
      </c>
    </row>
    <row r="14">
      <c r="A14" t="n">
        <v>11</v>
      </c>
      <c r="B14" s="7" t="n"/>
      <c r="C14">
        <f>IF(B14="","",INDEX(Banco!$B$4:$B$39,MATCH(B14,Banco!$A$4:$A$39,0)))</f>
        <v/>
      </c>
      <c r="D14">
        <f>IF(B14="","",INDEX(Banco!$C$4:$C$39,MATCH(B14,Banco!$A$4:$A$39,0)))</f>
        <v/>
      </c>
      <c r="E14">
        <f>IF(B14="","",INDEX(Banco!$F$4:$F$39,MATCH(B14,Banco!$A$4:$A$39,0)))</f>
        <v/>
      </c>
      <c r="F14">
        <f>IF(B14="","",INDEX(Banco!$H$4:$H$39,MATCH(B14,Banco!$A$4:$A$39,0)))</f>
        <v/>
      </c>
      <c r="G14">
        <f>IF(B14="","",INDEX(Banco!$I$4:$I$39,MATCH(B14,Banco!$A$4:$A$39,0)))</f>
        <v/>
      </c>
      <c r="H14">
        <f>IF(B14="","",INDEX(Niveles!$E$4:$E$9,MATCH(C14,Niveles!$B$4:$B$9,0)))</f>
        <v/>
      </c>
    </row>
    <row r="15">
      <c r="A15" t="n">
        <v>12</v>
      </c>
      <c r="B15" s="7" t="n"/>
      <c r="C15">
        <f>IF(B15="","",INDEX(Banco!$B$4:$B$39,MATCH(B15,Banco!$A$4:$A$39,0)))</f>
        <v/>
      </c>
      <c r="D15">
        <f>IF(B15="","",INDEX(Banco!$C$4:$C$39,MATCH(B15,Banco!$A$4:$A$39,0)))</f>
        <v/>
      </c>
      <c r="E15">
        <f>IF(B15="","",INDEX(Banco!$F$4:$F$39,MATCH(B15,Banco!$A$4:$A$39,0)))</f>
        <v/>
      </c>
      <c r="F15">
        <f>IF(B15="","",INDEX(Banco!$H$4:$H$39,MATCH(B15,Banco!$A$4:$A$39,0)))</f>
        <v/>
      </c>
      <c r="G15">
        <f>IF(B15="","",INDEX(Banco!$I$4:$I$39,MATCH(B15,Banco!$A$4:$A$39,0)))</f>
        <v/>
      </c>
      <c r="H15">
        <f>IF(B15="","",INDEX(Niveles!$E$4:$E$9,MATCH(C15,Niveles!$B$4:$B$9,0)))</f>
        <v/>
      </c>
    </row>
    <row r="16">
      <c r="A16" t="n">
        <v>13</v>
      </c>
      <c r="B16" s="7" t="n"/>
      <c r="C16">
        <f>IF(B16="","",INDEX(Banco!$B$4:$B$39,MATCH(B16,Banco!$A$4:$A$39,0)))</f>
        <v/>
      </c>
      <c r="D16">
        <f>IF(B16="","",INDEX(Banco!$C$4:$C$39,MATCH(B16,Banco!$A$4:$A$39,0)))</f>
        <v/>
      </c>
      <c r="E16">
        <f>IF(B16="","",INDEX(Banco!$F$4:$F$39,MATCH(B16,Banco!$A$4:$A$39,0)))</f>
        <v/>
      </c>
      <c r="F16">
        <f>IF(B16="","",INDEX(Banco!$H$4:$H$39,MATCH(B16,Banco!$A$4:$A$39,0)))</f>
        <v/>
      </c>
      <c r="G16">
        <f>IF(B16="","",INDEX(Banco!$I$4:$I$39,MATCH(B16,Banco!$A$4:$A$39,0)))</f>
        <v/>
      </c>
      <c r="H16">
        <f>IF(B16="","",INDEX(Niveles!$E$4:$E$9,MATCH(C16,Niveles!$B$4:$B$9,0)))</f>
        <v/>
      </c>
    </row>
    <row r="17">
      <c r="A17" t="n">
        <v>14</v>
      </c>
      <c r="B17" s="7" t="n"/>
      <c r="C17">
        <f>IF(B17="","",INDEX(Banco!$B$4:$B$39,MATCH(B17,Banco!$A$4:$A$39,0)))</f>
        <v/>
      </c>
      <c r="D17">
        <f>IF(B17="","",INDEX(Banco!$C$4:$C$39,MATCH(B17,Banco!$A$4:$A$39,0)))</f>
        <v/>
      </c>
      <c r="E17">
        <f>IF(B17="","",INDEX(Banco!$F$4:$F$39,MATCH(B17,Banco!$A$4:$A$39,0)))</f>
        <v/>
      </c>
      <c r="F17">
        <f>IF(B17="","",INDEX(Banco!$H$4:$H$39,MATCH(B17,Banco!$A$4:$A$39,0)))</f>
        <v/>
      </c>
      <c r="G17">
        <f>IF(B17="","",INDEX(Banco!$I$4:$I$39,MATCH(B17,Banco!$A$4:$A$39,0)))</f>
        <v/>
      </c>
      <c r="H17">
        <f>IF(B17="","",INDEX(Niveles!$E$4:$E$9,MATCH(C17,Niveles!$B$4:$B$9,0)))</f>
        <v/>
      </c>
    </row>
    <row r="18">
      <c r="A18" t="n">
        <v>15</v>
      </c>
      <c r="B18" s="7" t="n"/>
      <c r="C18">
        <f>IF(B18="","",INDEX(Banco!$B$4:$B$39,MATCH(B18,Banco!$A$4:$A$39,0)))</f>
        <v/>
      </c>
      <c r="D18">
        <f>IF(B18="","",INDEX(Banco!$C$4:$C$39,MATCH(B18,Banco!$A$4:$A$39,0)))</f>
        <v/>
      </c>
      <c r="E18">
        <f>IF(B18="","",INDEX(Banco!$F$4:$F$39,MATCH(B18,Banco!$A$4:$A$39,0)))</f>
        <v/>
      </c>
      <c r="F18">
        <f>IF(B18="","",INDEX(Banco!$H$4:$H$39,MATCH(B18,Banco!$A$4:$A$39,0)))</f>
        <v/>
      </c>
      <c r="G18">
        <f>IF(B18="","",INDEX(Banco!$I$4:$I$39,MATCH(B18,Banco!$A$4:$A$39,0)))</f>
        <v/>
      </c>
      <c r="H18">
        <f>IF(B18="","",INDEX(Niveles!$E$4:$E$9,MATCH(C18,Niveles!$B$4:$B$9,0)))</f>
        <v/>
      </c>
    </row>
  </sheetData>
  <conditionalFormatting sqref="G4:G18">
    <cfRule type="expression" priority="1" dxfId="0">
      <formula>G4="Alto"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2026-10-11T20:59:49Z</dcterms:created>
  <dcterms:modified xmlns:dcterms="http://purl.org/dc/terms/" xmlns:xsi="http://www.w3.org/2001/XMLSchema-instance" xsi:type="dcterms:W3CDTF">2026-10-11T20:59:49Z</dcterms:modified>
</cp:coreProperties>
</file>