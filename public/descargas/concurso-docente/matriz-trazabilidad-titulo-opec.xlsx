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_trazabilidad" sheetId="1" state="visible" r:id="rId1"/>
    <sheet xmlns:r="http://schemas.openxmlformats.org/officeDocument/2006/relationships" name="Rumores_y_fuentes" sheetId="2" state="visible" r:id="rId2"/>
    <sheet xmlns:r="http://schemas.openxmlformats.org/officeDocument/2006/relationships" name="Consulta_a_la_entida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FFF2CC"/>
      </patternFill>
    </fill>
    <fill>
      <patternFill patternType="solid">
        <fgColor rgb="001B4B6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0" fontId="2" fillId="3" borderId="0" applyAlignment="1" pivotButton="0" quotePrefix="0" xfId="0">
      <alignment vertical="center" wrapText="1"/>
    </xf>
    <xf numFmtId="0" fontId="0" fillId="2" borderId="0" applyAlignment="1" pivotButton="0" quotePrefix="0" xfId="0">
      <alignment vertical="top" wrapText="1"/>
    </xf>
    <xf numFmtId="0" fontId="0" fillId="0" borderId="0" applyAlignment="1" pivotButton="0" quotePrefix="0" xfId="0">
      <alignment vertical="top" wrapText="1"/>
    </xf>
    <xf numFmtId="164" fontId="0" fillId="2" borderId="0" applyAlignment="1" pivotButton="0" quotePrefix="0" xfId="0">
      <alignment vertical="top" wrapText="1"/>
    </xf>
    <xf numFmtId="0" fontId="3"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13" customWidth="1" min="3" max="3"/>
    <col width="36" customWidth="1" min="4" max="4"/>
    <col width="24" customWidth="1" min="5" max="5"/>
    <col width="36" customWidth="1" min="6" max="6"/>
    <col width="16" customWidth="1" min="7" max="7"/>
    <col width="18" customWidth="1" min="8" max="8"/>
    <col width="15" customWidth="1" min="9" max="9"/>
    <col width="36" customWidth="1" min="10" max="10"/>
  </cols>
  <sheetData>
    <row r="1">
      <c r="A1" s="1" t="inlineStr">
        <is>
          <t>MATRIZ DE TRAZABILIDAD: REQUISITO DEL EMPLEO (OPEC) ↔ TU EVIDENCIA ↔ FUENTE OFICIAL (el ejemplo es ficticio: reemplázalo con tu empleo)</t>
        </is>
      </c>
    </row>
    <row r="2">
      <c r="A2" t="inlineStr">
        <is>
          <t>Copia el requisito TAL COMO aparece en el documento oficial del empleo. No lo interpretes ni lo «adaptes». Si una celda no tiene evidencia, el requisito queda sin cumplir hasta demostrar lo contrario.</t>
        </is>
      </c>
    </row>
    <row r="3">
      <c r="A3" t="inlineStr">
        <is>
          <t>Código del empleo (OPEC):</t>
        </is>
      </c>
      <c r="C3" s="2" t="inlineStr">
        <is>
          <t>(ejemplo) 000000</t>
        </is>
      </c>
      <c r="E3" t="inlineStr">
        <is>
          <t>Fecha de corte (último día de inscripciones; confirma en el acuerdo definitivo):</t>
        </is>
      </c>
      <c r="H3" s="3" t="n">
        <v>46418</v>
      </c>
    </row>
    <row r="5" ht="40" customHeight="1">
      <c r="A5" s="4" t="inlineStr">
        <is>
          <t>#</t>
        </is>
      </c>
      <c r="B5" s="4" t="inlineStr">
        <is>
          <t>Requisito (texto literal del documento oficial)</t>
        </is>
      </c>
      <c r="C5" s="4" t="inlineStr">
        <is>
          <t>Tipo</t>
        </is>
      </c>
      <c r="D5" s="4" t="inlineStr">
        <is>
          <t>Mi evidencia (documento)</t>
        </is>
      </c>
      <c r="E5" s="4" t="inlineStr">
        <is>
          <t>Dónde está (archivo y página)</t>
        </is>
      </c>
      <c r="F5" s="4" t="inlineStr">
        <is>
          <t>Fuente oficial para verificar</t>
        </is>
      </c>
      <c r="G5" s="4" t="inlineStr">
        <is>
          <t>Fecha del documento</t>
        </is>
      </c>
      <c r="H5" s="4" t="inlineStr">
        <is>
          <t>¿Anterior o igual a la fecha de corte?</t>
        </is>
      </c>
      <c r="I5" s="4" t="inlineStr">
        <is>
          <t>Estado</t>
        </is>
      </c>
      <c r="J5" s="4" t="inlineStr">
        <is>
          <t>Lo que me falta o me genera duda</t>
        </is>
      </c>
    </row>
    <row r="6">
      <c r="A6" t="n">
        <v>1</v>
      </c>
      <c r="B6" s="5" t="inlineStr">
        <is>
          <t>(ejemplo) Título profesional en el núcleo básico de conocimiento indicado en el empleo</t>
        </is>
      </c>
      <c r="C6" s="6" t="inlineStr">
        <is>
          <t>Estudio</t>
        </is>
      </c>
      <c r="D6" s="5" t="inlineStr">
        <is>
          <t>Diploma y acta de grado de la licenciatura</t>
        </is>
      </c>
      <c r="E6" s="5" t="inlineStr">
        <is>
          <t>diploma.pdf, p. 1</t>
        </is>
      </c>
      <c r="F6" s="6" t="inlineStr">
        <is>
          <t>SNIES: programa, código y núcleo básico del conocimiento</t>
        </is>
      </c>
      <c r="G6" s="7" t="n">
        <v>42350</v>
      </c>
      <c r="H6">
        <f>IF(G6="","",IF(G6&lt;=$H$3,"Sí","No: posterior al corte"))</f>
        <v/>
      </c>
      <c r="I6" s="5" t="inlineStr">
        <is>
          <t>Cumple</t>
        </is>
      </c>
      <c r="J6" s="2" t="n"/>
    </row>
    <row r="7">
      <c r="A7" t="n">
        <v>2</v>
      </c>
      <c r="B7" s="5" t="inlineStr">
        <is>
          <t>(ejemplo) Título de posgrado requerido, si el empleo lo exige</t>
        </is>
      </c>
      <c r="C7" s="6" t="inlineStr">
        <is>
          <t>Estudio</t>
        </is>
      </c>
      <c r="D7" s="5" t="inlineStr">
        <is>
          <t>Diploma de la especialización</t>
        </is>
      </c>
      <c r="E7" s="5" t="inlineStr">
        <is>
          <t>posgrado.pdf, p. 1</t>
        </is>
      </c>
      <c r="F7" s="6" t="inlineStr">
        <is>
          <t>SNIES y la institución que lo expidió</t>
        </is>
      </c>
      <c r="G7" s="7" t="n">
        <v>43636</v>
      </c>
      <c r="H7">
        <f>IF(G7="","",IF(G7&lt;=$H$3,"Sí","No: posterior al corte"))</f>
        <v/>
      </c>
      <c r="I7" s="5" t="inlineStr">
        <is>
          <t>Cumple</t>
        </is>
      </c>
      <c r="J7" s="2" t="n"/>
    </row>
    <row r="8">
      <c r="A8" t="n">
        <v>3</v>
      </c>
      <c r="B8" s="5" t="inlineStr">
        <is>
          <t>(ejemplo) Experiencia exigida por el empleo (tipo y tiempo)</t>
        </is>
      </c>
      <c r="C8" s="6" t="inlineStr">
        <is>
          <t>Experiencia</t>
        </is>
      </c>
      <c r="D8" s="5" t="inlineStr">
        <is>
          <t>Certificaciones laborales con fechas, cargo y funciones</t>
        </is>
      </c>
      <c r="E8" s="5" t="inlineStr">
        <is>
          <t>certificaciones.pdf, pp. 1-4</t>
        </is>
      </c>
      <c r="F8" s="6" t="inlineStr">
        <is>
          <t>Las entidades que certifican</t>
        </is>
      </c>
      <c r="G8" s="7" t="n">
        <v>45599</v>
      </c>
      <c r="H8">
        <f>IF(G8="","",IF(G8&lt;=$H$3,"Sí","No: posterior al corte"))</f>
        <v/>
      </c>
      <c r="I8" s="5" t="inlineStr">
        <is>
          <t>Dudo</t>
        </is>
      </c>
      <c r="J8" s="2" t="n"/>
    </row>
    <row r="9">
      <c r="A9" t="n">
        <v>4</v>
      </c>
      <c r="B9" s="5" t="inlineStr">
        <is>
          <t>(ejemplo) Otro requisito que diga el documento (por ejemplo, un documento de identidad o un registro)</t>
        </is>
      </c>
      <c r="C9" s="6" t="inlineStr">
        <is>
          <t>Otro</t>
        </is>
      </c>
      <c r="D9" s="5" t="inlineStr"/>
      <c r="E9" s="5" t="inlineStr"/>
      <c r="F9" s="6" t="inlineStr">
        <is>
          <t>El documento oficial del empleo</t>
        </is>
      </c>
      <c r="G9" s="7" t="n"/>
      <c r="H9">
        <f>IF(G9="","",IF(G9&lt;=$H$3,"Sí","No: posterior al corte"))</f>
        <v/>
      </c>
      <c r="I9" s="5" t="inlineStr">
        <is>
          <t>Sin evidencia</t>
        </is>
      </c>
      <c r="J9" s="2" t="n"/>
    </row>
    <row r="10">
      <c r="A10" t="n">
        <v>5</v>
      </c>
      <c r="B10" s="2" t="n"/>
      <c r="C10" s="2" t="n"/>
      <c r="D10" s="2" t="n"/>
      <c r="E10" s="2" t="n"/>
      <c r="F10" s="2" t="n"/>
      <c r="G10" s="3" t="n"/>
      <c r="H10">
        <f>IF(G10="","",IF(G10&lt;=$H$3,"Sí","No: posterior al corte"))</f>
        <v/>
      </c>
      <c r="I10" s="2" t="n"/>
      <c r="J10" s="2" t="n"/>
    </row>
    <row r="11">
      <c r="A11" t="n">
        <v>6</v>
      </c>
      <c r="B11" s="2" t="n"/>
      <c r="C11" s="2" t="n"/>
      <c r="D11" s="2" t="n"/>
      <c r="E11" s="2" t="n"/>
      <c r="F11" s="2" t="n"/>
      <c r="G11" s="3" t="n"/>
      <c r="H11">
        <f>IF(G11="","",IF(G11&lt;=$H$3,"Sí","No: posterior al corte"))</f>
        <v/>
      </c>
      <c r="I11" s="2" t="n"/>
      <c r="J11" s="2" t="n"/>
    </row>
    <row r="12">
      <c r="A12" t="n">
        <v>7</v>
      </c>
      <c r="B12" s="2" t="n"/>
      <c r="C12" s="2" t="n"/>
      <c r="D12" s="2" t="n"/>
      <c r="E12" s="2" t="n"/>
      <c r="F12" s="2" t="n"/>
      <c r="G12" s="3" t="n"/>
      <c r="H12">
        <f>IF(G12="","",IF(G12&lt;=$H$3,"Sí","No: posterior al corte"))</f>
        <v/>
      </c>
      <c r="I12" s="2" t="n"/>
      <c r="J12" s="2" t="n"/>
    </row>
    <row r="13">
      <c r="A13" t="n">
        <v>8</v>
      </c>
      <c r="B13" s="2" t="n"/>
      <c r="C13" s="2" t="n"/>
      <c r="D13" s="2" t="n"/>
      <c r="E13" s="2" t="n"/>
      <c r="F13" s="2" t="n"/>
      <c r="G13" s="3" t="n"/>
      <c r="H13">
        <f>IF(G13="","",IF(G13&lt;=$H$3,"Sí","No: posterior al corte"))</f>
        <v/>
      </c>
      <c r="I13" s="2" t="n"/>
      <c r="J13" s="2" t="n"/>
    </row>
    <row r="14">
      <c r="A14" t="n">
        <v>9</v>
      </c>
      <c r="B14" s="2" t="n"/>
      <c r="C14" s="2" t="n"/>
      <c r="D14" s="2" t="n"/>
      <c r="E14" s="2" t="n"/>
      <c r="F14" s="2" t="n"/>
      <c r="G14" s="3" t="n"/>
      <c r="H14">
        <f>IF(G14="","",IF(G14&lt;=$H$3,"Sí","No: posterior al corte"))</f>
        <v/>
      </c>
      <c r="I14" s="2" t="n"/>
      <c r="J14" s="2" t="n"/>
    </row>
    <row r="15">
      <c r="A15" t="n">
        <v>10</v>
      </c>
      <c r="B15" s="2" t="n"/>
      <c r="C15" s="2" t="n"/>
      <c r="D15" s="2" t="n"/>
      <c r="E15" s="2" t="n"/>
      <c r="F15" s="2" t="n"/>
      <c r="G15" s="3" t="n"/>
      <c r="H15">
        <f>IF(G15="","",IF(G15&lt;=$H$3,"Sí","No: posterior al corte"))</f>
        <v/>
      </c>
      <c r="I15" s="2" t="n"/>
      <c r="J15" s="2" t="n"/>
    </row>
    <row r="16">
      <c r="A16" t="n">
        <v>11</v>
      </c>
      <c r="B16" s="2" t="n"/>
      <c r="C16" s="2" t="n"/>
      <c r="D16" s="2" t="n"/>
      <c r="E16" s="2" t="n"/>
      <c r="F16" s="2" t="n"/>
      <c r="G16" s="3" t="n"/>
      <c r="H16">
        <f>IF(G16="","",IF(G16&lt;=$H$3,"Sí","No: posterior al corte"))</f>
        <v/>
      </c>
      <c r="I16" s="2" t="n"/>
      <c r="J16" s="2" t="n"/>
    </row>
    <row r="17">
      <c r="A17" t="n">
        <v>12</v>
      </c>
      <c r="B17" s="2" t="n"/>
      <c r="C17" s="2" t="n"/>
      <c r="D17" s="2" t="n"/>
      <c r="E17" s="2" t="n"/>
      <c r="F17" s="2" t="n"/>
      <c r="G17" s="3" t="n"/>
      <c r="H17">
        <f>IF(G17="","",IF(G17&lt;=$H$3,"Sí","No: posterior al corte"))</f>
        <v/>
      </c>
      <c r="I17" s="2" t="n"/>
      <c r="J17" s="2" t="n"/>
    </row>
    <row r="19">
      <c r="B19" s="8" t="inlineStr">
        <is>
          <t>Resumen</t>
        </is>
      </c>
    </row>
    <row r="20">
      <c r="B20" t="inlineStr">
        <is>
          <t>Requisitos listados</t>
        </is>
      </c>
      <c r="D20">
        <f>COUNTA(B6:B17)</f>
        <v/>
      </c>
    </row>
    <row r="21">
      <c r="B21" t="inlineStr">
        <is>
          <t>Cumple (con evidencia)</t>
        </is>
      </c>
      <c r="D21">
        <f>COUNTIF(I6:I17,"Cumple")</f>
        <v/>
      </c>
    </row>
    <row r="22">
      <c r="B22" t="inlineStr">
        <is>
          <t>Dudo</t>
        </is>
      </c>
      <c r="D22">
        <f>COUNTIF(I6:I17,"Dudo")</f>
        <v/>
      </c>
    </row>
    <row r="23">
      <c r="B23" t="inlineStr">
        <is>
          <t>Sin evidencia</t>
        </is>
      </c>
      <c r="D23">
        <f>COUNTIF(I6:I17,"Sin evidencia")</f>
        <v/>
      </c>
    </row>
    <row r="24">
      <c r="B24" t="inlineStr">
        <is>
          <t>No cumple</t>
        </is>
      </c>
      <c r="D24">
        <f>COUNTIF(I6:I17,"No cumple")</f>
        <v/>
      </c>
    </row>
    <row r="25">
      <c r="B25" t="inlineStr">
        <is>
          <t>Documentos posteriores a la fecha de corte</t>
        </is>
      </c>
      <c r="D25">
        <f>COUNTIF(H6:H17,"No*")</f>
        <v/>
      </c>
    </row>
    <row r="27">
      <c r="B27" t="inlineStr">
        <is>
          <t>Lectura</t>
        </is>
      </c>
      <c r="D27">
        <f>IF(D20=0,"",IF(AND(D22=0,D23=0,D24=0,D25=0),"Todos los requisitos listados tienen evidencia y están a la fecha: revisa de nuevo con el documento oficial","Hay requisitos por resolver antes de inscribirte"))</f>
        <v/>
      </c>
    </row>
    <row r="29" ht="36" customHeight="1">
      <c r="B29" s="6" t="inlineStr">
        <is>
          <t>Esta matriz no decide si cumples: solo ordena la evidencia. La verificación de requisitos la hace la CNSC con los documentos que cargues en SIMO, y las reglas definitivas están en el acuerdo y su anexo técnico.</t>
        </is>
      </c>
    </row>
  </sheetData>
  <mergeCells count="1">
    <mergeCell ref="B29:J29"/>
  </mergeCells>
  <dataValidations count="2">
    <dataValidation sqref="I6:I17" showDropDown="0" showInputMessage="0" showErrorMessage="0" allowBlank="0" type="list">
      <formula1>"Cumple,Dudo,Sin evidencia,No cumple"</formula1>
    </dataValidation>
    <dataValidation sqref="C6:C17" showDropDown="0" showInputMessage="0" showErrorMessage="0" allowBlank="0" type="list">
      <formula1>"Estudio,Experiencia,Otro"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8" customWidth="1" min="1" max="1"/>
    <col width="64" customWidth="1" min="2" max="2"/>
    <col width="64" customWidth="1" min="3" max="3"/>
  </cols>
  <sheetData>
    <row r="1">
      <c r="A1" s="1" t="inlineStr">
        <is>
          <t>RUMORES FRECUENTES Y CÓMO VERIFICARLOS (sin afirmar nada que no esté en la fuente oficial)</t>
        </is>
      </c>
    </row>
    <row r="3">
      <c r="A3" s="9" t="inlineStr">
        <is>
          <t>Rumor</t>
        </is>
      </c>
      <c r="B3" s="9" t="inlineStr">
        <is>
          <t>Por qué es riesgoso</t>
        </is>
      </c>
      <c r="C3" s="9" t="inlineStr">
        <is>
          <t>Cómo verificarlo con fuente oficial</t>
        </is>
      </c>
    </row>
    <row r="4">
      <c r="A4" s="6" t="inlineStr">
        <is>
          <t>«Mi título sirve porque es parecido o de la misma área»</t>
        </is>
      </c>
      <c r="B4" s="6" t="inlineStr">
        <is>
          <t>La CNSC verifica contra el requisito literal del empleo; según el proyecto (matriz de respuestas de septiembre de 2026), no se aceptan equivalencias por afinidad. Confirma en el acuerdo definitivo.</t>
        </is>
      </c>
      <c r="C4" s="6" t="inlineStr">
        <is>
          <t>Lee el requisito del empleo, busca tu programa en SNIES (código y núcleo básico del conocimiento) y compara con el texto literal.</t>
        </is>
      </c>
    </row>
    <row r="5">
      <c r="A5" s="6" t="inlineStr">
        <is>
          <t>«Un grupo de WhatsApp o un académico me dijo que sí cumplo»</t>
        </is>
      </c>
      <c r="B5" s="6" t="inlineStr">
        <is>
          <t>Nadie distinto de la CNSC define si cumples; las respuestas informales no te protegen.</t>
        </is>
      </c>
      <c r="C5" s="6" t="inlineStr">
        <is>
          <t>Si tienes una duda real, consúltala por los canales oficiales de la CNSC y guarda la respuesta.</t>
        </is>
      </c>
    </row>
    <row r="6">
      <c r="A6" s="6" t="inlineStr">
        <is>
          <t>«El título del año pasado vale igual que el de este año»</t>
        </is>
      </c>
      <c r="B6" s="6" t="inlineStr">
        <is>
          <t>La fecha del documento importa frente a la fecha de corte.</t>
        </is>
      </c>
      <c r="C6" s="6" t="inlineStr">
        <is>
          <t>Revisa la fecha de corte en el acuerdo definitivo y la fecha de expedición o de grado de tu documento.</t>
        </is>
      </c>
    </row>
    <row r="7">
      <c r="A7" s="6" t="inlineStr">
        <is>
          <t>«Las cifras de vacantes que vi son definitivas»</t>
        </is>
      </c>
      <c r="B7" s="6" t="inlineStr">
        <is>
          <t>La OPEC preliminar es un borrador y puede variar.</t>
        </is>
      </c>
      <c r="C7" s="6" t="inlineStr">
        <is>
          <t>Consulta la OPEC vigente en SIMO antes de decidir.</t>
        </is>
      </c>
    </row>
    <row r="8">
      <c r="A8" s="6" t="inlineStr">
        <is>
          <t>«Con una especialización cubro cualquier requisito de maestría»</t>
        </is>
      </c>
      <c r="B8" s="6" t="inlineStr">
        <is>
          <t>Cada empleo define el nivel y el tipo de estudio exigido.</t>
        </is>
      </c>
      <c r="C8" s="6" t="inlineStr">
        <is>
          <t>Compara el nivel exigido por el empleo con el de tu título, tal cual está escrito.</t>
        </is>
      </c>
    </row>
    <row r="9">
      <c r="A9" s="6" t="inlineStr">
        <is>
          <t>«La experiencia se cuenta desde que empecé a trabajar»</t>
        </is>
      </c>
      <c r="B9" s="6" t="inlineStr">
        <is>
          <t>Solo cuenta lo que el documento oficial define y lo que certifica la entidad con los datos exigidos.</t>
        </is>
      </c>
      <c r="C9" s="6" t="inlineStr">
        <is>
          <t>Lee cómo define el empleo la experiencia y compara con cada certificación (fechas, cargo, funciones).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PLANTILLA DE CONSULTA ESCRITA (adáptala; úsala por los canales oficiales de la CNSC o de la entidad)</t>
        </is>
      </c>
    </row>
    <row r="3">
      <c r="A3" s="5" t="inlineStr">
        <is>
          <t>Asunto: Consulta sobre el cumplimiento del requisito de estudio del empleo código [____] (proceso de docentes y directivos docentes)</t>
        </is>
      </c>
    </row>
    <row r="4">
      <c r="A4" s="5" t="inlineStr">
        <is>
          <t>Mi nombre completo y número de documento: [____]</t>
        </is>
      </c>
    </row>
    <row r="5">
      <c r="A5" s="5" t="inlineStr">
        <is>
          <t>Empleo al que me interesa inscribirme: [código OPEC, cargo, entidad territorial]</t>
        </is>
      </c>
    </row>
    <row r="6">
      <c r="A6" s="5" t="inlineStr">
        <is>
          <t>Requisito del empleo, transcrito literalmente del documento oficial: «[____]»</t>
        </is>
      </c>
    </row>
    <row r="7">
      <c r="A7" s="5" t="inlineStr">
        <is>
          <t>Mi título: [denominación exacta], expedido por [institución] el [fecha]; código SNIES del programa: [____]; núcleo básico del conocimiento según el SNIES: [____]</t>
        </is>
      </c>
    </row>
    <row r="8">
      <c r="A8" s="5" t="inlineStr">
        <is>
          <t>Mi pregunta concreta (una sola): [por ejemplo: ¿el programa [____] cumple el requisito de estudio transcrito?]</t>
        </is>
      </c>
    </row>
    <row r="9">
      <c r="A9" s="5" t="inlineStr">
        <is>
          <t>Documentos que adjunto: diploma, acta de grado y ficha del programa en SNIES.</t>
        </is>
      </c>
    </row>
    <row r="10">
      <c r="A10" s="5" t="inlineStr">
        <is>
          <t>Solicito respuesta por escrito al correo [____]. Guardaré la respuesta como evidencia.</t>
        </is>
      </c>
    </row>
    <row r="12" ht="48" customHeight="1">
      <c r="A12" s="6" t="inlineStr">
        <is>
          <t>Nota: el plazo de respuesta a una petición lo define la normativa aplicable y el canal que uses; verifica en el sitio oficial. Una consulta no es una garantía de que cumplas: la verificación formal ocurre con los documentos cargados en SIMO.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2026-10-10T01:26:12Z</dcterms:created>
  <dcterms:modified xmlns:dcterms="http://purl.org/dc/terms/" xmlns:xsi="http://www.w3.org/2001/XMLSchema-instance" xsi:type="dcterms:W3CDTF">2026-10-10T01:26:12Z</dcterms:modified>
</cp:coreProperties>
</file>