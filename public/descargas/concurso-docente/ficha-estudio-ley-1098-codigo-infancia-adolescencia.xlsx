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" sheetId="1" state="visible" r:id="rId1"/>
    <sheet xmlns:r="http://schemas.openxmlformats.org/officeDocument/2006/relationships" name="Obligaciones" sheetId="2" state="visible" r:id="rId2"/>
    <sheet xmlns:r="http://schemas.openxmlformats.org/officeDocument/2006/relationships" name="Casos" sheetId="3" state="visible" r:id="rId3"/>
    <sheet xmlns:r="http://schemas.openxmlformats.org/officeDocument/2006/relationships" name="Tarje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20" customWidth="1" min="3" max="3"/>
  </cols>
  <sheetData>
    <row r="1">
      <c r="A1" s="1" t="inlineStr">
        <is>
          <t>LEY 1098 DE 2006, CÓDIGO DE LA INFANCIA Y LA ADOLESCENCIA: MAPA DE ESTUDIO</t>
        </is>
      </c>
    </row>
    <row r="2" ht="32" customHeight="1">
      <c r="A2" s="2" t="inlineStr">
        <is>
          <t>Resumen propio del texto de la Ley 1098 de 2006 publicado por la Secretaría del Senado (actualizado a septiembre de 2026), consultado el 10 de octubre de 2026. Verifica siempre el texto vigente: la ley ha sido modificada varias veces.</t>
        </is>
      </c>
    </row>
    <row r="4">
      <c r="A4" s="3" t="inlineStr">
        <is>
          <t>Tema</t>
        </is>
      </c>
      <c r="B4" s="3" t="inlineStr">
        <is>
          <t>Artículo</t>
        </is>
      </c>
      <c r="C4" s="3" t="inlineStr">
        <is>
          <t>Idea central (resumen propio)</t>
        </is>
      </c>
    </row>
    <row r="5">
      <c r="A5" s="2" t="inlineStr">
        <is>
          <t>Sujetos titulares</t>
        </is>
      </c>
      <c r="B5" s="2" t="inlineStr">
        <is>
          <t>Art. 3</t>
        </is>
      </c>
      <c r="C5" s="2" t="inlineStr">
        <is>
          <t>Todas las personas menores de 18 años; niño o niña, de 0 a 12 años; adolescente, de 12 a 18. En caso de duda sobre la edad, se presume la inferior.</t>
        </is>
      </c>
    </row>
    <row r="6">
      <c r="A6" s="2" t="inlineStr">
        <is>
          <t>Interpretación</t>
        </is>
      </c>
      <c r="B6" s="2" t="inlineStr">
        <is>
          <t>Art. 6</t>
        </is>
      </c>
      <c r="C6" s="2" t="inlineStr">
        <is>
          <t>La Constitución y los tratados de derechos humanos ratificados (en especial la Convención sobre los Derechos del Niño) hacen parte integral del Código; se aplica siempre la norma más favorable al interés superior.</t>
        </is>
      </c>
    </row>
    <row r="7">
      <c r="A7" s="2" t="inlineStr">
        <is>
          <t>Protección integral</t>
        </is>
      </c>
      <c r="B7" s="2" t="inlineStr">
        <is>
          <t>Art. 7</t>
        </is>
      </c>
      <c r="C7" s="2" t="inlineStr">
        <is>
          <t>Reconocimiento como sujetos de derechos, garantía y cumplimiento, prevención de su amenaza o vulneración y restablecimiento inmediato.</t>
        </is>
      </c>
    </row>
    <row r="8">
      <c r="A8" s="2" t="inlineStr">
        <is>
          <t>Interés superior</t>
        </is>
      </c>
      <c r="B8" s="2" t="inlineStr">
        <is>
          <t>Art. 8</t>
        </is>
      </c>
      <c r="C8" s="2" t="inlineStr">
        <is>
          <t>Imperativo que obliga a todas las personas a garantizar la satisfacción integral y simultánea de todos sus derechos, que son universales, prevalentes e interdependientes.</t>
        </is>
      </c>
    </row>
    <row r="9">
      <c r="A9" s="2" t="inlineStr">
        <is>
          <t>Prevalencia de los derechos</t>
        </is>
      </c>
      <c r="B9" s="2" t="inlineStr">
        <is>
          <t>Art. 9</t>
        </is>
      </c>
      <c r="C9" s="2" t="inlineStr">
        <is>
          <t>En todo acto o decisión prevalecen los derechos de los niños, en especial si hay conflicto con los de otra persona; entre normas en conflicto se aplica la más favorable.</t>
        </is>
      </c>
    </row>
    <row r="10">
      <c r="A10" s="2" t="inlineStr">
        <is>
          <t>Corresponsabilidad</t>
        </is>
      </c>
      <c r="B10" s="2" t="inlineStr">
        <is>
          <t>Art. 10</t>
        </is>
      </c>
      <c r="C10" s="2" t="inlineStr">
        <is>
          <t>La familia, la sociedad y el Estado son corresponsables de la atención, el cuidado y la protección; las instituciones obligadas a prestar servicios sociales no pueden invocarla para negar la atención.</t>
        </is>
      </c>
    </row>
    <row r="11">
      <c r="A11" s="2" t="inlineStr">
        <is>
          <t>Perspectiva de género</t>
        </is>
      </c>
      <c r="B11" s="2" t="inlineStr">
        <is>
          <t>Art. 12</t>
        </is>
      </c>
      <c r="C11" s="2" t="inlineStr">
        <is>
          <t>Reconocimiento de las diferencias sociales, biológicas y psicológicas entre las personas según sexo, edad, etnia y rol, para alcanzar la equidad.</t>
        </is>
      </c>
    </row>
    <row r="12">
      <c r="A12" s="2" t="inlineStr">
        <is>
          <t>Integridad personal y maltrato</t>
        </is>
      </c>
      <c r="B12" s="2" t="inlineStr">
        <is>
          <t>Art. 18</t>
        </is>
      </c>
      <c r="C12" s="2" t="inlineStr">
        <is>
          <t>Derecho a ser protegido contra acciones que causen daño o sufrimiento físico, sexual o psicológico, incluido el maltrato por miembros del grupo familiar, escolar y comunitario; define maltrato infantil.</t>
        </is>
      </c>
    </row>
    <row r="13">
      <c r="A13" s="2" t="inlineStr">
        <is>
          <t>Buen trato</t>
        </is>
      </c>
      <c r="B13" s="2" t="inlineStr">
        <is>
          <t>Art. 18A (Ley 2089 de 2021)</t>
        </is>
      </c>
      <c r="C13" s="2" t="inlineStr">
        <is>
          <t>Derecho a recibir orientación, educación, cuidado y disciplina por métodos no violentos; en ningún caso se admiten los castigos físicos como forma de corrección.</t>
        </is>
      </c>
    </row>
    <row r="14">
      <c r="A14" s="2" t="inlineStr">
        <is>
          <t>Derechos de protección</t>
        </is>
      </c>
      <c r="B14" s="2" t="inlineStr">
        <is>
          <t>Art. 20</t>
        </is>
      </c>
      <c r="C14" s="2" t="inlineStr">
        <is>
          <t>Protección contra el abandono, la explotación, las sustancias psicoactivas, la violencia sexual, los tratos crueles, humillantes y degradantes, el trabajo infantil, entre otros riesgos.</t>
        </is>
      </c>
    </row>
    <row r="15">
      <c r="A15" s="2" t="inlineStr">
        <is>
          <t>Debido proceso</t>
        </is>
      </c>
      <c r="B15" s="2" t="inlineStr">
        <is>
          <t>Art. 26</t>
        </is>
      </c>
      <c r="C15" s="2" t="inlineStr">
        <is>
          <t>Garantías del debido proceso en toda actuación en que estén involucrados, con derecho a ser escuchados y a que se tengan en cuenta sus opiniones.</t>
        </is>
      </c>
    </row>
    <row r="16">
      <c r="A16" s="2" t="inlineStr">
        <is>
          <t>Educación</t>
        </is>
      </c>
      <c r="B16" s="2" t="inlineStr">
        <is>
          <t>Art. 28</t>
        </is>
      </c>
      <c r="C16" s="2" t="inlineStr">
        <is>
          <t>Derecho a una educación de calidad, obligatoria por parte del Estado en un año de preescolar y nueve de básica, gratuita en instituciones estatales.</t>
        </is>
      </c>
    </row>
    <row r="17">
      <c r="A17" s="2" t="inlineStr">
        <is>
          <t>Intimidad</t>
        </is>
      </c>
      <c r="B17" s="2" t="inlineStr">
        <is>
          <t>Art. 33</t>
        </is>
      </c>
      <c r="C17" s="2" t="inlineStr">
        <is>
          <t>Protección contra injerencia arbitraria o ilegal en su vida privada y contra conductas que afecten su dignidad.</t>
        </is>
      </c>
    </row>
    <row r="18">
      <c r="A18" s="2" t="inlineStr">
        <is>
          <t>Obligaciones especiales de las instituciones educativas</t>
        </is>
      </c>
      <c r="B18" s="2" t="inlineStr">
        <is>
          <t>Art. 42</t>
        </is>
      </c>
      <c r="C18" s="2" t="inlineStr">
        <is>
          <t>Doce obligaciones: acceso y permanencia, calidad, respeto de la dignidad, participación, comunicación con los padres, nivelación y orientación psicopedagógica, cultura, no discriminación, entre otras; módulo de orientación para la crianza articulado al PEI (par. 1, Ley 1453 de 2011).</t>
        </is>
      </c>
    </row>
    <row r="19">
      <c r="A19" s="2" t="inlineStr">
        <is>
          <t>Obligación ética fundamental</t>
        </is>
      </c>
      <c r="B19" s="2" t="inlineStr">
        <is>
          <t>Art. 43</t>
        </is>
      </c>
      <c r="C19" s="2" t="inlineStr">
        <is>
          <t>Las instituciones de primaria y secundaria, públicas y privadas, deben garantizar el respeto a la dignidad, la vida y la integridad física y moral dentro de la convivencia escolar: formar en valores, proteger de maltrato, humillación o burla (incluida la de profesores) y fijar mecanismos disuasivos, correctivos y reeducativos en sus reglamentos.</t>
        </is>
      </c>
    </row>
    <row r="20">
      <c r="A20" s="2" t="inlineStr">
        <is>
          <t>Obligaciones complementarias</t>
        </is>
      </c>
      <c r="B20" s="2" t="inlineStr">
        <is>
          <t>Art. 44</t>
        </is>
      </c>
      <c r="C20" s="2" t="inlineStr">
        <is>
          <t>Directivos y docentes ponen en marcha mecanismos de detección oportuna y orientación en casos de malnutrición, maltrato, abandono, abuso sexual y violencia intrafamiliar; reporte a las autoridades competentes; prevención de sustancias psicoactivas; apoyos para estudiantes con discapacidad, entre otros.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00" customWidth="1" min="3" max="3"/>
    <col width="30" customWidth="1" min="4" max="4"/>
  </cols>
  <sheetData>
    <row r="1">
      <c r="A1" s="1" t="inlineStr">
        <is>
          <t>AUTODIAGNÓSTICO: OBLIGACIONES DE LAS INSTITUCIONES EDUCATIVAS (arts. 42, 43 y 44) Y SU EVIDENCIA EN MI COLEGIO</t>
        </is>
      </c>
    </row>
    <row r="3" ht="32" customHeight="1">
      <c r="A3" s="3" t="inlineStr">
        <is>
          <t>N.º</t>
        </is>
      </c>
      <c r="B3" s="3" t="inlineStr">
        <is>
          <t>Artículo y numeral</t>
        </is>
      </c>
      <c r="C3" s="3" t="inlineStr">
        <is>
          <t>Obligación (resumen propio)</t>
        </is>
      </c>
      <c r="D3" s="3" t="inlineStr">
        <is>
          <t>Evidencia en mi colegio (Sí, Parcial o No)</t>
        </is>
      </c>
    </row>
    <row r="4">
      <c r="A4" t="n">
        <v>1</v>
      </c>
      <c r="B4" t="inlineStr">
        <is>
          <t>Art. 42 num. 1</t>
        </is>
      </c>
      <c r="C4" s="2" t="inlineStr">
        <is>
          <t>Facilitar el acceso al sistema educativo y garantizar la permanencia</t>
        </is>
      </c>
      <c r="D4" s="4" t="inlineStr">
        <is>
          <t>Sí</t>
        </is>
      </c>
    </row>
    <row r="5">
      <c r="A5" t="n">
        <v>2</v>
      </c>
      <c r="B5" t="inlineStr">
        <is>
          <t>Art. 42 num. 2</t>
        </is>
      </c>
      <c r="C5" s="2" t="inlineStr">
        <is>
          <t>Brindar una educación pertinente y de calidad</t>
        </is>
      </c>
      <c r="D5" s="4" t="inlineStr">
        <is>
          <t>Sí</t>
        </is>
      </c>
    </row>
    <row r="6">
      <c r="A6" t="n">
        <v>3</v>
      </c>
      <c r="B6" t="inlineStr">
        <is>
          <t>Art. 42 num. 3</t>
        </is>
      </c>
      <c r="C6" s="2" t="inlineStr">
        <is>
          <t>Respetar en toda circunstancia la dignidad de los miembros de la comunidad educativa</t>
        </is>
      </c>
      <c r="D6" s="4" t="inlineStr">
        <is>
          <t>Parcial</t>
        </is>
      </c>
    </row>
    <row r="7">
      <c r="A7" t="n">
        <v>4</v>
      </c>
      <c r="B7" t="inlineStr">
        <is>
          <t>Art. 42 num. 4</t>
        </is>
      </c>
      <c r="C7" s="2" t="inlineStr">
        <is>
          <t>Facilitar la participación de los estudiantes en la gestión académica</t>
        </is>
      </c>
      <c r="D7" s="4" t="inlineStr">
        <is>
          <t>Sí</t>
        </is>
      </c>
    </row>
    <row r="8">
      <c r="A8" t="n">
        <v>5</v>
      </c>
      <c r="B8" t="inlineStr">
        <is>
          <t>Art. 42 num. 5</t>
        </is>
      </c>
      <c r="C8" s="2" t="inlineStr">
        <is>
          <t>Abrir espacios de comunicación con los padres para el seguimiento del proceso educativo y propiciar la democracia</t>
        </is>
      </c>
      <c r="D8" s="4" t="inlineStr">
        <is>
          <t>No</t>
        </is>
      </c>
    </row>
    <row r="9">
      <c r="A9" t="n">
        <v>6</v>
      </c>
      <c r="B9" t="inlineStr">
        <is>
          <t>Art. 42 num. 6</t>
        </is>
      </c>
      <c r="C9" s="2" t="inlineStr">
        <is>
          <t>Organizar programas de nivelación y de orientación psicopedagógica y psicológica</t>
        </is>
      </c>
      <c r="D9" s="4" t="inlineStr">
        <is>
          <t>Parcial</t>
        </is>
      </c>
    </row>
    <row r="10">
      <c r="A10" t="n">
        <v>7</v>
      </c>
      <c r="B10" t="inlineStr">
        <is>
          <t>Art. 42 num. 7</t>
        </is>
      </c>
      <c r="C10" s="2" t="inlineStr">
        <is>
          <t>Respetar, permitir y fomentar la expresión y el conocimiento de las diversas culturas</t>
        </is>
      </c>
      <c r="D10" s="4" t="inlineStr">
        <is>
          <t>Sí</t>
        </is>
      </c>
    </row>
    <row r="11">
      <c r="A11" t="n">
        <v>8</v>
      </c>
      <c r="B11" t="inlineStr">
        <is>
          <t>Art. 42 num. 8</t>
        </is>
      </c>
      <c r="C11" s="2" t="inlineStr">
        <is>
          <t>Estimular las manifestaciones culturales y la producción artística, científica y tecnológica</t>
        </is>
      </c>
      <c r="D11" s="4" t="inlineStr">
        <is>
          <t>Sí</t>
        </is>
      </c>
    </row>
    <row r="12">
      <c r="A12" t="n">
        <v>9</v>
      </c>
      <c r="B12" t="inlineStr">
        <is>
          <t>Art. 42 num. 9</t>
        </is>
      </c>
      <c r="C12" s="2" t="inlineStr">
        <is>
          <t>Garantizar medios tecnológicos de acceso y difusión de la cultura y una biblioteca adecuada</t>
        </is>
      </c>
      <c r="D12" s="4" t="inlineStr">
        <is>
          <t>Sí</t>
        </is>
      </c>
    </row>
    <row r="13">
      <c r="A13" t="n">
        <v>10</v>
      </c>
      <c r="B13" t="inlineStr">
        <is>
          <t>Art. 42 num. 10</t>
        </is>
      </c>
      <c r="C13" s="2" t="inlineStr">
        <is>
          <t>Organizar actividades de conocimiento y conservación del patrimonio</t>
        </is>
      </c>
      <c r="D13" s="4" t="inlineStr">
        <is>
          <t>No</t>
        </is>
      </c>
    </row>
    <row r="14">
      <c r="A14" t="n">
        <v>11</v>
      </c>
      <c r="B14" t="inlineStr">
        <is>
          <t>Art. 42 num. 11</t>
        </is>
      </c>
      <c r="C14" s="2" t="inlineStr">
        <is>
          <t>Fomentar el estudio de idiomas nacionales y extranjeros y de lenguajes especiales</t>
        </is>
      </c>
      <c r="D14" s="4" t="inlineStr">
        <is>
          <t>Parcial</t>
        </is>
      </c>
    </row>
    <row r="15">
      <c r="A15" t="n">
        <v>12</v>
      </c>
      <c r="B15" t="inlineStr">
        <is>
          <t>Art. 42 num. 12</t>
        </is>
      </c>
      <c r="C15" s="2" t="inlineStr">
        <is>
          <t>Evitar cualquier conducta discriminatoria</t>
        </is>
      </c>
      <c r="D15" s="4" t="inlineStr">
        <is>
          <t>Sí</t>
        </is>
      </c>
    </row>
    <row r="16">
      <c r="A16" t="n">
        <v>13</v>
      </c>
      <c r="B16" t="inlineStr">
        <is>
          <t>Art. 42 par. 1</t>
        </is>
      </c>
      <c r="C16" s="2" t="inlineStr">
        <is>
          <t>Módulo articulado al PEI para mejorar las capacidades de los padres en orientaciones para la crianza</t>
        </is>
      </c>
      <c r="D16" s="4" t="inlineStr">
        <is>
          <t>No</t>
        </is>
      </c>
    </row>
    <row r="17">
      <c r="A17" t="n">
        <v>14</v>
      </c>
      <c r="B17" t="inlineStr">
        <is>
          <t>Art. 43 num. 1</t>
        </is>
      </c>
      <c r="C17" s="2" t="inlineStr">
        <is>
          <t>Formar en el respeto por la dignidad humana, los derechos humanos y la tolerancia hacia las diferencias</t>
        </is>
      </c>
      <c r="D17" s="4" t="inlineStr">
        <is>
          <t>Sí</t>
        </is>
      </c>
    </row>
    <row r="18">
      <c r="A18" t="n">
        <v>15</v>
      </c>
      <c r="B18" t="inlineStr">
        <is>
          <t>Art. 43 num. 2</t>
        </is>
      </c>
      <c r="C18" s="2" t="inlineStr">
        <is>
          <t>Proteger eficazmente contra todo maltrato, agresión, humillación, discriminación o burla de compañeros y profesores</t>
        </is>
      </c>
      <c r="D18" s="4" t="inlineStr">
        <is>
          <t>Parcial</t>
        </is>
      </c>
    </row>
    <row r="19">
      <c r="A19" t="n">
        <v>16</v>
      </c>
      <c r="B19" t="inlineStr">
        <is>
          <t>Art. 43 num. 3</t>
        </is>
      </c>
      <c r="C19" s="2" t="inlineStr">
        <is>
          <t>Establecer en los reglamentos mecanismos disuasivos, correctivos y reeducativos contra la agresión y la burla</t>
        </is>
      </c>
      <c r="D19" s="4" t="inlineStr">
        <is>
          <t>Sí</t>
        </is>
      </c>
    </row>
    <row r="20">
      <c r="A20" t="n">
        <v>17</v>
      </c>
      <c r="B20" t="inlineStr">
        <is>
          <t>Art. 44 num. 1</t>
        </is>
      </c>
      <c r="C20" s="2" t="inlineStr">
        <is>
          <t>Comprobar la inscripción del registro civil de nacimiento</t>
        </is>
      </c>
      <c r="D20" s="4" t="inlineStr">
        <is>
          <t>Sí</t>
        </is>
      </c>
    </row>
    <row r="21">
      <c r="A21" t="n">
        <v>18</v>
      </c>
      <c r="B21" t="inlineStr">
        <is>
          <t>Art. 44 num. 2</t>
        </is>
      </c>
      <c r="C21" s="2" t="inlineStr">
        <is>
          <t>Detección oportuna, apoyo y orientación en casos de malnutrición, maltrato, abandono, abuso sexual y violencia intrafamiliar, entre otros</t>
        </is>
      </c>
      <c r="D21" s="4" t="inlineStr">
        <is>
          <t>Parcial</t>
        </is>
      </c>
    </row>
    <row r="22">
      <c r="A22" t="n">
        <v>19</v>
      </c>
      <c r="B22" t="inlineStr">
        <is>
          <t>Art. 44 num. 3</t>
        </is>
      </c>
      <c r="C22" s="2" t="inlineStr">
        <is>
          <t>Comprobar la afiliación de los estudiantes a un régimen de salud</t>
        </is>
      </c>
      <c r="D22" s="4" t="inlineStr">
        <is>
          <t>Sí</t>
        </is>
      </c>
    </row>
    <row r="23">
      <c r="A23" t="n">
        <v>20</v>
      </c>
      <c r="B23" t="inlineStr">
        <is>
          <t>Art. 44 num. 4</t>
        </is>
      </c>
      <c r="C23" s="2" t="inlineStr">
        <is>
          <t>Garantizar el respeto a la dignidad, la vida y la integridad dentro de la convivencia escolar</t>
        </is>
      </c>
      <c r="D23" s="4" t="inlineStr">
        <is>
          <t>Sí</t>
        </is>
      </c>
    </row>
    <row r="24">
      <c r="A24" t="n">
        <v>21</v>
      </c>
      <c r="B24" t="inlineStr">
        <is>
          <t>Art. 44 num. 7</t>
        </is>
      </c>
      <c r="C24" s="2" t="inlineStr">
        <is>
          <t>Prevenir el tráfico y consumo de sustancias psicoactivas en las instalaciones y solicitar acciones a las autoridades</t>
        </is>
      </c>
      <c r="D24" s="4" t="inlineStr">
        <is>
          <t>No</t>
        </is>
      </c>
    </row>
    <row r="25">
      <c r="A25" t="n">
        <v>22</v>
      </c>
      <c r="B25" t="inlineStr">
        <is>
          <t>Art. 44 num. 8</t>
        </is>
      </c>
      <c r="C25" s="2" t="inlineStr">
        <is>
          <t>Coordinar los apoyos pedagógicos, terapéuticos y tecnológicos para estudiantes con discapacidad</t>
        </is>
      </c>
      <c r="D25" s="4" t="inlineStr">
        <is>
          <t>Parcial</t>
        </is>
      </c>
    </row>
    <row r="26">
      <c r="A26" t="n">
        <v>23</v>
      </c>
      <c r="B26" t="inlineStr">
        <is>
          <t>Art. 44 num. 9</t>
        </is>
      </c>
      <c r="C26" s="2" t="inlineStr">
        <is>
          <t>Reportar a las autoridades competentes las situaciones de abuso, maltrato o peores formas de trabajo infantil detectadas</t>
        </is>
      </c>
      <c r="D26" s="4" t="inlineStr">
        <is>
          <t>Sí</t>
        </is>
      </c>
    </row>
    <row r="27">
      <c r="A27" t="n">
        <v>24</v>
      </c>
      <c r="B27" t="inlineStr">
        <is>
          <t>Art. 44 num. 10</t>
        </is>
      </c>
      <c r="C27" s="2" t="inlineStr">
        <is>
          <t>Orientar a la comunidad educativa en salud sexual y reproductiva y vida en pareja</t>
        </is>
      </c>
      <c r="D27" s="4" t="inlineStr">
        <is>
          <t>Sí</t>
        </is>
      </c>
    </row>
    <row r="29">
      <c r="B29" t="inlineStr">
        <is>
          <t>Obligaciones con evidencia (Sí)</t>
        </is>
      </c>
      <c r="D29">
        <f>COUNTIF(D4:D27,"Sí")</f>
        <v/>
      </c>
    </row>
    <row r="30">
      <c r="B30" t="inlineStr">
        <is>
          <t>Obligaciones con evidencia parcial</t>
        </is>
      </c>
      <c r="D30">
        <f>COUNTIF(D4:D27,"Parcial")</f>
        <v/>
      </c>
    </row>
    <row r="31">
      <c r="B31" t="inlineStr">
        <is>
          <t>Obligaciones sin evidencia (No)</t>
        </is>
      </c>
      <c r="D31">
        <f>COUNTIF(D4:D27,"No")</f>
        <v/>
      </c>
    </row>
    <row r="32">
      <c r="B32" t="inlineStr">
        <is>
          <t>Porcentaje con evidencia plena</t>
        </is>
      </c>
      <c r="D32" s="5">
        <f>D29/COUNTA(B4:B27)</f>
        <v/>
      </c>
    </row>
  </sheetData>
  <conditionalFormatting sqref="D4:D27">
    <cfRule type="cellIs" priority="1" operator="equal" dxfId="0">
      <formula>"No"</formula>
    </cfRule>
  </conditionalFormatting>
  <dataValidations count="1">
    <dataValidation sqref="D4:D27" showDropDown="0" showInputMessage="0" showErrorMessage="0" allowBlank="0" type="list">
      <formula1>"Sí,Parcial,No"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6" customWidth="1" min="1" max="1"/>
    <col width="84" customWidth="1" min="2" max="2"/>
    <col width="20" customWidth="1" min="3" max="3"/>
    <col width="20" customWidth="1" min="4" max="4"/>
    <col width="14" customWidth="1" min="5" max="5"/>
  </cols>
  <sheetData>
    <row r="1">
      <c r="A1" s="1" t="inlineStr">
        <is>
          <t>AUTOEVALUACIÓN: ¿QUÉ ARTÍCULO SE ACTIVA? (ejercicio propio, no oficial; elige el artículo en la columna C)</t>
        </is>
      </c>
    </row>
    <row r="3">
      <c r="A3" s="3" t="inlineStr">
        <is>
          <t>N.º</t>
        </is>
      </c>
      <c r="B3" s="3" t="inlineStr">
        <is>
          <t>Situación</t>
        </is>
      </c>
      <c r="C3" s="3" t="inlineStr">
        <is>
          <t>Tu respuesta</t>
        </is>
      </c>
      <c r="D3" s="3" t="inlineStr">
        <is>
          <t>Clave</t>
        </is>
      </c>
      <c r="E3" s="3" t="inlineStr">
        <is>
          <t>Resultado</t>
        </is>
      </c>
    </row>
    <row r="4">
      <c r="A4" t="n">
        <v>1</v>
      </c>
      <c r="B4" s="2" t="inlineStr">
        <is>
          <t>El colegio no abre espacios para que los padres hagan seguimiento del proceso de sus hijos</t>
        </is>
      </c>
      <c r="C4" s="4" t="inlineStr">
        <is>
          <t>Art. 42 num. 5</t>
        </is>
      </c>
      <c r="D4" t="inlineStr">
        <is>
          <t>Art. 42 num. 5</t>
        </is>
      </c>
      <c r="E4">
        <f>IF(C4="","",IF(C4=D4,"Correcta","Revisa"))</f>
        <v/>
      </c>
    </row>
    <row r="5">
      <c r="A5" t="n">
        <v>2</v>
      </c>
      <c r="B5" s="2" t="inlineStr">
        <is>
          <t>Un docente se burla de un estudiante con dificultades de lenguaje delante del grupo</t>
        </is>
      </c>
      <c r="C5" s="4" t="inlineStr">
        <is>
          <t>Art. 44 num. 3</t>
        </is>
      </c>
      <c r="D5" t="inlineStr">
        <is>
          <t>Art. 43 num. 2</t>
        </is>
      </c>
      <c r="E5">
        <f>IF(C5="","",IF(C5=D5,"Correcta","Revisa"))</f>
        <v/>
      </c>
    </row>
    <row r="6">
      <c r="A6" t="n">
        <v>3</v>
      </c>
      <c r="B6" s="2" t="inlineStr">
        <is>
          <t>El colegio no verifica si los estudiantes están afiliados a salud</t>
        </is>
      </c>
      <c r="C6" s="4" t="inlineStr">
        <is>
          <t>Art. 44 num. 3</t>
        </is>
      </c>
      <c r="D6" t="inlineStr">
        <is>
          <t>Art. 44 num. 3</t>
        </is>
      </c>
      <c r="E6">
        <f>IF(C6="","",IF(C6=D6,"Correcta","Revisa"))</f>
        <v/>
      </c>
    </row>
    <row r="7">
      <c r="A7" t="n">
        <v>4</v>
      </c>
      <c r="B7" s="2" t="inlineStr">
        <is>
          <t>Se detecta que un estudiante podría ser víctima de abuso en su casa y no se informa a las autoridades</t>
        </is>
      </c>
      <c r="C7" s="4" t="inlineStr">
        <is>
          <t>Art. 44 num. 9</t>
        </is>
      </c>
      <c r="D7" t="inlineStr">
        <is>
          <t>Art. 44 num. 9</t>
        </is>
      </c>
      <c r="E7">
        <f>IF(C7="","",IF(C7=D7,"Correcta","Revisa"))</f>
        <v/>
      </c>
    </row>
    <row r="8">
      <c r="A8" t="n">
        <v>5</v>
      </c>
      <c r="B8" s="2" t="inlineStr">
        <is>
          <t>Se sanciona a un estudiante sin permitirle ser escuchado ni dar su versión</t>
        </is>
      </c>
      <c r="C8" s="4" t="inlineStr">
        <is>
          <t>Art. 26</t>
        </is>
      </c>
      <c r="D8" t="inlineStr">
        <is>
          <t>Art. 26</t>
        </is>
      </c>
      <c r="E8">
        <f>IF(C8="","",IF(C8=D8,"Correcta","Revisa"))</f>
        <v/>
      </c>
    </row>
    <row r="9">
      <c r="A9" t="n">
        <v>6</v>
      </c>
      <c r="B9" s="2" t="inlineStr">
        <is>
          <t>Se corrige a un estudiante con una penitencia física</t>
        </is>
      </c>
      <c r="C9" s="4" t="inlineStr">
        <is>
          <t>Art. 26</t>
        </is>
      </c>
      <c r="D9" t="inlineStr">
        <is>
          <t>Art. 18A</t>
        </is>
      </c>
      <c r="E9">
        <f>IF(C9="","",IF(C9=D9,"Correcta","Revisa"))</f>
        <v/>
      </c>
    </row>
    <row r="10">
      <c r="A10" t="n">
        <v>7</v>
      </c>
      <c r="B10" s="2" t="inlineStr">
        <is>
          <t>El colegio no ofrece programas de nivelación a estudiantes con dificultades de aprendizaje</t>
        </is>
      </c>
      <c r="C10" s="4" t="inlineStr">
        <is>
          <t>Art. 42 num. 6</t>
        </is>
      </c>
      <c r="D10" t="inlineStr">
        <is>
          <t>Art. 42 num. 6</t>
        </is>
      </c>
      <c r="E10">
        <f>IF(C10="","",IF(C10=D10,"Correcta","Revisa"))</f>
        <v/>
      </c>
    </row>
    <row r="11">
      <c r="A11" t="n">
        <v>8</v>
      </c>
      <c r="B11" s="2" t="inlineStr">
        <is>
          <t>No se coordinan los apoyos para un estudiante con discapacidad</t>
        </is>
      </c>
      <c r="C11" s="4" t="inlineStr">
        <is>
          <t>Art. 44 num. 8</t>
        </is>
      </c>
      <c r="D11" t="inlineStr">
        <is>
          <t>Art. 44 num. 8</t>
        </is>
      </c>
      <c r="E11">
        <f>IF(C11="","",IF(C11=D11,"Correcta","Revisa"))</f>
        <v/>
      </c>
    </row>
    <row r="13">
      <c r="B13" t="inlineStr">
        <is>
          <t>Aciertos</t>
        </is>
      </c>
      <c r="E13">
        <f>COUNTIF(E4:E11,"Correcta")&amp;" de "&amp;COUNTA(B4:B11)</f>
        <v/>
      </c>
    </row>
  </sheetData>
  <conditionalFormatting sqref="E4:E11">
    <cfRule type="cellIs" priority="1" operator="equal" dxfId="0">
      <formula>"Revisa"</formula>
    </cfRule>
  </conditionalFormatting>
  <dataValidations count="1">
    <dataValidation sqref="C4:C11" showDropDown="0" showInputMessage="0" showErrorMessage="0" allowBlank="0" type="list">
      <formula1>"Art. 18A,Art. 26,Art. 42 num. 5,Art. 42 num. 6,Art. 43 num. 2,Art. 44 num. 3,Art. 44 num. 8,Art. 44 num. 9"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70" customWidth="1" min="1" max="1"/>
    <col width="100" customWidth="1" min="2" max="2"/>
    <col width="18" customWidth="1" min="3" max="3"/>
  </cols>
  <sheetData>
    <row r="1">
      <c r="A1" s="1" t="inlineStr">
        <is>
          <t>TARJETAS DE ESTUDIO (resumen propio; contrasta con el texto vigente)</t>
        </is>
      </c>
    </row>
    <row r="3">
      <c r="A3" s="3" t="inlineStr">
        <is>
          <t>Pregunta</t>
        </is>
      </c>
      <c r="B3" s="3" t="inlineStr">
        <is>
          <t>Respuesta</t>
        </is>
      </c>
      <c r="C3" s="3" t="inlineStr">
        <is>
          <t>¿Dominada? (Sí/No)</t>
        </is>
      </c>
    </row>
    <row r="4">
      <c r="A4" s="2" t="inlineStr">
        <is>
          <t>¿A quiénes protege el Código de la Infancia y la Adolescencia?</t>
        </is>
      </c>
      <c r="B4" s="2" t="inlineStr">
        <is>
          <t>A todas las personas menores de 18 años: niño o niña de 0 a 12, adolescente de 12 a 18</t>
        </is>
      </c>
      <c r="C4" s="4" t="inlineStr">
        <is>
          <t>No</t>
        </is>
      </c>
    </row>
    <row r="5">
      <c r="A5" s="2" t="inlineStr">
        <is>
          <t>¿Qué se presume si hay duda sobre la edad?</t>
        </is>
      </c>
      <c r="B5" s="2" t="inlineStr">
        <is>
          <t>La edad inferior (si hay duda sobre la mayoría o minoría de edad, se presume la minoría)</t>
        </is>
      </c>
      <c r="C5" s="4" t="inlineStr">
        <is>
          <t>No</t>
        </is>
      </c>
    </row>
    <row r="6">
      <c r="A6" s="2" t="inlineStr">
        <is>
          <t>¿Qué es el interés superior?</t>
        </is>
      </c>
      <c r="B6" s="2" t="inlineStr">
        <is>
          <t>El imperativo de garantizar la satisfacción integral y simultánea de todos sus derechos</t>
        </is>
      </c>
      <c r="C6" s="4" t="inlineStr">
        <is>
          <t>No</t>
        </is>
      </c>
    </row>
    <row r="7">
      <c r="A7" s="2" t="inlineStr">
        <is>
          <t>¿Qué pasa si hay conflicto entre normas?</t>
        </is>
      </c>
      <c r="B7" s="2" t="inlineStr">
        <is>
          <t>Se aplica la más favorable al interés superior del niño, niña o adolescente</t>
        </is>
      </c>
      <c r="C7" s="4" t="inlineStr">
        <is>
          <t>No</t>
        </is>
      </c>
    </row>
    <row r="8">
      <c r="A8" s="2" t="inlineStr">
        <is>
          <t>¿Quiénes son corresponsables?</t>
        </is>
      </c>
      <c r="B8" s="2" t="inlineStr">
        <is>
          <t>La familia, la sociedad y el Estado</t>
        </is>
      </c>
      <c r="C8" s="4" t="inlineStr">
        <is>
          <t>No</t>
        </is>
      </c>
    </row>
    <row r="9">
      <c r="A9" s="2" t="inlineStr">
        <is>
          <t>¿Qué es maltrato infantil según el art. 18?</t>
        </is>
      </c>
      <c r="B9" s="2" t="inlineStr">
        <is>
          <t>Toda forma de perjuicio, castigo, humillación o abuso físico o psicológico, descuido, omisión o trato negligente, malos tratos o explotación sexual, y toda violencia o agresión</t>
        </is>
      </c>
      <c r="C9" s="4" t="inlineStr">
        <is>
          <t>No</t>
        </is>
      </c>
    </row>
    <row r="10">
      <c r="A10" s="2" t="inlineStr">
        <is>
          <t>¿Se admiten los castigos físicos como disciplina?</t>
        </is>
      </c>
      <c r="B10" s="2" t="inlineStr">
        <is>
          <t>No (art. 18A, Ley 2089 de 2021)</t>
        </is>
      </c>
      <c r="C10" s="4" t="inlineStr">
        <is>
          <t>No</t>
        </is>
      </c>
    </row>
    <row r="11">
      <c r="A11" s="2" t="inlineStr">
        <is>
          <t>¿Qué garantiza el art. 26?</t>
        </is>
      </c>
      <c r="B11" s="2" t="inlineStr">
        <is>
          <t>El debido proceso, con derecho a ser escuchados y a que se tengan en cuenta sus opiniones</t>
        </is>
      </c>
      <c r="C11" s="4" t="inlineStr">
        <is>
          <t>No</t>
        </is>
      </c>
    </row>
    <row r="12">
      <c r="A12" s="2" t="inlineStr">
        <is>
          <t>¿Cuántos años de educación son obligatorios por parte del Estado según el art. 28?</t>
        </is>
      </c>
      <c r="B12" s="2" t="inlineStr">
        <is>
          <t>Un año de preescolar y nueve de educación básica</t>
        </is>
      </c>
      <c r="C12" s="4" t="inlineStr">
        <is>
          <t>No</t>
        </is>
      </c>
    </row>
    <row r="13">
      <c r="A13" s="2" t="inlineStr">
        <is>
          <t>¿Cuál es la obligación ética fundamental de los colegios (art. 43)?</t>
        </is>
      </c>
      <c r="B13" s="2" t="inlineStr">
        <is>
          <t>Garantizar el pleno respeto a la dignidad, vida, integridad física y moral dentro de la convivencia escolar</t>
        </is>
      </c>
      <c r="C13" s="4" t="inlineStr">
        <is>
          <t>No</t>
        </is>
      </c>
    </row>
    <row r="14">
      <c r="A14" s="2" t="inlineStr">
        <is>
          <t>¿Qué deben reportar los directivos y docentes a las autoridades (art. 44)?</t>
        </is>
      </c>
      <c r="B14" s="2" t="inlineStr">
        <is>
          <t>Las situaciones de abuso, maltrato o peores formas de trabajo infantil detectadas</t>
        </is>
      </c>
      <c r="C14" s="4" t="inlineStr">
        <is>
          <t>No</t>
        </is>
      </c>
    </row>
    <row r="15">
      <c r="A15" s="2" t="inlineStr">
        <is>
          <t>¿Qué módulo deben estructurar los colegios articulado al PEI (art. 42 par. 1)?</t>
        </is>
      </c>
      <c r="B15" s="2" t="inlineStr">
        <is>
          <t>Uno para mejorar las capacidades de los padres en orientaciones para la crianza</t>
        </is>
      </c>
      <c r="C15" s="4" t="inlineStr">
        <is>
          <t>No</t>
        </is>
      </c>
    </row>
    <row r="17">
      <c r="A17" t="inlineStr">
        <is>
          <t>Tarjetas dominadas</t>
        </is>
      </c>
      <c r="C17">
        <f>COUNTIF(C4:C15,"Sí")&amp;" de "&amp;COUNTA(A4:A15)</f>
        <v/>
      </c>
    </row>
  </sheetData>
  <dataValidations count="1">
    <dataValidation sqref="C4:C15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2026-10-10T18:19:28Z</dcterms:created>
  <dcterms:modified xmlns:dcterms="http://purl.org/dc/terms/" xmlns:xsi="http://www.w3.org/2001/XMLSchema-instance" xsi:type="dcterms:W3CDTF">2026-10-10T18:19:28Z</dcterms:modified>
</cp:coreProperties>
</file>