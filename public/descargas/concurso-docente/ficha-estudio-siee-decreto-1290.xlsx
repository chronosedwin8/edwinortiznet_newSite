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" sheetId="1" state="visible" r:id="rId1"/>
    <sheet xmlns:r="http://schemas.openxmlformats.org/officeDocument/2006/relationships" name="SIEE_11" sheetId="2" state="visible" r:id="rId2"/>
    <sheet xmlns:r="http://schemas.openxmlformats.org/officeDocument/2006/relationships" name="Conversor" sheetId="3" state="visible" r:id="rId3"/>
    <sheet xmlns:r="http://schemas.openxmlformats.org/officeDocument/2006/relationships" name="Tarj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20" customWidth="1" min="4" max="4"/>
  </cols>
  <sheetData>
    <row r="1">
      <c r="A1" s="1" t="inlineStr">
        <is>
          <t>EVALUACIÓN DE ESTUDIANTES Y SIEE: DECRETO 1290 DE 2009, COMPILADO EN EL DECRETO 1075 DE 2015 (arts. 2.3.3.3.3.1 a 2.3.3.3.3.18)</t>
        </is>
      </c>
    </row>
    <row r="2" ht="34" customHeight="1">
      <c r="A2" s="2" t="inlineStr">
        <is>
          <t>Resumen propio del texto compilado, consultado el 10 de octubre de 2026. Algunos artículos fueron modificados por el Decreto 1421 de 2017 (arts. 2.3.3.3.3.1 y 2.3.3.3.3.6). Verifica el texto vigente y el SIEE de tu colegio.</t>
        </is>
      </c>
    </row>
    <row r="4">
      <c r="A4" s="3" t="inlineStr">
        <is>
          <t>Tema</t>
        </is>
      </c>
      <c r="B4" s="3" t="inlineStr">
        <is>
          <t>Artículo (Decreto 1075)</t>
        </is>
      </c>
      <c r="C4" s="3" t="inlineStr">
        <is>
          <t>Origen (Decreto 1290)</t>
        </is>
      </c>
      <c r="D4" s="3" t="inlineStr">
        <is>
          <t>Idea central (resumen propio)</t>
        </is>
      </c>
    </row>
    <row r="5">
      <c r="A5" s="2" t="inlineStr">
        <is>
          <t>Ámbitos de la evaluación</t>
        </is>
      </c>
      <c r="B5" s="2" t="inlineStr">
        <is>
          <t>2.3.3.3.3.1</t>
        </is>
      </c>
      <c r="C5" s="2" t="inlineStr">
        <is>
          <t>art. 1 (modif. D. 1421/2017)</t>
        </is>
      </c>
      <c r="D5" s="2" t="inlineStr">
        <is>
          <t>Internacional (pruebas frente a estándares internacionales), nacional (pruebas censales del MEN y el ICFES) e institucional (proceso permanente y objetivo para valorar el desempeño de los estudiantes).</t>
        </is>
      </c>
    </row>
    <row r="6">
      <c r="A6" s="2" t="inlineStr">
        <is>
          <t>Objeto</t>
        </is>
      </c>
      <c r="B6" s="2" t="inlineStr">
        <is>
          <t>2.3.3.3.3.2</t>
        </is>
      </c>
      <c r="C6" s="2" t="inlineStr">
        <is>
          <t>art. 2</t>
        </is>
      </c>
      <c r="D6" s="2" t="inlineStr">
        <is>
          <t>Reglamenta la evaluación del aprendizaje y la promoción de los estudiantes de educación básica y media.</t>
        </is>
      </c>
    </row>
    <row r="7">
      <c r="A7" s="2" t="inlineStr">
        <is>
          <t>Propósitos de la evaluación institucional</t>
        </is>
      </c>
      <c r="B7" s="2" t="inlineStr">
        <is>
          <t>2.3.3.3.3.3</t>
        </is>
      </c>
      <c r="C7" s="2" t="inlineStr">
        <is>
          <t>art. 3</t>
        </is>
      </c>
      <c r="D7" s="2" t="inlineStr">
        <is>
          <t>Identificar características, intereses y ritmos; consolidar o reorientar procesos; apoyar a estudiantes con debilidades y con desempeños superiores; determinar la promoción; aportar al plan de mejoramiento institucional.</t>
        </is>
      </c>
    </row>
    <row r="8">
      <c r="A8" s="2" t="inlineStr">
        <is>
          <t>Contenido del SIEE</t>
        </is>
      </c>
      <c r="B8" s="2" t="inlineStr">
        <is>
          <t>2.3.3.3.3.4</t>
        </is>
      </c>
      <c r="C8" s="2" t="inlineStr">
        <is>
          <t>art. 4</t>
        </is>
      </c>
      <c r="D8" s="2" t="inlineStr">
        <is>
          <t>Once componentes: criterios de evaluación y promoción; escala institucional y su equivalencia con la nacional; estrategias de valoración integral; acciones de seguimiento y mejoramiento; autoevaluación; apoyos para situaciones pendientes; acciones para que los docentes cumplan lo evaluativo; periodicidad de informes; estructura de los informes; instancias y procedimientos de reclamaciones; participación de la comunidad.</t>
        </is>
      </c>
    </row>
    <row r="9">
      <c r="A9" s="2" t="inlineStr">
        <is>
          <t>Escala de valoración nacional</t>
        </is>
      </c>
      <c r="B9" s="2" t="inlineStr">
        <is>
          <t>2.3.3.3.3.5</t>
        </is>
      </c>
      <c r="C9" s="2" t="inlineStr">
        <is>
          <t>art. 5</t>
        </is>
      </c>
      <c r="D9" s="2" t="inlineStr">
        <is>
          <t>Cada colegio define su escala y expresa su equivalencia con la nacional: Desempeño Superior, Alto, Básico y Bajo. El Básico es la superación de los desempeños necesarios en las áreas obligatorias y fundamentales; el Bajo, su no superación.</t>
        </is>
      </c>
    </row>
    <row r="10">
      <c r="A10" s="2" t="inlineStr">
        <is>
          <t>Promoción escolar</t>
        </is>
      </c>
      <c r="B10" s="2" t="inlineStr">
        <is>
          <t>2.3.3.3.3.6</t>
        </is>
      </c>
      <c r="C10" s="2" t="inlineStr">
        <is>
          <t>art. 6 (modif. D. 1421/2017)</t>
        </is>
      </c>
      <c r="D10" s="2" t="inlineStr">
        <is>
          <t>Cada colegio determina los criterios de promoción según su SIEE y define el porcentaje de asistencia que incida en la promoción; si un estudiante no es promovido, debe garantizarle en todos los casos el cupo para continuar; la promoción de estudiantes con discapacidad sigue las mismas disposiciones con flexibilización curricular.</t>
        </is>
      </c>
    </row>
    <row r="11">
      <c r="A11" s="2" t="inlineStr">
        <is>
          <t>Promoción anticipada</t>
        </is>
      </c>
      <c r="B11" s="2" t="inlineStr">
        <is>
          <t>2.3.3.3.3.7</t>
        </is>
      </c>
      <c r="C11" s="2" t="inlineStr">
        <is>
          <t>art. 7</t>
        </is>
      </c>
      <c r="D11" s="2" t="inlineStr">
        <is>
          <t>En el primer periodo, el consejo académico, con consentimiento de los padres, recomienda al consejo directivo la promoción anticipada de quien demuestre rendimiento superior; se consigna en el acta y en el registro escolar. También se facilitan procesos para quienes no fueron promovidos el año anterior.</t>
        </is>
      </c>
    </row>
    <row r="12">
      <c r="A12" s="2" t="inlineStr">
        <is>
          <t>Creación del SIEE</t>
        </is>
      </c>
      <c r="B12" s="2" t="inlineStr">
        <is>
          <t>2.3.3.3.3.8</t>
        </is>
      </c>
      <c r="C12" s="2" t="inlineStr">
        <is>
          <t>art. 8</t>
        </is>
      </c>
      <c r="D12" s="2" t="inlineStr">
        <is>
          <t>Siete pasos mínimos: definir, socializar, aprobar en el consejo directivo con acta, incorporar al PEI, divulgar, divulgar los mecanismos de reclamación e informar a los nuevos. Para modificarlo se sigue el mismo procedimiento.</t>
        </is>
      </c>
    </row>
    <row r="13">
      <c r="A13" s="2" t="inlineStr">
        <is>
          <t>Responsabilidades del MEN</t>
        </is>
      </c>
      <c r="B13" s="2" t="inlineStr">
        <is>
          <t>2.3.3.3.3.9</t>
        </is>
      </c>
      <c r="C13" s="2" t="inlineStr">
        <is>
          <t>art. 9</t>
        </is>
      </c>
      <c r="D13" s="2" t="inlineStr">
        <is>
          <t>Publicar resultados de pruebas externas, expedir orientaciones, acompañar a las secretarías y evaluar la efectividad de los sistemas institucionales.</t>
        </is>
      </c>
    </row>
    <row r="14">
      <c r="A14" s="2" t="inlineStr">
        <is>
          <t>Responsabilidades de las secretarías</t>
        </is>
      </c>
      <c r="B14" s="2" t="inlineStr">
        <is>
          <t>2.3.3.3.3.10</t>
        </is>
      </c>
      <c r="C14" s="2" t="inlineStr">
        <is>
          <t>art. 10</t>
        </is>
      </c>
      <c r="D14" s="2" t="inlineStr">
        <is>
          <t>Analizar resultados externos frente a los internos, orientar y acompañar a los colegios y resolver reclamaciones sobre movilidad de estudiantes.</t>
        </is>
      </c>
    </row>
    <row r="15">
      <c r="A15" s="2" t="inlineStr">
        <is>
          <t>Responsabilidades del establecimiento</t>
        </is>
      </c>
      <c r="B15" s="2" t="inlineStr">
        <is>
          <t>2.3.3.3.3.11</t>
        </is>
      </c>
      <c r="C15" s="2" t="inlineStr">
        <is>
          <t>art. 11</t>
        </is>
      </c>
      <c r="D15" s="2" t="inlineStr">
        <is>
          <t>Definir, adoptar y divulgar el SIEE (tras su aprobación por el consejo académico), incorporarlo al PEI, reunir a docentes para analizar estrategias de apoyo, dialogar con familias, crear comisiones de seguimiento si lo considera pertinente y servir, a través del consejo directivo, de instancia para decidir reclamaciones.</t>
        </is>
      </c>
    </row>
    <row r="16">
      <c r="A16" s="2" t="inlineStr">
        <is>
          <t>Derechos y deberes de estudiantes</t>
        </is>
      </c>
      <c r="B16" s="2" t="inlineStr">
        <is>
          <t>2.3.3.3.3.12 y 2.3.3.3.3.13</t>
        </is>
      </c>
      <c r="C16" s="2" t="inlineStr">
        <is>
          <t>arts. 12 y 13</t>
        </is>
      </c>
      <c r="D16" s="2" t="inlineStr">
        <is>
          <t>Derechos: ser evaluado integralmente, conocer el SIEE desde el inicio del año, conocer resultados y recibir respuesta oportuna, y recibir asesoría para superar debilidades. Deberes: cumplir compromisos académicos y de convivencia y los compromisos de superación.</t>
        </is>
      </c>
    </row>
    <row r="17">
      <c r="A17" s="2" t="inlineStr">
        <is>
          <t>Derechos y deberes de padres</t>
        </is>
      </c>
      <c r="B17" s="2" t="inlineStr">
        <is>
          <t>2.3.3.3.3.14 y 2.3.3.3.3.15</t>
        </is>
      </c>
      <c r="C17" s="2" t="inlineStr">
        <is>
          <t>arts. 14 y 15</t>
        </is>
      </c>
      <c r="D17" s="2" t="inlineStr">
        <is>
          <t>Derechos: conocer el SIEE, acompañar el proceso, recibir informes periódicos y respuestas oportunas. Deberes: participar en la definición de criterios, hacer seguimiento permanente y analizar los informes.</t>
        </is>
      </c>
    </row>
    <row r="18">
      <c r="A18" s="2" t="inlineStr">
        <is>
          <t>Registro, constancias y graduación</t>
        </is>
      </c>
      <c r="B18" s="2" t="inlineStr">
        <is>
          <t>2.3.3.3.3.16 a 2.3.3.3.3.18</t>
        </is>
      </c>
      <c r="C18" s="2" t="inlineStr">
        <is>
          <t>arts. 16 a 18</t>
        </is>
      </c>
      <c r="D18" s="2" t="inlineStr">
        <is>
          <t>Registro escolar actualizado; constancias de desempeño a solicitud de los padres; título de bachiller académico o técnico al cumplir todos los requisitos de promoción adoptados en el PEI.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0" customWidth="1" min="3" max="3"/>
    <col width="50" customWidth="1" min="4" max="4"/>
  </cols>
  <sheetData>
    <row r="1">
      <c r="A1" s="1" t="inlineStr">
        <is>
          <t>LOS 11 COMPONENTES DEL SIEE (art. 2.3.3.3.3.4; resumen propio) Y SI ESTÁN EN EL SIEE DE MI COLEGIO</t>
        </is>
      </c>
    </row>
    <row r="3">
      <c r="A3" s="3" t="inlineStr">
        <is>
          <t>N.º</t>
        </is>
      </c>
      <c r="B3" s="3" t="inlineStr">
        <is>
          <t>Componente</t>
        </is>
      </c>
      <c r="C3" s="3" t="inlineStr">
        <is>
          <t>Estado en mi colegio</t>
        </is>
      </c>
      <c r="D3" s="3" t="inlineStr">
        <is>
          <t>Dónde está (documento y página)</t>
        </is>
      </c>
    </row>
    <row r="4">
      <c r="A4" t="n">
        <v>1</v>
      </c>
      <c r="B4" s="2" t="inlineStr">
        <is>
          <t>Criterios de evaluación y promoción</t>
        </is>
      </c>
      <c r="C4" s="4" t="inlineStr">
        <is>
          <t>No sé</t>
        </is>
      </c>
      <c r="D4" s="4" t="n"/>
    </row>
    <row r="5">
      <c r="A5" t="n">
        <v>2</v>
      </c>
      <c r="B5" s="2" t="inlineStr">
        <is>
          <t>Escala de valoración institucional y equivalencia con la nacional</t>
        </is>
      </c>
      <c r="C5" s="4" t="inlineStr">
        <is>
          <t>No sé</t>
        </is>
      </c>
      <c r="D5" s="4" t="n"/>
    </row>
    <row r="6">
      <c r="A6" t="n">
        <v>3</v>
      </c>
      <c r="B6" s="2" t="inlineStr">
        <is>
          <t>Estrategias de valoración integral de los desempeños</t>
        </is>
      </c>
      <c r="C6" s="4" t="inlineStr">
        <is>
          <t>No sé</t>
        </is>
      </c>
      <c r="D6" s="4" t="n"/>
    </row>
    <row r="7">
      <c r="A7" t="n">
        <v>4</v>
      </c>
      <c r="B7" s="2" t="inlineStr">
        <is>
          <t>Acciones de seguimiento para el mejoramiento durante el año</t>
        </is>
      </c>
      <c r="C7" s="4" t="inlineStr">
        <is>
          <t>No sé</t>
        </is>
      </c>
      <c r="D7" s="4" t="n"/>
    </row>
    <row r="8">
      <c r="A8" t="n">
        <v>5</v>
      </c>
      <c r="B8" s="2" t="inlineStr">
        <is>
          <t>Procesos de autoevaluación de los estudiantes</t>
        </is>
      </c>
      <c r="C8" s="4" t="inlineStr">
        <is>
          <t>No sé</t>
        </is>
      </c>
      <c r="D8" s="4" t="n"/>
    </row>
    <row r="9">
      <c r="A9" t="n">
        <v>6</v>
      </c>
      <c r="B9" s="2" t="inlineStr">
        <is>
          <t>Estrategias de apoyo para situaciones pedagógicas pendientes</t>
        </is>
      </c>
      <c r="C9" s="4" t="inlineStr">
        <is>
          <t>No sé</t>
        </is>
      </c>
      <c r="D9" s="4" t="n"/>
    </row>
    <row r="10">
      <c r="A10" t="n">
        <v>7</v>
      </c>
      <c r="B10" s="2" t="inlineStr">
        <is>
          <t>Acciones para garantizar que docentes y directivos cumplan los procesos evaluativos</t>
        </is>
      </c>
      <c r="C10" s="4" t="inlineStr">
        <is>
          <t>No sé</t>
        </is>
      </c>
      <c r="D10" s="4" t="n"/>
    </row>
    <row r="11">
      <c r="A11" t="n">
        <v>8</v>
      </c>
      <c r="B11" s="2" t="inlineStr">
        <is>
          <t>Periodicidad de entrega de informes a los padres</t>
        </is>
      </c>
      <c r="C11" s="4" t="inlineStr">
        <is>
          <t>No sé</t>
        </is>
      </c>
      <c r="D11" s="4" t="n"/>
    </row>
    <row r="12">
      <c r="A12" t="n">
        <v>9</v>
      </c>
      <c r="B12" s="2" t="inlineStr">
        <is>
          <t>Estructura de los informes (claros, comprensibles e integrales)</t>
        </is>
      </c>
      <c r="C12" s="4" t="inlineStr">
        <is>
          <t>No sé</t>
        </is>
      </c>
      <c r="D12" s="4" t="n"/>
    </row>
    <row r="13">
      <c r="A13" t="n">
        <v>10</v>
      </c>
      <c r="B13" s="2" t="inlineStr">
        <is>
          <t>Instancias, procedimientos y mecanismos de reclamaciones</t>
        </is>
      </c>
      <c r="C13" s="4" t="inlineStr">
        <is>
          <t>No sé</t>
        </is>
      </c>
      <c r="D13" s="4" t="n"/>
    </row>
    <row r="14">
      <c r="A14" t="n">
        <v>11</v>
      </c>
      <c r="B14" s="2" t="inlineStr">
        <is>
          <t>Mecanismos de participación de la comunidad educativa</t>
        </is>
      </c>
      <c r="C14" s="4" t="inlineStr">
        <is>
          <t>No sé</t>
        </is>
      </c>
      <c r="D14" s="4" t="n"/>
    </row>
    <row r="16">
      <c r="A16" t="inlineStr">
        <is>
          <t>Componentes confirmados</t>
        </is>
      </c>
      <c r="C16">
        <f>COUNTIF(C4:C14,"Sí")&amp;" de "&amp;COUNTA(B4:B14)</f>
        <v/>
      </c>
    </row>
    <row r="17">
      <c r="A17" t="inlineStr">
        <is>
          <t>Por verificar (No o No sé)</t>
        </is>
      </c>
      <c r="C17">
        <f>COUNTIF(C4:C14,"No")+COUNTIF(C4:C14,"No sé")</f>
        <v/>
      </c>
    </row>
  </sheetData>
  <dataValidations count="1">
    <dataValidation sqref="C4:C14" showDropDown="0" showInputMessage="0" showErrorMessage="0" allowBlank="0" type="list">
      <formula1>"Sí,No,No sé"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30" customWidth="1" min="4" max="4"/>
    <col width="30" customWidth="1" min="5" max="5"/>
    <col width="28" customWidth="1" min="6" max="6"/>
  </cols>
  <sheetData>
    <row r="1">
      <c r="A1" s="1" t="inlineStr">
        <is>
          <t>CONVERSOR A LA ESCALA NACIONAL (ejemplo: escala 1,0 a 5,0 con cortes ficticios; los cortes y el redondeo los define el SIEE de cada colegio)</t>
        </is>
      </c>
    </row>
    <row r="3">
      <c r="A3" s="3" t="inlineStr">
        <is>
          <t>Nota desde</t>
        </is>
      </c>
      <c r="B3" s="3" t="inlineStr">
        <is>
          <t>Desempeño nacional</t>
        </is>
      </c>
      <c r="D3" t="inlineStr">
        <is>
          <t>Decimales del redondeo (según el SIEE)</t>
        </is>
      </c>
      <c r="G3" s="4" t="n">
        <v>1</v>
      </c>
    </row>
    <row r="4">
      <c r="A4" s="5" t="n">
        <v>1</v>
      </c>
      <c r="B4" t="inlineStr">
        <is>
          <t>Bajo</t>
        </is>
      </c>
    </row>
    <row r="5">
      <c r="A5" s="5" t="n">
        <v>3</v>
      </c>
      <c r="B5" t="inlineStr">
        <is>
          <t>Básico</t>
        </is>
      </c>
    </row>
    <row r="6">
      <c r="A6" s="5" t="n">
        <v>4</v>
      </c>
      <c r="B6" t="inlineStr">
        <is>
          <t>Alto</t>
        </is>
      </c>
    </row>
    <row r="7">
      <c r="A7" s="5" t="n">
        <v>4.6</v>
      </c>
      <c r="B7" t="inlineStr">
        <is>
          <t>Superior</t>
        </is>
      </c>
    </row>
    <row r="9" ht="44" customHeight="1">
      <c r="A9" s="3" t="inlineStr">
        <is>
          <t>Estudiante</t>
        </is>
      </c>
      <c r="B9" s="3" t="inlineStr">
        <is>
          <t>Nota calculada</t>
        </is>
      </c>
      <c r="C9" s="3" t="inlineStr">
        <is>
          <t>Nota redondeada</t>
        </is>
      </c>
      <c r="D9" s="3" t="inlineStr">
        <is>
          <t>Desempeño con la nota sin redondear</t>
        </is>
      </c>
      <c r="E9" s="3" t="inlineStr">
        <is>
          <t>Desempeño con la nota redondeada</t>
        </is>
      </c>
      <c r="F9" s="3" t="inlineStr">
        <is>
          <t>¿El redondeo cambia el desempeño?</t>
        </is>
      </c>
    </row>
    <row r="10">
      <c r="A10" t="inlineStr">
        <is>
          <t>E01</t>
        </is>
      </c>
      <c r="B10" s="6" t="n">
        <v>4.82</v>
      </c>
      <c r="C10" s="7">
        <f>IF(B10="","",ROUND(B10,$G$3))</f>
        <v/>
      </c>
      <c r="D10">
        <f>IF(B10="","",LOOKUP(B10,$A$4:$A$7,$B$4:$B$7))</f>
        <v/>
      </c>
      <c r="E10">
        <f>IF(B10="","",LOOKUP(C10,$A$4:$A$7,$B$4:$B$7))</f>
        <v/>
      </c>
      <c r="F10">
        <f>IF(B10="","",IF(D10&lt;&gt;E10,"Sí","No"))</f>
        <v/>
      </c>
    </row>
    <row r="11">
      <c r="A11" t="inlineStr">
        <is>
          <t>E02</t>
        </is>
      </c>
      <c r="B11" s="6" t="n">
        <v>4.55</v>
      </c>
      <c r="C11" s="7">
        <f>IF(B11="","",ROUND(B11,$G$3))</f>
        <v/>
      </c>
      <c r="D11">
        <f>IF(B11="","",LOOKUP(B11,$A$4:$A$7,$B$4:$B$7))</f>
        <v/>
      </c>
      <c r="E11">
        <f>IF(B11="","",LOOKUP(C11,$A$4:$A$7,$B$4:$B$7))</f>
        <v/>
      </c>
      <c r="F11">
        <f>IF(B11="","",IF(D11&lt;&gt;E11,"Sí","No"))</f>
        <v/>
      </c>
    </row>
    <row r="12">
      <c r="A12" t="inlineStr">
        <is>
          <t>E03</t>
        </is>
      </c>
      <c r="B12" s="6" t="n">
        <v>4.05</v>
      </c>
      <c r="C12" s="7">
        <f>IF(B12="","",ROUND(B12,$G$3))</f>
        <v/>
      </c>
      <c r="D12">
        <f>IF(B12="","",LOOKUP(B12,$A$4:$A$7,$B$4:$B$7))</f>
        <v/>
      </c>
      <c r="E12">
        <f>IF(B12="","",LOOKUP(C12,$A$4:$A$7,$B$4:$B$7))</f>
        <v/>
      </c>
      <c r="F12">
        <f>IF(B12="","",IF(D12&lt;&gt;E12,"Sí","No"))</f>
        <v/>
      </c>
    </row>
    <row r="13">
      <c r="A13" t="inlineStr">
        <is>
          <t>E04</t>
        </is>
      </c>
      <c r="B13" s="6" t="n">
        <v>3.96</v>
      </c>
      <c r="C13" s="7">
        <f>IF(B13="","",ROUND(B13,$G$3))</f>
        <v/>
      </c>
      <c r="D13">
        <f>IF(B13="","",LOOKUP(B13,$A$4:$A$7,$B$4:$B$7))</f>
        <v/>
      </c>
      <c r="E13">
        <f>IF(B13="","",LOOKUP(C13,$A$4:$A$7,$B$4:$B$7))</f>
        <v/>
      </c>
      <c r="F13">
        <f>IF(B13="","",IF(D13&lt;&gt;E13,"Sí","No"))</f>
        <v/>
      </c>
    </row>
    <row r="14">
      <c r="A14" t="inlineStr">
        <is>
          <t>E05</t>
        </is>
      </c>
      <c r="B14" s="6" t="n">
        <v>3.95</v>
      </c>
      <c r="C14" s="7">
        <f>IF(B14="","",ROUND(B14,$G$3))</f>
        <v/>
      </c>
      <c r="D14">
        <f>IF(B14="","",LOOKUP(B14,$A$4:$A$7,$B$4:$B$7))</f>
        <v/>
      </c>
      <c r="E14">
        <f>IF(B14="","",LOOKUP(C14,$A$4:$A$7,$B$4:$B$7))</f>
        <v/>
      </c>
      <c r="F14">
        <f>IF(B14="","",IF(D14&lt;&gt;E14,"Sí","No"))</f>
        <v/>
      </c>
    </row>
    <row r="15">
      <c r="A15" t="inlineStr">
        <is>
          <t>E06</t>
        </is>
      </c>
      <c r="B15" s="6" t="n">
        <v>3.49</v>
      </c>
      <c r="C15" s="7">
        <f>IF(B15="","",ROUND(B15,$G$3))</f>
        <v/>
      </c>
      <c r="D15">
        <f>IF(B15="","",LOOKUP(B15,$A$4:$A$7,$B$4:$B$7))</f>
        <v/>
      </c>
      <c r="E15">
        <f>IF(B15="","",LOOKUP(C15,$A$4:$A$7,$B$4:$B$7))</f>
        <v/>
      </c>
      <c r="F15">
        <f>IF(B15="","",IF(D15&lt;&gt;E15,"Sí","No"))</f>
        <v/>
      </c>
    </row>
    <row r="16">
      <c r="A16" t="inlineStr">
        <is>
          <t>E07</t>
        </is>
      </c>
      <c r="B16" s="6" t="n">
        <v>3</v>
      </c>
      <c r="C16" s="7">
        <f>IF(B16="","",ROUND(B16,$G$3))</f>
        <v/>
      </c>
      <c r="D16">
        <f>IF(B16="","",LOOKUP(B16,$A$4:$A$7,$B$4:$B$7))</f>
        <v/>
      </c>
      <c r="E16">
        <f>IF(B16="","",LOOKUP(C16,$A$4:$A$7,$B$4:$B$7))</f>
        <v/>
      </c>
      <c r="F16">
        <f>IF(B16="","",IF(D16&lt;&gt;E16,"Sí","No"))</f>
        <v/>
      </c>
    </row>
    <row r="17">
      <c r="A17" t="inlineStr">
        <is>
          <t>E08</t>
        </is>
      </c>
      <c r="B17" s="6" t="n">
        <v>2.95</v>
      </c>
      <c r="C17" s="7">
        <f>IF(B17="","",ROUND(B17,$G$3))</f>
        <v/>
      </c>
      <c r="D17">
        <f>IF(B17="","",LOOKUP(B17,$A$4:$A$7,$B$4:$B$7))</f>
        <v/>
      </c>
      <c r="E17">
        <f>IF(B17="","",LOOKUP(C17,$A$4:$A$7,$B$4:$B$7))</f>
        <v/>
      </c>
      <c r="F17">
        <f>IF(B17="","",IF(D17&lt;&gt;E17,"Sí","No"))</f>
        <v/>
      </c>
    </row>
    <row r="18">
      <c r="A18" t="inlineStr">
        <is>
          <t>E09</t>
        </is>
      </c>
      <c r="B18" s="6" t="n">
        <v>2.96</v>
      </c>
      <c r="C18" s="7">
        <f>IF(B18="","",ROUND(B18,$G$3))</f>
        <v/>
      </c>
      <c r="D18">
        <f>IF(B18="","",LOOKUP(B18,$A$4:$A$7,$B$4:$B$7))</f>
        <v/>
      </c>
      <c r="E18">
        <f>IF(B18="","",LOOKUP(C18,$A$4:$A$7,$B$4:$B$7))</f>
        <v/>
      </c>
      <c r="F18">
        <f>IF(B18="","",IF(D18&lt;&gt;E18,"Sí","No"))</f>
        <v/>
      </c>
    </row>
    <row r="19">
      <c r="A19" t="inlineStr">
        <is>
          <t>E10</t>
        </is>
      </c>
      <c r="B19" s="6" t="n">
        <v>2.5</v>
      </c>
      <c r="C19" s="7">
        <f>IF(B19="","",ROUND(B19,$G$3))</f>
        <v/>
      </c>
      <c r="D19">
        <f>IF(B19="","",LOOKUP(B19,$A$4:$A$7,$B$4:$B$7))</f>
        <v/>
      </c>
      <c r="E19">
        <f>IF(B19="","",LOOKUP(C19,$A$4:$A$7,$B$4:$B$7))</f>
        <v/>
      </c>
      <c r="F19">
        <f>IF(B19="","",IF(D19&lt;&gt;E19,"Sí","No"))</f>
        <v/>
      </c>
    </row>
    <row r="20">
      <c r="A20" t="inlineStr">
        <is>
          <t>E11</t>
        </is>
      </c>
      <c r="B20" s="6" t="n">
        <v>1.8</v>
      </c>
      <c r="C20" s="7">
        <f>IF(B20="","",ROUND(B20,$G$3))</f>
        <v/>
      </c>
      <c r="D20">
        <f>IF(B20="","",LOOKUP(B20,$A$4:$A$7,$B$4:$B$7))</f>
        <v/>
      </c>
      <c r="E20">
        <f>IF(B20="","",LOOKUP(C20,$A$4:$A$7,$B$4:$B$7))</f>
        <v/>
      </c>
      <c r="F20">
        <f>IF(B20="","",IF(D20&lt;&gt;E20,"Sí","No"))</f>
        <v/>
      </c>
    </row>
    <row r="21">
      <c r="A21" t="inlineStr">
        <is>
          <t>E12</t>
        </is>
      </c>
      <c r="B21" s="6" t="n">
        <v>4</v>
      </c>
      <c r="C21" s="7">
        <f>IF(B21="","",ROUND(B21,$G$3))</f>
        <v/>
      </c>
      <c r="D21">
        <f>IF(B21="","",LOOKUP(B21,$A$4:$A$7,$B$4:$B$7))</f>
        <v/>
      </c>
      <c r="E21">
        <f>IF(B21="","",LOOKUP(C21,$A$4:$A$7,$B$4:$B$7))</f>
        <v/>
      </c>
      <c r="F21">
        <f>IF(B21="","",IF(D21&lt;&gt;E21,"Sí","No"))</f>
        <v/>
      </c>
    </row>
    <row r="22">
      <c r="B22" s="6" t="n"/>
      <c r="C22" s="7">
        <f>IF(B22="","",ROUND(B22,$G$3))</f>
        <v/>
      </c>
      <c r="D22">
        <f>IF(B22="","",LOOKUP(B22,$A$4:$A$7,$B$4:$B$7))</f>
        <v/>
      </c>
      <c r="E22">
        <f>IF(B22="","",LOOKUP(C22,$A$4:$A$7,$B$4:$B$7))</f>
        <v/>
      </c>
      <c r="F22">
        <f>IF(B22="","",IF(D22&lt;&gt;E22,"Sí","No"))</f>
        <v/>
      </c>
    </row>
    <row r="23">
      <c r="B23" s="6" t="n"/>
      <c r="C23" s="7">
        <f>IF(B23="","",ROUND(B23,$G$3))</f>
        <v/>
      </c>
      <c r="D23">
        <f>IF(B23="","",LOOKUP(B23,$A$4:$A$7,$B$4:$B$7))</f>
        <v/>
      </c>
      <c r="E23">
        <f>IF(B23="","",LOOKUP(C23,$A$4:$A$7,$B$4:$B$7))</f>
        <v/>
      </c>
      <c r="F23">
        <f>IF(B23="","",IF(D23&lt;&gt;E23,"Sí","No"))</f>
        <v/>
      </c>
    </row>
    <row r="24">
      <c r="B24" s="6" t="n"/>
      <c r="C24" s="7">
        <f>IF(B24="","",ROUND(B24,$G$3))</f>
        <v/>
      </c>
      <c r="D24">
        <f>IF(B24="","",LOOKUP(B24,$A$4:$A$7,$B$4:$B$7))</f>
        <v/>
      </c>
      <c r="E24">
        <f>IF(B24="","",LOOKUP(C24,$A$4:$A$7,$B$4:$B$7))</f>
        <v/>
      </c>
      <c r="F24">
        <f>IF(B24="","",IF(D24&lt;&gt;E24,"Sí","No"))</f>
        <v/>
      </c>
    </row>
    <row r="25">
      <c r="B25" s="6" t="n"/>
      <c r="C25" s="7">
        <f>IF(B25="","",ROUND(B25,$G$3))</f>
        <v/>
      </c>
      <c r="D25">
        <f>IF(B25="","",LOOKUP(B25,$A$4:$A$7,$B$4:$B$7))</f>
        <v/>
      </c>
      <c r="E25">
        <f>IF(B25="","",LOOKUP(C25,$A$4:$A$7,$B$4:$B$7))</f>
        <v/>
      </c>
      <c r="F25">
        <f>IF(B25="","",IF(D25&lt;&gt;E25,"Sí","No"))</f>
        <v/>
      </c>
    </row>
    <row r="26">
      <c r="B26" s="6" t="n"/>
      <c r="C26" s="7">
        <f>IF(B26="","",ROUND(B26,$G$3))</f>
        <v/>
      </c>
      <c r="D26">
        <f>IF(B26="","",LOOKUP(B26,$A$4:$A$7,$B$4:$B$7))</f>
        <v/>
      </c>
      <c r="E26">
        <f>IF(B26="","",LOOKUP(C26,$A$4:$A$7,$B$4:$B$7))</f>
        <v/>
      </c>
      <c r="F26">
        <f>IF(B26="","",IF(D26&lt;&gt;E26,"Sí","No"))</f>
        <v/>
      </c>
    </row>
    <row r="27">
      <c r="B27" s="6" t="n"/>
      <c r="C27" s="7">
        <f>IF(B27="","",ROUND(B27,$G$3))</f>
        <v/>
      </c>
      <c r="D27">
        <f>IF(B27="","",LOOKUP(B27,$A$4:$A$7,$B$4:$B$7))</f>
        <v/>
      </c>
      <c r="E27">
        <f>IF(B27="","",LOOKUP(C27,$A$4:$A$7,$B$4:$B$7))</f>
        <v/>
      </c>
      <c r="F27">
        <f>IF(B27="","",IF(D27&lt;&gt;E27,"Sí","No"))</f>
        <v/>
      </c>
    </row>
    <row r="28">
      <c r="B28" s="6" t="n"/>
      <c r="C28" s="7">
        <f>IF(B28="","",ROUND(B28,$G$3))</f>
        <v/>
      </c>
      <c r="D28">
        <f>IF(B28="","",LOOKUP(B28,$A$4:$A$7,$B$4:$B$7))</f>
        <v/>
      </c>
      <c r="E28">
        <f>IF(B28="","",LOOKUP(C28,$A$4:$A$7,$B$4:$B$7))</f>
        <v/>
      </c>
      <c r="F28">
        <f>IF(B28="","",IF(D28&lt;&gt;E28,"Sí","No"))</f>
        <v/>
      </c>
    </row>
    <row r="29">
      <c r="B29" s="6" t="n"/>
      <c r="C29" s="7">
        <f>IF(B29="","",ROUND(B29,$G$3))</f>
        <v/>
      </c>
      <c r="D29">
        <f>IF(B29="","",LOOKUP(B29,$A$4:$A$7,$B$4:$B$7))</f>
        <v/>
      </c>
      <c r="E29">
        <f>IF(B29="","",LOOKUP(C29,$A$4:$A$7,$B$4:$B$7))</f>
        <v/>
      </c>
      <c r="F29">
        <f>IF(B29="","",IF(D29&lt;&gt;E29,"Sí","No"))</f>
        <v/>
      </c>
    </row>
    <row r="31">
      <c r="A31" s="8" t="inlineStr">
        <is>
          <t>Cuenta por desempeño (con la nota redondeada)</t>
        </is>
      </c>
    </row>
    <row r="32">
      <c r="A32" t="inlineStr">
        <is>
          <t>Superior</t>
        </is>
      </c>
      <c r="B32">
        <f>COUNTIF($E$10:$E$29,A32)</f>
        <v/>
      </c>
    </row>
    <row r="33">
      <c r="A33" t="inlineStr">
        <is>
          <t>Alto</t>
        </is>
      </c>
      <c r="B33">
        <f>COUNTIF($E$10:$E$29,A33)</f>
        <v/>
      </c>
    </row>
    <row r="34">
      <c r="A34" t="inlineStr">
        <is>
          <t>Básico</t>
        </is>
      </c>
      <c r="B34">
        <f>COUNTIF($E$10:$E$29,A34)</f>
        <v/>
      </c>
    </row>
    <row r="35">
      <c r="A35" t="inlineStr">
        <is>
          <t>Bajo</t>
        </is>
      </c>
      <c r="B35">
        <f>COUNTIF($E$10:$E$29,A35)</f>
        <v/>
      </c>
    </row>
    <row r="37">
      <c r="A37" t="inlineStr">
        <is>
          <t>Estudiantes cuyo desempeño cambia por el redondeo</t>
        </is>
      </c>
      <c r="B37">
        <f>COUNTIF(F10:F29,"Sí")</f>
        <v/>
      </c>
    </row>
    <row r="39">
      <c r="A39" s="2" t="inlineStr">
        <is>
          <t>Nota: un redondeo aplicado solo en la presentación del informe, y no en la nota que se compara con los cortes, puede dar un desempeño distinto del que ve la familia. La regla debe estar escrita en el SIEE.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TARJETAS DE ESTUDIO (resumen propio; contrasta con el texto vigente)</t>
        </is>
      </c>
    </row>
    <row r="3">
      <c r="A3" s="3" t="inlineStr">
        <is>
          <t>Pregunta</t>
        </is>
      </c>
      <c r="B3" s="3" t="inlineStr">
        <is>
          <t>Respuesta</t>
        </is>
      </c>
      <c r="C3" s="3" t="inlineStr">
        <is>
          <t>¿Dominada? (Sí/No)</t>
        </is>
      </c>
    </row>
    <row r="4">
      <c r="A4" s="2" t="inlineStr">
        <is>
          <t>¿Qué es el SIEE?</t>
        </is>
      </c>
      <c r="B4" s="2" t="inlineStr">
        <is>
          <t>El sistema institucional de evaluación de los estudiantes, parte del PEI, con los criterios de evaluación y promoción de cada colegio</t>
        </is>
      </c>
      <c r="C4" s="4" t="inlineStr">
        <is>
          <t>No</t>
        </is>
      </c>
    </row>
    <row r="5">
      <c r="A5" s="2" t="inlineStr">
        <is>
          <t>¿Cuántos componentes mínimos tiene el SIEE?</t>
        </is>
      </c>
      <c r="B5" s="2" t="inlineStr">
        <is>
          <t>Once (art. 2.3.3.3.3.4)</t>
        </is>
      </c>
      <c r="C5" s="4" t="inlineStr">
        <is>
          <t>No</t>
        </is>
      </c>
    </row>
    <row r="6">
      <c r="A6" s="2" t="inlineStr">
        <is>
          <t>¿Cuál es la escala de valoración nacional?</t>
        </is>
      </c>
      <c r="B6" s="2" t="inlineStr">
        <is>
          <t>Desempeño Superior, Alto, Básico y Bajo</t>
        </is>
      </c>
      <c r="C6" s="4" t="inlineStr">
        <is>
          <t>No</t>
        </is>
      </c>
    </row>
    <row r="7">
      <c r="A7" s="2" t="inlineStr">
        <is>
          <t>¿Quién define la escala de calificación?</t>
        </is>
      </c>
      <c r="B7" s="2" t="inlineStr">
        <is>
          <t>Cada establecimiento, que expresa su equivalencia con la escala nacional</t>
        </is>
      </c>
      <c r="C7" s="4" t="inlineStr">
        <is>
          <t>No</t>
        </is>
      </c>
    </row>
    <row r="8">
      <c r="A8" s="2" t="inlineStr">
        <is>
          <t>¿Qué significa desempeño básico?</t>
        </is>
      </c>
      <c r="B8" s="2" t="inlineStr">
        <is>
          <t>La superación de los desempeños necesarios en las áreas obligatorias y fundamentales</t>
        </is>
      </c>
      <c r="C8" s="4" t="inlineStr">
        <is>
          <t>No</t>
        </is>
      </c>
    </row>
    <row r="9">
      <c r="A9" s="2" t="inlineStr">
        <is>
          <t>¿Quién define el porcentaje de asistencia que incide en la promoción?</t>
        </is>
      </c>
      <c r="B9" s="2" t="inlineStr">
        <is>
          <t>Cada establecimiento educativo, en su SIEE</t>
        </is>
      </c>
      <c r="C9" s="4" t="inlineStr">
        <is>
          <t>No</t>
        </is>
      </c>
    </row>
    <row r="10">
      <c r="A10" s="2" t="inlineStr">
        <is>
          <t>Si un estudiante no es promovido, ¿qué debe garantizarle el colegio?</t>
        </is>
      </c>
      <c r="B10" s="2" t="inlineStr">
        <is>
          <t>El cupo para que continúe su proceso formativo, en todos los casos</t>
        </is>
      </c>
      <c r="C10" s="4" t="inlineStr">
        <is>
          <t>No</t>
        </is>
      </c>
    </row>
    <row r="11">
      <c r="A11" s="2" t="inlineStr">
        <is>
          <t>¿Quién aprueba el SIEE y dónde se consigna?</t>
        </is>
      </c>
      <c r="B11" s="2" t="inlineStr">
        <is>
          <t>El consejo directivo, en sesión, con acta; luego se incorpora al PEI</t>
        </is>
      </c>
      <c r="C11" s="4" t="inlineStr">
        <is>
          <t>No</t>
        </is>
      </c>
    </row>
    <row r="12">
      <c r="A12" s="2" t="inlineStr">
        <is>
          <t>¿Quién recomienda la promoción anticipada?</t>
        </is>
      </c>
      <c r="B12" s="2" t="inlineStr">
        <is>
          <t>El consejo académico, con consentimiento de los padres, ante el consejo directivo, durante el primer periodo</t>
        </is>
      </c>
      <c r="C12" s="4" t="inlineStr">
        <is>
          <t>No</t>
        </is>
      </c>
    </row>
    <row r="13">
      <c r="A13" s="2" t="inlineStr">
        <is>
          <t>¿Quién decide las reclamaciones de estudiantes o padres sobre evaluación o promoción?</t>
        </is>
      </c>
      <c r="B13" s="2" t="inlineStr">
        <is>
          <t>A través del consejo directivo el establecimiento sirve de instancia para decidirlas (además de las instancias previstas en el SIEE)</t>
        </is>
      </c>
      <c r="C13" s="4" t="inlineStr">
        <is>
          <t>No</t>
        </is>
      </c>
    </row>
    <row r="14">
      <c r="A14" s="2" t="inlineStr">
        <is>
          <t>¿Cuándo debe conocer el estudiante el SIEE?</t>
        </is>
      </c>
      <c r="B14" s="2" t="inlineStr">
        <is>
          <t>Desde el inicio del año escolar</t>
        </is>
      </c>
      <c r="C14" s="4" t="inlineStr">
        <is>
          <t>No</t>
        </is>
      </c>
    </row>
    <row r="15">
      <c r="A15" s="2" t="inlineStr">
        <is>
          <t>¿Qué título obtienen quienes culminan la media con todos los requisitos?</t>
        </is>
      </c>
      <c r="B15" s="2" t="inlineStr">
        <is>
          <t>Bachiller Académico o Técnico</t>
        </is>
      </c>
      <c r="C15" s="4" t="inlineStr">
        <is>
          <t>No</t>
        </is>
      </c>
    </row>
    <row r="17">
      <c r="A17" t="inlineStr">
        <is>
          <t>Tarjetas dominadas</t>
        </is>
      </c>
      <c r="C17">
        <f>COUNTIF(C4:C15,"Sí")&amp;" de "&amp;COUNTA(A4:A15)</f>
        <v/>
      </c>
    </row>
  </sheetData>
  <dataValidations count="1">
    <dataValidation sqref="C4:C1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2026-10-10T14:34:08Z</dcterms:created>
  <dcterms:modified xmlns:dcterms="http://purl.org/dc/terms/" xmlns:xsi="http://www.w3.org/2001/XMLSchema-instance" xsi:type="dcterms:W3CDTF">2026-10-10T14:34:08Z</dcterms:modified>
</cp:coreProperties>
</file>