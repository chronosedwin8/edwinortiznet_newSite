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" sheetId="1" state="visible" r:id="rId1"/>
    <sheet xmlns:r="http://schemas.openxmlformats.org/officeDocument/2006/relationships" name="Errores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Plan_sema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165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  <col width="16" customWidth="1" min="6" max="6"/>
    <col width="18" customWidth="1" min="7" max="7"/>
    <col width="22" customWidth="1" min="8" max="8"/>
  </cols>
  <sheetData>
    <row r="1">
      <c r="A1" s="1" t="inlineStr">
        <is>
          <t>REGISTRO DE SIMULACROS (datos ficticios de práctica; no son puntajes oficiales ni predicen resultados)</t>
        </is>
      </c>
    </row>
    <row r="3" ht="36" customHeight="1">
      <c r="A3" s="2" t="inlineStr">
        <is>
          <t>Simulacro</t>
        </is>
      </c>
      <c r="B3" s="2" t="inlineStr">
        <is>
          <t>Fecha</t>
        </is>
      </c>
      <c r="C3" s="2" t="inlineStr">
        <is>
          <t>Preguntas</t>
        </is>
      </c>
      <c r="D3" s="2" t="inlineStr">
        <is>
          <t>Aciertos</t>
        </is>
      </c>
      <c r="E3" s="2" t="inlineStr">
        <is>
          <t>% de acierto</t>
        </is>
      </c>
      <c r="F3" s="2" t="inlineStr">
        <is>
          <t>Minutos usados</t>
        </is>
      </c>
      <c r="G3" s="2" t="inlineStr">
        <is>
          <t>Minutos por pregunta</t>
        </is>
      </c>
      <c r="H3" s="2" t="inlineStr">
        <is>
          <t>Cambio vs. anterior (puntos %)</t>
        </is>
      </c>
    </row>
    <row r="4">
      <c r="A4" s="3" t="n">
        <v>1</v>
      </c>
      <c r="B4" s="4" t="n">
        <v>46328</v>
      </c>
      <c r="C4" s="3" t="n">
        <v>60</v>
      </c>
      <c r="D4" s="3" t="n">
        <v>33</v>
      </c>
      <c r="E4" s="5">
        <f>D4/C4</f>
        <v/>
      </c>
      <c r="F4" s="3" t="n">
        <v>110</v>
      </c>
      <c r="G4" s="6">
        <f>F4/C4</f>
        <v/>
      </c>
    </row>
    <row r="5">
      <c r="A5" s="3" t="n">
        <v>2</v>
      </c>
      <c r="B5" s="4" t="n">
        <v>46342</v>
      </c>
      <c r="C5" s="3" t="n">
        <v>60</v>
      </c>
      <c r="D5" s="3" t="n">
        <v>38</v>
      </c>
      <c r="E5" s="5">
        <f>D5/C5</f>
        <v/>
      </c>
      <c r="F5" s="3" t="n">
        <v>105</v>
      </c>
      <c r="G5" s="6">
        <f>F5/C5</f>
        <v/>
      </c>
      <c r="H5" s="7">
        <f>(E5-E4)*100</f>
        <v/>
      </c>
    </row>
    <row r="6">
      <c r="A6" s="3" t="n">
        <v>3</v>
      </c>
      <c r="B6" s="4" t="n">
        <v>46356</v>
      </c>
      <c r="C6" s="3" t="n">
        <v>60</v>
      </c>
      <c r="D6" s="3" t="n">
        <v>41</v>
      </c>
      <c r="E6" s="5">
        <f>D6/C6</f>
        <v/>
      </c>
      <c r="F6" s="3" t="n">
        <v>100</v>
      </c>
      <c r="G6" s="6">
        <f>F6/C6</f>
        <v/>
      </c>
      <c r="H6" s="7">
        <f>(E6-E5)*100</f>
        <v/>
      </c>
    </row>
    <row r="7">
      <c r="A7" s="3" t="n">
        <v>4</v>
      </c>
      <c r="B7" s="4" t="n">
        <v>46370</v>
      </c>
      <c r="C7" s="3" t="n">
        <v>60</v>
      </c>
      <c r="D7" s="3" t="n">
        <v>46</v>
      </c>
      <c r="E7" s="5">
        <f>D7/C7</f>
        <v/>
      </c>
      <c r="F7" s="3" t="n">
        <v>98</v>
      </c>
      <c r="G7" s="6">
        <f>F7/C7</f>
        <v/>
      </c>
      <c r="H7" s="7">
        <f>(E7-E6)*100</f>
        <v/>
      </c>
    </row>
    <row r="8">
      <c r="A8" s="3" t="n"/>
      <c r="B8" s="3" t="n"/>
      <c r="C8" s="3" t="n"/>
      <c r="D8" s="3" t="n"/>
      <c r="E8" s="5">
        <f>IF(C8="","",D8/C8)</f>
        <v/>
      </c>
      <c r="F8" s="3" t="n"/>
      <c r="G8" s="6">
        <f>IF(C8="","",F8/C8)</f>
        <v/>
      </c>
      <c r="H8" s="7">
        <f>IF(C8="","",(E8-E7)*100)</f>
        <v/>
      </c>
    </row>
    <row r="9">
      <c r="A9" s="3" t="n"/>
      <c r="B9" s="3" t="n"/>
      <c r="C9" s="3" t="n"/>
      <c r="D9" s="3" t="n"/>
      <c r="E9" s="5">
        <f>IF(C9="","",D9/C9)</f>
        <v/>
      </c>
      <c r="F9" s="3" t="n"/>
      <c r="G9" s="6">
        <f>IF(C9="","",F9/C9)</f>
        <v/>
      </c>
      <c r="H9" s="7">
        <f>IF(C9="","",(E9-E8)*100)</f>
        <v/>
      </c>
    </row>
    <row r="10">
      <c r="A10" s="3" t="n"/>
      <c r="B10" s="3" t="n"/>
      <c r="C10" s="3" t="n"/>
      <c r="D10" s="3" t="n"/>
      <c r="E10" s="5">
        <f>IF(C10="","",D10/C10)</f>
        <v/>
      </c>
      <c r="F10" s="3" t="n"/>
      <c r="G10" s="6">
        <f>IF(C10="","",F10/C10)</f>
        <v/>
      </c>
      <c r="H10" s="7">
        <f>IF(C10="","",(E10-E9)*100)</f>
        <v/>
      </c>
    </row>
    <row r="11">
      <c r="A11" s="3" t="n"/>
      <c r="B11" s="3" t="n"/>
      <c r="C11" s="3" t="n"/>
      <c r="D11" s="3" t="n"/>
      <c r="E11" s="5">
        <f>IF(C11="","",D11/C11)</f>
        <v/>
      </c>
      <c r="F11" s="3" t="n"/>
      <c r="G11" s="6">
        <f>IF(C11="","",F11/C11)</f>
        <v/>
      </c>
      <c r="H11" s="7">
        <f>IF(C11="","",(E11-E10)*100)</f>
        <v/>
      </c>
    </row>
    <row r="12">
      <c r="A12" s="3" t="n"/>
      <c r="B12" s="3" t="n"/>
      <c r="C12" s="3" t="n"/>
      <c r="D12" s="3" t="n"/>
      <c r="E12" s="5">
        <f>IF(C12="","",D12/C12)</f>
        <v/>
      </c>
      <c r="F12" s="3" t="n"/>
      <c r="G12" s="6">
        <f>IF(C12="","",F12/C12)</f>
        <v/>
      </c>
      <c r="H12" s="7">
        <f>IF(C12="","",(E12-E11)*100)</f>
        <v/>
      </c>
    </row>
    <row r="13">
      <c r="A13" s="3" t="n"/>
      <c r="B13" s="3" t="n"/>
      <c r="C13" s="3" t="n"/>
      <c r="D13" s="3" t="n"/>
      <c r="E13" s="5">
        <f>IF(C13="","",D13/C13)</f>
        <v/>
      </c>
      <c r="F13" s="3" t="n"/>
      <c r="G13" s="6">
        <f>IF(C13="","",F13/C13)</f>
        <v/>
      </c>
      <c r="H13" s="7">
        <f>IF(C13="","",(E13-E12)*100)</f>
        <v/>
      </c>
    </row>
    <row r="14">
      <c r="A14" s="3" t="n"/>
      <c r="B14" s="3" t="n"/>
      <c r="C14" s="3" t="n"/>
      <c r="D14" s="3" t="n"/>
      <c r="E14" s="5">
        <f>IF(C14="","",D14/C14)</f>
        <v/>
      </c>
      <c r="F14" s="3" t="n"/>
      <c r="G14" s="6">
        <f>IF(C14="","",F14/C14)</f>
        <v/>
      </c>
      <c r="H14" s="7">
        <f>IF(C14="","",(E14-E13)*100)</f>
        <v/>
      </c>
    </row>
    <row r="15">
      <c r="A15" s="3" t="n"/>
      <c r="B15" s="3" t="n"/>
      <c r="C15" s="3" t="n"/>
      <c r="D15" s="3" t="n"/>
      <c r="E15" s="5">
        <f>IF(C15="","",D15/C15)</f>
        <v/>
      </c>
      <c r="F15" s="3" t="n"/>
      <c r="G15" s="6">
        <f>IF(C15="","",F15/C15)</f>
        <v/>
      </c>
      <c r="H15" s="7">
        <f>IF(C15="","",(E15-E14)*100)</f>
        <v/>
      </c>
    </row>
    <row r="17">
      <c r="A17" t="inlineStr">
        <is>
          <t>Una tendencia con 4 simulacros orienta; no demuestra nada. Un solo simulacro distinto puede cambiar la lectura por simple variación.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18" customWidth="1" min="4" max="4"/>
    <col width="34" customWidth="1" min="5" max="5"/>
    <col width="60" customWidth="1" min="6" max="6"/>
  </cols>
  <sheetData>
    <row r="1">
      <c r="A1" s="1" t="inlineStr">
        <is>
          <t>ANÁLISIS DE ERRORES DEL ÚLTIMO SIMULACRO (14 preguntas falladas de 60; ficticio)</t>
        </is>
      </c>
    </row>
    <row r="3" ht="36" customHeight="1">
      <c r="A3" s="2" t="inlineStr">
        <is>
          <t>Pregunta</t>
        </is>
      </c>
      <c r="B3" s="2" t="inlineStr">
        <is>
          <t>Componente</t>
        </is>
      </c>
      <c r="C3" s="2" t="inlineStr">
        <is>
          <t>Causa del error</t>
        </is>
      </c>
      <c r="D3" s="2" t="inlineStr">
        <is>
          <t>Seguridad al responder</t>
        </is>
      </c>
      <c r="E3" s="2" t="inlineStr">
        <is>
          <t>Prioridad</t>
        </is>
      </c>
      <c r="F3" s="2" t="inlineStr">
        <is>
          <t>Acción concreta</t>
        </is>
      </c>
      <c r="H3" t="inlineStr">
        <is>
          <t>Las listas de componente y causa son ejemplos: ajústalas a los componentes de tu convocatoria cuando se publique.</t>
        </is>
      </c>
    </row>
    <row r="4">
      <c r="A4" s="3" t="n">
        <v>4</v>
      </c>
      <c r="B4" s="3" t="inlineStr">
        <is>
          <t>Normativa</t>
        </is>
      </c>
      <c r="C4" s="3" t="inlineStr">
        <is>
          <t>Desconocimiento</t>
        </is>
      </c>
      <c r="D4" s="3" t="inlineStr">
        <is>
          <t>Baja</t>
        </is>
      </c>
      <c r="E4">
        <f>IF(D4="","",IF(D4="Alta","1 · Concepto errado con seguridad",IF(D4="Media","2 · Duda no resuelta","3 · Vacío o azar")))</f>
        <v/>
      </c>
      <c r="F4" s="8" t="inlineStr">
        <is>
          <t>Leer el artículo en la fuente oficial y resumirlo en dos líneas</t>
        </is>
      </c>
    </row>
    <row r="5">
      <c r="A5" s="3" t="n">
        <v>9</v>
      </c>
      <c r="B5" s="3" t="inlineStr">
        <is>
          <t>Normativa</t>
        </is>
      </c>
      <c r="C5" s="3" t="inlineStr">
        <is>
          <t>Confusión</t>
        </is>
      </c>
      <c r="D5" s="3" t="inlineStr">
        <is>
          <t>Alta</t>
        </is>
      </c>
      <c r="E5">
        <f>IF(D5="","",IF(D5="Alta","1 · Concepto errado con seguridad",IF(D5="Media","2 · Duda no resuelta","3 · Vacío o azar")))</f>
        <v/>
      </c>
      <c r="F5" s="8" t="inlineStr">
        <is>
          <t>Tabla comparativa de las dos normas que confundí</t>
        </is>
      </c>
    </row>
    <row r="6">
      <c r="A6" s="3" t="n">
        <v>13</v>
      </c>
      <c r="B6" s="3" t="inlineStr">
        <is>
          <t>Razonamiento cuantitativo</t>
        </is>
      </c>
      <c r="C6" s="3" t="inlineStr">
        <is>
          <t>Descuido de cálculo</t>
        </is>
      </c>
      <c r="D6" s="3" t="inlineStr">
        <is>
          <t>Media</t>
        </is>
      </c>
      <c r="E6">
        <f>IF(D6="","",IF(D6="Alta","1 · Concepto errado con seguridad",IF(D6="Media","2 · Duda no resuelta","3 · Vacío o azar")))</f>
        <v/>
      </c>
      <c r="F6" s="8" t="inlineStr">
        <is>
          <t>Revisar el resultado con una estimación antes de marcar</t>
        </is>
      </c>
    </row>
    <row r="7">
      <c r="A7" s="3" t="n">
        <v>17</v>
      </c>
      <c r="B7" s="3" t="inlineStr">
        <is>
          <t>Lectura crítica</t>
        </is>
      </c>
      <c r="C7" s="3" t="inlineStr">
        <is>
          <t>Lectura apresurada</t>
        </is>
      </c>
      <c r="D7" s="3" t="inlineStr">
        <is>
          <t>Media</t>
        </is>
      </c>
      <c r="E7">
        <f>IF(D7="","",IF(D7="Alta","1 · Concepto errado con seguridad",IF(D7="Media","2 · Duda no resuelta","3 · Vacío o azar")))</f>
        <v/>
      </c>
      <c r="F7" s="8" t="inlineStr">
        <is>
          <t>Subrayar lo que pregunta el enunciado antes de leer las opciones</t>
        </is>
      </c>
    </row>
    <row r="8">
      <c r="A8" s="3" t="n">
        <v>21</v>
      </c>
      <c r="B8" s="3" t="inlineStr">
        <is>
          <t>Juicio situacional</t>
        </is>
      </c>
      <c r="C8" s="3" t="inlineStr">
        <is>
          <t>Confusión</t>
        </is>
      </c>
      <c r="D8" s="3" t="inlineStr">
        <is>
          <t>Alta</t>
        </is>
      </c>
      <c r="E8">
        <f>IF(D8="","",IF(D8="Alta","1 · Concepto errado con seguridad",IF(D8="Media","2 · Duda no resuelta","3 · Vacío o azar")))</f>
        <v/>
      </c>
      <c r="F8" s="8" t="inlineStr">
        <is>
          <t>Re-analizar el caso y justificar por qué las otras opciones fallan</t>
        </is>
      </c>
    </row>
    <row r="9">
      <c r="A9" s="3" t="n">
        <v>24</v>
      </c>
      <c r="B9" s="3" t="inlineStr">
        <is>
          <t>Razonamiento cuantitativo</t>
        </is>
      </c>
      <c r="C9" s="3" t="inlineStr">
        <is>
          <t>Desconocimiento</t>
        </is>
      </c>
      <c r="D9" s="3" t="inlineStr">
        <is>
          <t>Baja</t>
        </is>
      </c>
      <c r="E9">
        <f>IF(D9="","",IF(D9="Alta","1 · Concepto errado con seguridad",IF(D9="Media","2 · Duda no resuelta","3 · Vacío o azar")))</f>
        <v/>
      </c>
      <c r="F9" s="8" t="inlineStr">
        <is>
          <t>Repasar proporcionalidad con tres ejercicios</t>
        </is>
      </c>
    </row>
    <row r="10">
      <c r="A10" s="3" t="n">
        <v>28</v>
      </c>
      <c r="B10" s="3" t="inlineStr">
        <is>
          <t>Normativa</t>
        </is>
      </c>
      <c r="C10" s="3" t="inlineStr">
        <is>
          <t>Desconocimiento</t>
        </is>
      </c>
      <c r="D10" s="3" t="inlineStr">
        <is>
          <t>Baja</t>
        </is>
      </c>
      <c r="E10">
        <f>IF(D10="","",IF(D10="Alta","1 · Concepto errado con seguridad",IF(D10="Media","2 · Duda no resuelta","3 · Vacío o azar")))</f>
        <v/>
      </c>
      <c r="F10" s="8" t="inlineStr">
        <is>
          <t>Fichar el tema en el mapa normativo</t>
        </is>
      </c>
    </row>
    <row r="11">
      <c r="A11" s="3" t="n">
        <v>31</v>
      </c>
      <c r="B11" s="3" t="inlineStr">
        <is>
          <t>Pedagógico</t>
        </is>
      </c>
      <c r="C11" s="3" t="inlineStr">
        <is>
          <t>Confusión</t>
        </is>
      </c>
      <c r="D11" s="3" t="inlineStr">
        <is>
          <t>Alta</t>
        </is>
      </c>
      <c r="E11">
        <f>IF(D11="","",IF(D11="Alta","1 · Concepto errado con seguridad",IF(D11="Media","2 · Duda no resuelta","3 · Vacío o azar")))</f>
        <v/>
      </c>
      <c r="F11" s="8" t="inlineStr">
        <is>
          <t>Explicar el concepto en voz alta sin mirar apuntes</t>
        </is>
      </c>
    </row>
    <row r="12">
      <c r="A12" s="3" t="n">
        <v>35</v>
      </c>
      <c r="B12" s="3" t="inlineStr">
        <is>
          <t>Razonamiento cuantitativo</t>
        </is>
      </c>
      <c r="C12" s="3" t="inlineStr">
        <is>
          <t>Tiempo</t>
        </is>
      </c>
      <c r="D12" s="3" t="inlineStr">
        <is>
          <t>Baja</t>
        </is>
      </c>
      <c r="E12">
        <f>IF(D12="","",IF(D12="Alta","1 · Concepto errado con seguridad",IF(D12="Media","2 · Duda no resuelta","3 · Vacío o azar")))</f>
        <v/>
      </c>
      <c r="F12" s="8" t="inlineStr">
        <is>
          <t>Practicar con cronómetro: 2 minutos por pregunta</t>
        </is>
      </c>
    </row>
    <row r="13">
      <c r="A13" s="3" t="n">
        <v>38</v>
      </c>
      <c r="B13" s="3" t="inlineStr">
        <is>
          <t>Lectura crítica</t>
        </is>
      </c>
      <c r="C13" s="3" t="inlineStr">
        <is>
          <t>Tiempo</t>
        </is>
      </c>
      <c r="D13" s="3" t="inlineStr">
        <is>
          <t>Media</t>
        </is>
      </c>
      <c r="E13">
        <f>IF(D13="","",IF(D13="Alta","1 · Concepto errado con seguridad",IF(D13="Media","2 · Duda no resuelta","3 · Vacío o azar")))</f>
        <v/>
      </c>
      <c r="F13" s="8" t="inlineStr">
        <is>
          <t>Ensayar la estrategia de saltar y volver</t>
        </is>
      </c>
    </row>
    <row r="14">
      <c r="A14" s="3" t="n">
        <v>42</v>
      </c>
      <c r="B14" s="3" t="inlineStr">
        <is>
          <t>Normativa</t>
        </is>
      </c>
      <c r="C14" s="3" t="inlineStr">
        <is>
          <t>Confusión</t>
        </is>
      </c>
      <c r="D14" s="3" t="inlineStr">
        <is>
          <t>Alta</t>
        </is>
      </c>
      <c r="E14">
        <f>IF(D14="","",IF(D14="Alta","1 · Concepto errado con seguridad",IF(D14="Media","2 · Duda no resuelta","3 · Vacío o azar")))</f>
        <v/>
      </c>
      <c r="F14" s="8" t="inlineStr">
        <is>
          <t>Tarjeta con el contraste y fecha de la norma</t>
        </is>
      </c>
    </row>
    <row r="15">
      <c r="A15" s="3" t="n">
        <v>47</v>
      </c>
      <c r="B15" s="3" t="inlineStr">
        <is>
          <t>Razonamiento cuantitativo</t>
        </is>
      </c>
      <c r="C15" s="3" t="inlineStr">
        <is>
          <t>Descuido de cálculo</t>
        </is>
      </c>
      <c r="D15" s="3" t="inlineStr">
        <is>
          <t>Media</t>
        </is>
      </c>
      <c r="E15">
        <f>IF(D15="","",IF(D15="Alta","1 · Concepto errado con seguridad",IF(D15="Media","2 · Duda no resuelta","3 · Vacío o azar")))</f>
        <v/>
      </c>
      <c r="F15" s="8" t="inlineStr">
        <is>
          <t>Escribir los pasos en vez de hacerlos mentalmente</t>
        </is>
      </c>
    </row>
    <row r="16">
      <c r="A16" s="3" t="n">
        <v>52</v>
      </c>
      <c r="B16" s="3" t="inlineStr">
        <is>
          <t>Pedagógico</t>
        </is>
      </c>
      <c r="C16" s="3" t="inlineStr">
        <is>
          <t>Azar</t>
        </is>
      </c>
      <c r="D16" s="3" t="inlineStr">
        <is>
          <t>Baja</t>
        </is>
      </c>
      <c r="E16">
        <f>IF(D16="","",IF(D16="Alta","1 · Concepto errado con seguridad",IF(D16="Media","2 · Duda no resuelta","3 · Vacío o azar")))</f>
        <v/>
      </c>
      <c r="F16" s="8" t="inlineStr">
        <is>
          <t>Marcar como "adivinada" y repasar el tema</t>
        </is>
      </c>
    </row>
    <row r="17">
      <c r="A17" s="3" t="n">
        <v>57</v>
      </c>
      <c r="B17" s="3" t="inlineStr">
        <is>
          <t>Juicio situacional</t>
        </is>
      </c>
      <c r="C17" s="3" t="inlineStr">
        <is>
          <t>Lectura apresurada</t>
        </is>
      </c>
      <c r="D17" s="3" t="inlineStr">
        <is>
          <t>Alta</t>
        </is>
      </c>
      <c r="E17">
        <f>IF(D17="","",IF(D17="Alta","1 · Concepto errado con seguridad",IF(D17="Media","2 · Duda no resuelta","3 · Vacío o azar")))</f>
        <v/>
      </c>
      <c r="F17" s="8" t="inlineStr">
        <is>
          <t>Identificar primero quién debe actuar y con qué competencia</t>
        </is>
      </c>
    </row>
    <row r="18">
      <c r="A18" s="3" t="n"/>
      <c r="B18" s="3" t="n"/>
      <c r="C18" s="3" t="n"/>
      <c r="D18" s="3" t="n"/>
      <c r="E18">
        <f>IF(D18="","",IF(D18="Alta","1 · Concepto errado con seguridad",IF(D18="Media","2 · Duda no resuelta","3 · Vacío o azar")))</f>
        <v/>
      </c>
      <c r="F18" s="3" t="n"/>
    </row>
    <row r="19">
      <c r="A19" s="3" t="n"/>
      <c r="B19" s="3" t="n"/>
      <c r="C19" s="3" t="n"/>
      <c r="D19" s="3" t="n"/>
      <c r="E19">
        <f>IF(D19="","",IF(D19="Alta","1 · Concepto errado con seguridad",IF(D19="Media","2 · Duda no resuelta","3 · Vacío o azar")))</f>
        <v/>
      </c>
      <c r="F19" s="3" t="n"/>
    </row>
    <row r="20">
      <c r="A20" s="3" t="n"/>
      <c r="B20" s="3" t="n"/>
      <c r="C20" s="3" t="n"/>
      <c r="D20" s="3" t="n"/>
      <c r="E20">
        <f>IF(D20="","",IF(D20="Alta","1 · Concepto errado con seguridad",IF(D20="Media","2 · Duda no resuelta","3 · Vacío o azar")))</f>
        <v/>
      </c>
      <c r="F20" s="3" t="n"/>
    </row>
    <row r="21">
      <c r="A21" s="3" t="n"/>
      <c r="B21" s="3" t="n"/>
      <c r="C21" s="3" t="n"/>
      <c r="D21" s="3" t="n"/>
      <c r="E21">
        <f>IF(D21="","",IF(D21="Alta","1 · Concepto errado con seguridad",IF(D21="Media","2 · Duda no resuelta","3 · Vacío o azar")))</f>
        <v/>
      </c>
      <c r="F21" s="3" t="n"/>
    </row>
    <row r="22">
      <c r="A22" s="3" t="n"/>
      <c r="B22" s="3" t="n"/>
      <c r="C22" s="3" t="n"/>
      <c r="D22" s="3" t="n"/>
      <c r="E22">
        <f>IF(D22="","",IF(D22="Alta","1 · Concepto errado con seguridad",IF(D22="Media","2 · Duda no resuelta","3 · Vacío o azar")))</f>
        <v/>
      </c>
      <c r="F22" s="3" t="n"/>
    </row>
    <row r="23">
      <c r="A23" s="3" t="n"/>
      <c r="B23" s="3" t="n"/>
      <c r="C23" s="3" t="n"/>
      <c r="D23" s="3" t="n"/>
      <c r="E23">
        <f>IF(D23="","",IF(D23="Alta","1 · Concepto errado con seguridad",IF(D23="Media","2 · Duda no resuelta","3 · Vacío o azar")))</f>
        <v/>
      </c>
      <c r="F23" s="3" t="n"/>
    </row>
    <row r="24">
      <c r="A24" s="3" t="n"/>
      <c r="B24" s="3" t="n"/>
      <c r="C24" s="3" t="n"/>
      <c r="D24" s="3" t="n"/>
      <c r="E24">
        <f>IF(D24="","",IF(D24="Alta","1 · Concepto errado con seguridad",IF(D24="Media","2 · Duda no resuelta","3 · Vacío o azar")))</f>
        <v/>
      </c>
      <c r="F24" s="3" t="n"/>
    </row>
    <row r="25">
      <c r="A25" s="3" t="n"/>
      <c r="B25" s="3" t="n"/>
      <c r="C25" s="3" t="n"/>
      <c r="D25" s="3" t="n"/>
      <c r="E25">
        <f>IF(D25="","",IF(D25="Alta","1 · Concepto errado con seguridad",IF(D25="Media","2 · Duda no resuelta","3 · Vacío o azar")))</f>
        <v/>
      </c>
      <c r="F25" s="3" t="n"/>
    </row>
    <row r="26">
      <c r="A26" s="3" t="n"/>
      <c r="B26" s="3" t="n"/>
      <c r="C26" s="3" t="n"/>
      <c r="D26" s="3" t="n"/>
      <c r="E26">
        <f>IF(D26="","",IF(D26="Alta","1 · Concepto errado con seguridad",IF(D26="Media","2 · Duda no resuelta","3 · Vacío o azar")))</f>
        <v/>
      </c>
      <c r="F26" s="3" t="n"/>
    </row>
    <row r="27">
      <c r="A27" s="3" t="n"/>
      <c r="B27" s="3" t="n"/>
      <c r="C27" s="3" t="n"/>
      <c r="D27" s="3" t="n"/>
      <c r="E27">
        <f>IF(D27="","",IF(D27="Alta","1 · Concepto errado con seguridad",IF(D27="Media","2 · Duda no resuelta","3 · Vacío o azar")))</f>
        <v/>
      </c>
      <c r="F27" s="3" t="n"/>
    </row>
    <row r="28">
      <c r="A28" s="3" t="n"/>
      <c r="B28" s="3" t="n"/>
      <c r="C28" s="3" t="n"/>
      <c r="D28" s="3" t="n"/>
      <c r="E28">
        <f>IF(D28="","",IF(D28="Alta","1 · Concepto errado con seguridad",IF(D28="Media","2 · Duda no resuelta","3 · Vacío o azar")))</f>
        <v/>
      </c>
      <c r="F28" s="3" t="n"/>
    </row>
    <row r="29">
      <c r="A29" s="3" t="n"/>
      <c r="B29" s="3" t="n"/>
      <c r="C29" s="3" t="n"/>
      <c r="D29" s="3" t="n"/>
      <c r="E29">
        <f>IF(D29="","",IF(D29="Alta","1 · Concepto errado con seguridad",IF(D29="Media","2 · Duda no resuelta","3 · Vacío o azar")))</f>
        <v/>
      </c>
      <c r="F29" s="3" t="n"/>
    </row>
    <row r="30">
      <c r="A30" s="3" t="n"/>
      <c r="B30" s="3" t="n"/>
      <c r="C30" s="3" t="n"/>
      <c r="D30" s="3" t="n"/>
      <c r="E30">
        <f>IF(D30="","",IF(D30="Alta","1 · Concepto errado con seguridad",IF(D30="Media","2 · Duda no resuelta","3 · Vacío o azar")))</f>
        <v/>
      </c>
      <c r="F30" s="3" t="n"/>
    </row>
    <row r="31">
      <c r="A31" s="3" t="n"/>
      <c r="B31" s="3" t="n"/>
      <c r="C31" s="3" t="n"/>
      <c r="D31" s="3" t="n"/>
      <c r="E31">
        <f>IF(D31="","",IF(D31="Alta","1 · Concepto errado con seguridad",IF(D31="Media","2 · Duda no resuelta","3 · Vacío o azar")))</f>
        <v/>
      </c>
      <c r="F31" s="3" t="n"/>
    </row>
    <row r="32">
      <c r="A32" s="3" t="n"/>
      <c r="B32" s="3" t="n"/>
      <c r="C32" s="3" t="n"/>
      <c r="D32" s="3" t="n"/>
      <c r="E32">
        <f>IF(D32="","",IF(D32="Alta","1 · Concepto errado con seguridad",IF(D32="Media","2 · Duda no resuelta","3 · Vacío o azar")))</f>
        <v/>
      </c>
      <c r="F32" s="3" t="n"/>
    </row>
    <row r="33">
      <c r="A33" s="3" t="n"/>
      <c r="B33" s="3" t="n"/>
      <c r="C33" s="3" t="n"/>
      <c r="D33" s="3" t="n"/>
      <c r="E33">
        <f>IF(D33="","",IF(D33="Alta","1 · Concepto errado con seguridad",IF(D33="Media","2 · Duda no resuelta","3 · Vacío o azar")))</f>
        <v/>
      </c>
      <c r="F33" s="3" t="n"/>
    </row>
    <row r="34">
      <c r="A34" s="3" t="n"/>
      <c r="B34" s="3" t="n"/>
      <c r="C34" s="3" t="n"/>
      <c r="D34" s="3" t="n"/>
      <c r="E34">
        <f>IF(D34="","",IF(D34="Alta","1 · Concepto errado con seguridad",IF(D34="Media","2 · Duda no resuelta","3 · Vacío o azar")))</f>
        <v/>
      </c>
      <c r="F34" s="3" t="n"/>
    </row>
    <row r="35">
      <c r="A35" s="3" t="n"/>
      <c r="B35" s="3" t="n"/>
      <c r="C35" s="3" t="n"/>
      <c r="D35" s="3" t="n"/>
      <c r="E35">
        <f>IF(D35="","",IF(D35="Alta","1 · Concepto errado con seguridad",IF(D35="Media","2 · Duda no resuelta","3 · Vacío o azar")))</f>
        <v/>
      </c>
      <c r="F35" s="3" t="n"/>
    </row>
    <row r="36">
      <c r="A36" s="3" t="n"/>
      <c r="B36" s="3" t="n"/>
      <c r="C36" s="3" t="n"/>
      <c r="D36" s="3" t="n"/>
      <c r="E36">
        <f>IF(D36="","",IF(D36="Alta","1 · Concepto errado con seguridad",IF(D36="Media","2 · Duda no resuelta","3 · Vacío o azar")))</f>
        <v/>
      </c>
      <c r="F36" s="3" t="n"/>
    </row>
    <row r="37">
      <c r="A37" s="3" t="n"/>
      <c r="B37" s="3" t="n"/>
      <c r="C37" s="3" t="n"/>
      <c r="D37" s="3" t="n"/>
      <c r="E37">
        <f>IF(D37="","",IF(D37="Alta","1 · Concepto errado con seguridad",IF(D37="Media","2 · Duda no resuelta","3 · Vacío o azar")))</f>
        <v/>
      </c>
      <c r="F37" s="3" t="n"/>
    </row>
    <row r="38">
      <c r="A38" s="3" t="n"/>
      <c r="B38" s="3" t="n"/>
      <c r="C38" s="3" t="n"/>
      <c r="D38" s="3" t="n"/>
      <c r="E38">
        <f>IF(D38="","",IF(D38="Alta","1 · Concepto errado con seguridad",IF(D38="Media","2 · Duda no resuelta","3 · Vacío o azar")))</f>
        <v/>
      </c>
      <c r="F38" s="3" t="n"/>
    </row>
    <row r="39">
      <c r="A39" s="3" t="n"/>
      <c r="B39" s="3" t="n"/>
      <c r="C39" s="3" t="n"/>
      <c r="D39" s="3" t="n"/>
      <c r="E39">
        <f>IF(D39="","",IF(D39="Alta","1 · Concepto errado con seguridad",IF(D39="Media","2 · Duda no resuelta","3 · Vacío o azar")))</f>
        <v/>
      </c>
      <c r="F39" s="3" t="n"/>
    </row>
  </sheetData>
  <dataValidations count="3">
    <dataValidation sqref="B4:B39" showDropDown="0" showInputMessage="0" showErrorMessage="0" allowBlank="0" type="list">
      <formula1>"Normativa,Pedagógico,Razonamiento cuantitativo,Lectura crítica,Juicio situacional"</formula1>
    </dataValidation>
    <dataValidation sqref="C4:C39" showDropDown="0" showInputMessage="0" showErrorMessage="0" allowBlank="0" type="list">
      <formula1>"Desconocimiento,Confusión,Lectura apresurada,Tiempo,Descuido de cálculo,Azar"</formula1>
    </dataValidation>
    <dataValidation sqref="D4:D39" showDropDown="0" showInputMessage="0" showErrorMessage="0" allowBlank="0" type="list">
      <formula1>"Alta,Media,Baja"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8" customWidth="1" min="3" max="3"/>
    <col width="44" customWidth="1" min="4" max="4"/>
  </cols>
  <sheetData>
    <row r="1">
      <c r="A1" s="1" t="inlineStr">
        <is>
          <t>RESUMEN: DÓNDE Y POR QUÉ SE PIERDEN LAS PREGUNTAS</t>
        </is>
      </c>
    </row>
    <row r="3">
      <c r="A3" s="2" t="inlineStr">
        <is>
          <t>Componente</t>
        </is>
      </c>
      <c r="B3" s="2" t="inlineStr">
        <is>
          <t>Errores</t>
        </is>
      </c>
      <c r="C3" s="2" t="inlineStr">
        <is>
          <t>% de los errores</t>
        </is>
      </c>
      <c r="D3" s="2" t="inlineStr">
        <is>
          <t>De ellos, con seguridad Alta</t>
        </is>
      </c>
    </row>
    <row r="4">
      <c r="A4" t="inlineStr">
        <is>
          <t>Normativa</t>
        </is>
      </c>
      <c r="B4">
        <f>COUNTIF(Errores!$B$4:$B$39,A4)</f>
        <v/>
      </c>
      <c r="C4" s="5">
        <f>IF($B$9=0,0,B4/$B$9)</f>
        <v/>
      </c>
      <c r="D4">
        <f>COUNTIFS(Errores!$B$4:$B$39,A4,Errores!$D$4:$D$39,"Alta")</f>
        <v/>
      </c>
    </row>
    <row r="5">
      <c r="A5" t="inlineStr">
        <is>
          <t>Pedagógico</t>
        </is>
      </c>
      <c r="B5">
        <f>COUNTIF(Errores!$B$4:$B$39,A5)</f>
        <v/>
      </c>
      <c r="C5" s="5">
        <f>IF($B$9=0,0,B5/$B$9)</f>
        <v/>
      </c>
      <c r="D5">
        <f>COUNTIFS(Errores!$B$4:$B$39,A5,Errores!$D$4:$D$39,"Alta")</f>
        <v/>
      </c>
    </row>
    <row r="6">
      <c r="A6" t="inlineStr">
        <is>
          <t>Razonamiento cuantitativo</t>
        </is>
      </c>
      <c r="B6">
        <f>COUNTIF(Errores!$B$4:$B$39,A6)</f>
        <v/>
      </c>
      <c r="C6" s="5">
        <f>IF($B$9=0,0,B6/$B$9)</f>
        <v/>
      </c>
      <c r="D6">
        <f>COUNTIFS(Errores!$B$4:$B$39,A6,Errores!$D$4:$D$39,"Alta")</f>
        <v/>
      </c>
    </row>
    <row r="7">
      <c r="A7" t="inlineStr">
        <is>
          <t>Lectura crítica</t>
        </is>
      </c>
      <c r="B7">
        <f>COUNTIF(Errores!$B$4:$B$39,A7)</f>
        <v/>
      </c>
      <c r="C7" s="5">
        <f>IF($B$9=0,0,B7/$B$9)</f>
        <v/>
      </c>
      <c r="D7">
        <f>COUNTIFS(Errores!$B$4:$B$39,A7,Errores!$D$4:$D$39,"Alta")</f>
        <v/>
      </c>
    </row>
    <row r="8">
      <c r="A8" t="inlineStr">
        <is>
          <t>Juicio situacional</t>
        </is>
      </c>
      <c r="B8">
        <f>COUNTIF(Errores!$B$4:$B$39,A8)</f>
        <v/>
      </c>
      <c r="C8" s="5">
        <f>IF($B$9=0,0,B8/$B$9)</f>
        <v/>
      </c>
      <c r="D8">
        <f>COUNTIFS(Errores!$B$4:$B$39,A8,Errores!$D$4:$D$39,"Alta")</f>
        <v/>
      </c>
    </row>
    <row r="9">
      <c r="A9" s="9" t="inlineStr">
        <is>
          <t>Total</t>
        </is>
      </c>
      <c r="B9">
        <f>SUM(B4:B8)</f>
        <v/>
      </c>
      <c r="D9">
        <f>SUM(D4:D8)</f>
        <v/>
      </c>
    </row>
    <row r="11">
      <c r="A11" s="2" t="inlineStr">
        <is>
          <t>Causa</t>
        </is>
      </c>
      <c r="B11" s="2" t="inlineStr">
        <is>
          <t>Errores</t>
        </is>
      </c>
      <c r="C11" s="2" t="inlineStr">
        <is>
          <t>% de los errores</t>
        </is>
      </c>
      <c r="D11" s="2" t="inlineStr">
        <is>
          <t>Qué trabajar</t>
        </is>
      </c>
    </row>
    <row r="12">
      <c r="A12" t="inlineStr">
        <is>
          <t>Desconocimiento</t>
        </is>
      </c>
      <c r="B12">
        <f>COUNTIF(Errores!$C$4:$C$39,A12)</f>
        <v/>
      </c>
      <c r="C12" s="5">
        <f>IF($B$18=0,0,B12/$B$18)</f>
        <v/>
      </c>
      <c r="D12" t="inlineStr">
        <is>
          <t>Estudiar el contenido</t>
        </is>
      </c>
    </row>
    <row r="13">
      <c r="A13" t="inlineStr">
        <is>
          <t>Confusión</t>
        </is>
      </c>
      <c r="B13">
        <f>COUNTIF(Errores!$C$4:$C$39,A13)</f>
        <v/>
      </c>
      <c r="C13" s="5">
        <f>IF($B$18=0,0,B13/$B$18)</f>
        <v/>
      </c>
      <c r="D13" t="inlineStr">
        <is>
          <t>Contrastar y practicar con casos</t>
        </is>
      </c>
    </row>
    <row r="14">
      <c r="A14" t="inlineStr">
        <is>
          <t>Lectura apresurada</t>
        </is>
      </c>
      <c r="B14">
        <f>COUNTIF(Errores!$C$4:$C$39,A14)</f>
        <v/>
      </c>
      <c r="C14" s="5">
        <f>IF($B$18=0,0,B14/$B$18)</f>
        <v/>
      </c>
      <c r="D14" t="inlineStr">
        <is>
          <t>Técnica de lectura y gestión del enunciado</t>
        </is>
      </c>
    </row>
    <row r="15">
      <c r="A15" t="inlineStr">
        <is>
          <t>Tiempo</t>
        </is>
      </c>
      <c r="B15">
        <f>COUNTIF(Errores!$C$4:$C$39,A15)</f>
        <v/>
      </c>
      <c r="C15" s="5">
        <f>IF($B$18=0,0,B15/$B$18)</f>
        <v/>
      </c>
      <c r="D15" t="inlineStr">
        <is>
          <t>Práctica con cronómetro</t>
        </is>
      </c>
    </row>
    <row r="16">
      <c r="A16" t="inlineStr">
        <is>
          <t>Descuido de cálculo</t>
        </is>
      </c>
      <c r="B16">
        <f>COUNTIF(Errores!$C$4:$C$39,A16)</f>
        <v/>
      </c>
      <c r="C16" s="5">
        <f>IF($B$18=0,0,B16/$B$18)</f>
        <v/>
      </c>
      <c r="D16" t="inlineStr">
        <is>
          <t>Verificación y estimación</t>
        </is>
      </c>
    </row>
    <row r="17">
      <c r="A17" t="inlineStr">
        <is>
          <t>Azar</t>
        </is>
      </c>
      <c r="B17">
        <f>COUNTIF(Errores!$C$4:$C$39,A17)</f>
        <v/>
      </c>
      <c r="C17" s="5">
        <f>IF($B$18=0,0,B17/$B$18)</f>
        <v/>
      </c>
      <c r="D17" t="inlineStr">
        <is>
          <t>Repasar el tema; no cuenta como dominio</t>
        </is>
      </c>
    </row>
    <row r="18">
      <c r="A18" s="9" t="inlineStr">
        <is>
          <t>Total</t>
        </is>
      </c>
      <c r="B18">
        <f>SUM(B12:B17)</f>
        <v/>
      </c>
    </row>
    <row r="20">
      <c r="A20" t="inlineStr">
        <is>
          <t>Errores con seguridad alta (conceptos errados que hay que desmontar primero)</t>
        </is>
      </c>
      <c r="D20">
        <f>COUNTIF(Errores!$D$4:$D$39,"Alta")</f>
        <v/>
      </c>
    </row>
    <row r="21">
      <c r="A21" t="inlineStr">
        <is>
          <t>Cambio de aciertos entre el primer y el último simulacro (puntos %)</t>
        </is>
      </c>
      <c r="D21" s="7">
        <f>(Registro!E7-Registro!E4)*100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40" customWidth="1" min="3" max="3"/>
    <col width="16" customWidth="1" min="4" max="4"/>
    <col width="14" customWidth="1" min="5" max="5"/>
    <col width="14" customWidth="1" min="6" max="6"/>
    <col width="28" customWidth="1" min="7" max="7"/>
  </cols>
  <sheetData>
    <row r="1">
      <c r="A1" s="1" t="inlineStr">
        <is>
          <t>PLAN DE MEJORA DE 4 SEMANAS (una prioridad por semana; ejemplo editable)</t>
        </is>
      </c>
    </row>
    <row r="3" ht="36" customHeight="1">
      <c r="A3" s="2" t="inlineStr">
        <is>
          <t>Semana</t>
        </is>
      </c>
      <c r="B3" s="2" t="inlineStr">
        <is>
          <t>Prioridad (viene de Resumen)</t>
        </is>
      </c>
      <c r="C3" s="2" t="inlineStr">
        <is>
          <t>Tarea concreta</t>
        </is>
      </c>
      <c r="D3" s="2" t="inlineStr">
        <is>
          <t>Horas planeadas</t>
        </is>
      </c>
      <c r="E3" s="2" t="inlineStr">
        <is>
          <t>Horas hechas</t>
        </is>
      </c>
      <c r="F3" s="2" t="inlineStr">
        <is>
          <t>Hecho (Sí/No)</t>
        </is>
      </c>
      <c r="G3" s="2" t="inlineStr">
        <is>
          <t>Evidencia (qué produje)</t>
        </is>
      </c>
    </row>
    <row r="4">
      <c r="A4" s="8" t="n">
        <v>1</v>
      </c>
      <c r="B4" s="8" t="inlineStr">
        <is>
          <t>Normativa: confusión entre normas</t>
        </is>
      </c>
      <c r="C4" s="8" t="inlineStr">
        <is>
          <t>Tabla comparativa y 10 preguntas propias</t>
        </is>
      </c>
      <c r="D4" s="8" t="n">
        <v>4</v>
      </c>
      <c r="E4" s="8" t="n">
        <v>3.5</v>
      </c>
      <c r="F4" s="8" t="inlineStr">
        <is>
          <t>Sí</t>
        </is>
      </c>
      <c r="G4" s="8" t="inlineStr">
        <is>
          <t>Tabla de 2 páginas</t>
        </is>
      </c>
    </row>
    <row r="5">
      <c r="A5" s="8" t="n">
        <v>2</v>
      </c>
      <c r="B5" s="8" t="inlineStr">
        <is>
          <t>Razonamiento cuantitativo: descuidos y tiempo</t>
        </is>
      </c>
      <c r="C5" s="8" t="inlineStr">
        <is>
          <t>20 problemas con cronómetro y verificación</t>
        </is>
      </c>
      <c r="D5" s="8" t="n">
        <v>5</v>
      </c>
      <c r="E5" s="8" t="n">
        <v>5</v>
      </c>
      <c r="F5" s="8" t="inlineStr">
        <is>
          <t>Sí</t>
        </is>
      </c>
      <c r="G5" s="8" t="inlineStr">
        <is>
          <t>Registro de tiempos</t>
        </is>
      </c>
    </row>
    <row r="6">
      <c r="A6" s="8" t="n">
        <v>3</v>
      </c>
      <c r="B6" s="8" t="inlineStr">
        <is>
          <t>Juicio situacional: casos con respuesta justificada</t>
        </is>
      </c>
      <c r="C6" s="8" t="inlineStr">
        <is>
          <t>6 casos analizados por escrito</t>
        </is>
      </c>
      <c r="D6" s="8" t="n">
        <v>4</v>
      </c>
      <c r="E6" s="8" t="n">
        <v>2</v>
      </c>
      <c r="F6" s="8" t="inlineStr">
        <is>
          <t>No</t>
        </is>
      </c>
      <c r="G6" s="8" t="inlineStr">
        <is>
          <t>Casos en cuaderno</t>
        </is>
      </c>
    </row>
    <row r="7">
      <c r="A7" s="8" t="n">
        <v>4</v>
      </c>
      <c r="B7" s="8" t="inlineStr">
        <is>
          <t>Nuevo simulacro y comparación</t>
        </is>
      </c>
      <c r="C7" s="8" t="inlineStr">
        <is>
          <t>Simulacro 5 y actualizar el registro</t>
        </is>
      </c>
      <c r="D7" s="8" t="n">
        <v>3</v>
      </c>
      <c r="E7" s="8" t="n">
        <v>0</v>
      </c>
      <c r="F7" s="8" t="inlineStr">
        <is>
          <t>No</t>
        </is>
      </c>
      <c r="G7" s="8" t="n"/>
    </row>
    <row r="9">
      <c r="A9" t="inlineStr">
        <is>
          <t>Horas planeadas</t>
        </is>
      </c>
      <c r="D9">
        <f>SUM(D4:D7)</f>
        <v/>
      </c>
    </row>
    <row r="10">
      <c r="A10" t="inlineStr">
        <is>
          <t>Horas hechas</t>
        </is>
      </c>
      <c r="D10">
        <f>SUM(E4:E7)</f>
        <v/>
      </c>
    </row>
    <row r="11">
      <c r="A11" t="inlineStr">
        <is>
          <t>Cumplimiento de horas</t>
        </is>
      </c>
      <c r="D11" s="10">
        <f>IF(D9=0,0,D10/D9)</f>
        <v/>
      </c>
    </row>
    <row r="12">
      <c r="A12" t="inlineStr">
        <is>
          <t>Tareas hechas</t>
        </is>
      </c>
      <c r="D12">
        <f>COUNTIF(F4:F7,"Sí")&amp;" de "&amp;COUNTA(F4:F7)</f>
        <v/>
      </c>
    </row>
  </sheetData>
  <dataValidations count="1">
    <dataValidation sqref="F4:F7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2026-10-10T13:02:55Z</dcterms:created>
  <dcterms:modified xmlns:dcterms="http://purl.org/dc/terms/" xmlns:xsi="http://www.w3.org/2001/XMLSchema-instance" xsi:type="dcterms:W3CDTF">2026-10-10T13:02:55Z</dcterms:modified>
</cp:coreProperties>
</file>