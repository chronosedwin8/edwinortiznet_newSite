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ro" sheetId="1" state="visible" r:id="rId1"/>
    <sheet xmlns:r="http://schemas.openxmlformats.org/officeDocument/2006/relationships" name="Temas" sheetId="2" state="visible" r:id="rId2"/>
    <sheet xmlns:r="http://schemas.openxmlformats.org/officeDocument/2006/relationships" name="Semanas" sheetId="3" state="visible" r:id="rId3"/>
    <sheet xmlns:r="http://schemas.openxmlformats.org/officeDocument/2006/relationships" name="Simulacros" sheetId="4" state="visible" r:id="rId4"/>
    <sheet xmlns:r="http://schemas.openxmlformats.org/officeDocument/2006/relationships" name="Documentos"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3">
    <font>
      <name val="Calibri"/>
      <family val="2"/>
      <color theme="1"/>
      <sz val="11"/>
      <scheme val="minor"/>
    </font>
    <font>
      <b val="1"/>
      <sz val="12"/>
    </font>
    <font>
      <b val="1"/>
      <color rgb="00FFFFFF"/>
    </font>
  </fonts>
  <fills count="4">
    <fill>
      <patternFill/>
    </fill>
    <fill>
      <patternFill patternType="gray125"/>
    </fill>
    <fill>
      <patternFill patternType="solid">
        <fgColor rgb="001B4B6B"/>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4" fontId="0" fillId="0" borderId="0" pivotButton="0" quotePrefix="0" xfId="0"/>
    <xf numFmtId="0" fontId="0" fillId="0" borderId="0" applyAlignment="1" pivotButton="0" quotePrefix="0" xfId="0">
      <alignment vertical="top" wrapText="1"/>
    </xf>
    <xf numFmtId="1" fontId="0" fillId="0" borderId="0" pivotButton="0" quotePrefix="0" xfId="0"/>
    <xf numFmtId="165" fontId="0" fillId="0" borderId="0" pivotButton="0" quotePrefix="0" xfId="0"/>
    <xf numFmtId="0" fontId="0" fillId="3" borderId="0" pivotButton="0" quotePrefix="0" xfId="0"/>
    <xf numFmtId="9" fontId="0" fillId="0" borderId="0" pivotButton="0" quotePrefix="0" xfId="0"/>
  </cellXfs>
  <cellStyles count="1">
    <cellStyle name="Normal" xfId="0" builtinId="0" hidden="0"/>
  </cellStyles>
  <dxfs count="3">
    <dxf>
      <fill>
        <patternFill patternType="solid">
          <fgColor rgb="00DCFCE7"/>
          <bgColor rgb="00DCFCE7"/>
        </patternFill>
      </fill>
    </dxf>
    <dxf>
      <fill>
        <patternFill patternType="solid">
          <fgColor rgb="00FEF3C7"/>
          <bgColor rgb="00FEF3C7"/>
        </patternFill>
      </fill>
    </dxf>
    <dxf>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 de acierto por simulacro</a:t>
            </a:r>
          </a:p>
        </rich>
      </tx>
    </title>
    <plotArea>
      <lineChart>
        <grouping val="standard"/>
        <ser>
          <idx val="0"/>
          <order val="0"/>
          <tx>
            <strRef>
              <f>'Simulacros'!D3</f>
            </strRef>
          </tx>
          <spPr>
            <a:ln xmlns:a="http://schemas.openxmlformats.org/drawingml/2006/main">
              <a:prstDash val="solid"/>
            </a:ln>
          </spPr>
          <marker>
            <symbol val="none"/>
            <spPr>
              <a:ln xmlns:a="http://schemas.openxmlformats.org/drawingml/2006/main">
                <a:prstDash val="solid"/>
              </a:ln>
            </spPr>
          </marker>
          <cat>
            <numRef>
              <f>'Simulacros'!$A$4:$A$8</f>
            </numRef>
          </cat>
          <val>
            <numRef>
              <f>'Simulacros'!$D$4:$D$8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Horas planeadas y hechas por semana</a:t>
            </a:r>
          </a:p>
        </rich>
      </tx>
    </title>
    <plotArea>
      <barChart>
        <barDir val="col"/>
        <grouping val="clustered"/>
        <ser>
          <idx val="0"/>
          <order val="0"/>
          <tx>
            <strRef>
              <f>'Semanas'!B3</f>
            </strRef>
          </tx>
          <spPr>
            <a:ln xmlns:a="http://schemas.openxmlformats.org/drawingml/2006/main">
              <a:prstDash val="solid"/>
            </a:ln>
          </spPr>
          <cat>
            <numRef>
              <f>'Semanas'!$A$4:$A$11</f>
            </numRef>
          </cat>
          <val>
            <numRef>
              <f>'Semanas'!$B$4:$B$11</f>
            </numRef>
          </val>
        </ser>
        <ser>
          <idx val="1"/>
          <order val="1"/>
          <tx>
            <strRef>
              <f>'Semanas'!C3</f>
            </strRef>
          </tx>
          <spPr>
            <a:ln xmlns:a="http://schemas.openxmlformats.org/drawingml/2006/main">
              <a:prstDash val="solid"/>
            </a:ln>
          </spPr>
          <cat>
            <numRef>
              <f>'Semanas'!$A$4:$A$11</f>
            </numRef>
          </cat>
          <val>
            <numRef>
              <f>'Semanas'!$C$4:$C$11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19</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4" customWidth="1" min="1" max="1"/>
    <col width="14" customWidth="1" min="2" max="2"/>
    <col width="12" customWidth="1" min="3" max="3"/>
    <col width="64" customWidth="1" min="4" max="4"/>
  </cols>
  <sheetData>
    <row r="1">
      <c r="A1" s="1" t="inlineStr">
        <is>
          <t>TABLERO DE INDICADORES DE PROGRESO (datos ficticios; indicadores de proceso, no de resultado)</t>
        </is>
      </c>
    </row>
    <row r="2">
      <c r="A2" t="inlineStr">
        <is>
          <t>No mide ni predice tus probabilidades en el Concurso: mide si estás haciendo lo que planeaste. Los umbrales de color son criterios propios y editables.</t>
        </is>
      </c>
    </row>
    <row r="4">
      <c r="A4" s="2" t="inlineStr">
        <is>
          <t>Indicador</t>
        </is>
      </c>
      <c r="B4" s="2" t="inlineStr">
        <is>
          <t>Valor</t>
        </is>
      </c>
      <c r="C4" s="2" t="inlineStr">
        <is>
          <t>Semáforo</t>
        </is>
      </c>
      <c r="D4" s="2" t="inlineStr">
        <is>
          <t>Qué significa</t>
        </is>
      </c>
    </row>
    <row r="5">
      <c r="A5" t="inlineStr">
        <is>
          <t>Temas dominados</t>
        </is>
      </c>
      <c r="B5" s="3">
        <f>COUNTIF(Temas!C4:C43,"Dominado")/COUNTA(Temas!A4:A43)</f>
        <v/>
      </c>
      <c r="C5">
        <f>IF(B5&gt;=0.5,"Verde",IF(B5&gt;=0.25,"Amarillo","Rojo"))</f>
        <v/>
      </c>
      <c r="D5" s="4" t="inlineStr">
        <is>
          <t>Parte de los temas que ya explicas sin apuntes</t>
        </is>
      </c>
    </row>
    <row r="6">
      <c r="A6" t="inlineStr">
        <is>
          <t>Cobertura ponderada (dominado = 1; en curso = 0,5)</t>
        </is>
      </c>
      <c r="B6" s="3">
        <f>(COUNTIF(Temas!C4:C43,"Dominado")+0.5*COUNTIF(Temas!C4:C43,"En curso"))/COUNTA(Temas!A4:A43)</f>
        <v/>
      </c>
      <c r="C6">
        <f>IF(B6&gt;=0.7,"Verde",IF(B6&gt;=0.4,"Amarillo","Rojo"))</f>
        <v/>
      </c>
      <c r="D6" s="4" t="inlineStr">
        <is>
          <t>Avance del temario, contando lo que está en curso</t>
        </is>
      </c>
    </row>
    <row r="7">
      <c r="A7" t="inlineStr">
        <is>
          <t>Temas sin iniciar</t>
        </is>
      </c>
      <c r="B7" s="5">
        <f>COUNTIF(Temas!C4:C43,"No iniciado")</f>
        <v/>
      </c>
      <c r="C7">
        <f>IF(B7=0,"Verde",IF(B7&lt;=5,"Amarillo","Rojo"))</f>
        <v/>
      </c>
      <c r="D7" s="4" t="inlineStr">
        <is>
          <t>Frentes que aún no empiezas</t>
        </is>
      </c>
    </row>
    <row r="8">
      <c r="A8" t="inlineStr">
        <is>
          <t>Cumplimiento de horas</t>
        </is>
      </c>
      <c r="B8" s="3">
        <f>SUM(Semanas!C4:C19)/SUM(Semanas!B4:B19)</f>
        <v/>
      </c>
      <c r="C8">
        <f>IF(B8&gt;=0.8,"Verde",IF(B8&gt;=0.6,"Amarillo","Rojo"))</f>
        <v/>
      </c>
      <c r="D8" s="4" t="inlineStr">
        <is>
          <t>Horas hechas frente a las planeadas</t>
        </is>
      </c>
    </row>
    <row r="9">
      <c r="A9" t="inlineStr">
        <is>
          <t>Semanas cumplidas (≥ 80 %)</t>
        </is>
      </c>
      <c r="B9" s="5">
        <f>COUNTIF(Semanas!E4:E19,"Sí")</f>
        <v/>
      </c>
      <c r="C9">
        <f>IF(B9&gt;=COUNT(Semanas!B4:B19)*0.75,"Verde",IF(B9&gt;=COUNT(Semanas!B4:B19)*0.5,"Amarillo","Rojo"))</f>
        <v/>
      </c>
      <c r="D9" s="4" t="inlineStr">
        <is>
          <t>Constancia: cuántas semanas cumpliste el plan</t>
        </is>
      </c>
    </row>
    <row r="10">
      <c r="A10" t="inlineStr">
        <is>
          <t>Último simulacro (% de acierto)</t>
        </is>
      </c>
      <c r="B10" s="3">
        <f>INDEX(Simulacros!D4:D15,COUNT(Simulacros!B4:B15))</f>
        <v/>
      </c>
      <c r="C10">
        <f>IF(B10&gt;=C16,"Verde","Amarillo")</f>
        <v/>
      </c>
      <c r="D10" s="4" t="inlineStr">
        <is>
          <t>Práctica no oficial; compara contra tu propio promedio anterior</t>
        </is>
      </c>
    </row>
    <row r="11">
      <c r="A11" t="inlineStr">
        <is>
          <t>Promedio de los tres últimos simulacros</t>
        </is>
      </c>
      <c r="B11" s="3">
        <f>AVERAGE(INDEX(Simulacros!D4:D15,COUNT(Simulacros!B4:B15)-2):INDEX(Simulacros!D4:D15,COUNT(Simulacros!B4:B15)))</f>
        <v/>
      </c>
      <c r="C11">
        <f>IF(B11&gt;=B16,"Verde","Amarillo")</f>
        <v/>
      </c>
      <c r="D11" s="4" t="inlineStr">
        <is>
          <t>Suaviza la variación de un solo simulacro</t>
        </is>
      </c>
    </row>
    <row r="12">
      <c r="A12" t="inlineStr">
        <is>
          <t>Cambio entre el primero y el último (puntos %)</t>
        </is>
      </c>
      <c r="B12" s="6">
        <f>(B10-Simulacros!D4)*100</f>
        <v/>
      </c>
      <c r="C12">
        <f>IF(B12&gt;0,"Verde",IF(B12=0,"Amarillo","Rojo"))</f>
        <v/>
      </c>
      <c r="D12" s="4" t="inlineStr">
        <is>
          <t>Dirección de la tendencia, no un pronóstico</t>
        </is>
      </c>
    </row>
    <row r="13">
      <c r="A13" t="inlineStr">
        <is>
          <t>Documentos listos</t>
        </is>
      </c>
      <c r="B13" s="3">
        <f>COUNTIF(Documentos!B4:B23,"Sí")/COUNTA(Documentos!A4:A23)</f>
        <v/>
      </c>
      <c r="C13">
        <f>IF(B13=1,"Verde",IF(B13&gt;=0.75,"Amarillo","Rojo"))</f>
        <v/>
      </c>
      <c r="D13" s="4" t="inlineStr">
        <is>
          <t>Lista de soportes de la inscripción</t>
        </is>
      </c>
    </row>
    <row r="14">
      <c r="A14" t="inlineStr">
        <is>
          <t>Documentos aún sin gestionar</t>
        </is>
      </c>
      <c r="B14" s="5">
        <f>COUNTIF(Documentos!B4:B23,"No")</f>
        <v/>
      </c>
      <c r="C14">
        <f>IF(B14=0,"Verde","Rojo")</f>
        <v/>
      </c>
      <c r="D14" s="4" t="inlineStr">
        <is>
          <t>Lo que no has empezado</t>
        </is>
      </c>
    </row>
    <row r="16">
      <c r="A16" t="inlineStr">
        <is>
          <t>Promedio de simulacros anteriores (referencia)</t>
        </is>
      </c>
      <c r="B16" s="3">
        <f>AVERAGE(Simulacros!D4:INDEX(Simulacros!D4:D15,COUNT(Simulacros!B4:B15)-1))</f>
        <v/>
      </c>
      <c r="C16" s="3">
        <f>B16</f>
        <v/>
      </c>
    </row>
    <row r="18" ht="48" customHeight="1">
      <c r="A18" s="4" t="inlineStr">
        <is>
          <t>Lectura: un indicador rojo no es un fracaso, es una señal de dónde mirar esta semana. Evita convertir un indicador en la meta única (cuando una medida se vuelve la meta, deja de ser buena medida).</t>
        </is>
      </c>
    </row>
  </sheetData>
  <conditionalFormatting sqref="C5:C14">
    <cfRule type="cellIs" priority="1" operator="equal" dxfId="0">
      <formula>"Verde"</formula>
    </cfRule>
    <cfRule type="cellIs" priority="2" operator="equal" dxfId="1">
      <formula>"Amarillo"</formula>
    </cfRule>
    <cfRule type="cellIs" priority="3" operator="equal" dxfId="2">
      <formula>"Rojo"</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8" customWidth="1" min="1" max="1"/>
    <col width="28" customWidth="1" min="2" max="2"/>
    <col width="16" customWidth="1" min="3" max="3"/>
  </cols>
  <sheetData>
    <row r="1">
      <c r="A1" s="1" t="inlineStr">
        <is>
          <t>COBERTURA DE TEMAS (lista de ejemplo: reemplázala con los componentes de tu convocatoria definitiva)</t>
        </is>
      </c>
    </row>
    <row r="3">
      <c r="A3" s="2" t="inlineStr">
        <is>
          <t>Tema</t>
        </is>
      </c>
      <c r="B3" s="2" t="inlineStr">
        <is>
          <t>Componente</t>
        </is>
      </c>
      <c r="C3" s="2" t="inlineStr">
        <is>
          <t>Estado</t>
        </is>
      </c>
    </row>
    <row r="4">
      <c r="A4" s="7" t="inlineStr">
        <is>
          <t>Constitución: derechos de la niñez y educación</t>
        </is>
      </c>
      <c r="B4" s="7" t="inlineStr">
        <is>
          <t>Normativa</t>
        </is>
      </c>
      <c r="C4" s="7" t="inlineStr">
        <is>
          <t>Dominado</t>
        </is>
      </c>
    </row>
    <row r="5">
      <c r="A5" s="7" t="inlineStr">
        <is>
          <t>Ley 115 de 1994 (Ley General de Educación)</t>
        </is>
      </c>
      <c r="B5" s="7" t="inlineStr">
        <is>
          <t>Normativa</t>
        </is>
      </c>
      <c r="C5" s="7" t="inlineStr">
        <is>
          <t>Dominado</t>
        </is>
      </c>
    </row>
    <row r="6">
      <c r="A6" s="7" t="inlineStr">
        <is>
          <t>Decreto 1075 de 2015 (único del sector)</t>
        </is>
      </c>
      <c r="B6" s="7" t="inlineStr">
        <is>
          <t>Normativa</t>
        </is>
      </c>
      <c r="C6" s="7" t="inlineStr">
        <is>
          <t>En curso</t>
        </is>
      </c>
    </row>
    <row r="7">
      <c r="A7" s="7" t="inlineStr">
        <is>
          <t>Estatuto docente y evaluación</t>
        </is>
      </c>
      <c r="B7" s="7" t="inlineStr">
        <is>
          <t>Normativa</t>
        </is>
      </c>
      <c r="C7" s="7" t="inlineStr">
        <is>
          <t>En curso</t>
        </is>
      </c>
    </row>
    <row r="8">
      <c r="A8" s="7" t="inlineStr">
        <is>
          <t>Convivencia escolar</t>
        </is>
      </c>
      <c r="B8" s="7" t="inlineStr">
        <is>
          <t>Normativa</t>
        </is>
      </c>
      <c r="C8" s="7" t="inlineStr">
        <is>
          <t>No iniciado</t>
        </is>
      </c>
    </row>
    <row r="9">
      <c r="A9" s="7" t="inlineStr">
        <is>
          <t>Educación inclusiva y PIAR</t>
        </is>
      </c>
      <c r="B9" s="7" t="inlineStr">
        <is>
          <t>Normativa</t>
        </is>
      </c>
      <c r="C9" s="7" t="inlineStr">
        <is>
          <t>En curso</t>
        </is>
      </c>
    </row>
    <row r="10">
      <c r="A10" s="7" t="inlineStr">
        <is>
          <t>Evaluación formativa</t>
        </is>
      </c>
      <c r="B10" s="7" t="inlineStr">
        <is>
          <t>Pedagógico</t>
        </is>
      </c>
      <c r="C10" s="7" t="inlineStr">
        <is>
          <t>Dominado</t>
        </is>
      </c>
    </row>
    <row r="11">
      <c r="A11" s="7" t="inlineStr">
        <is>
          <t>Planeación y currículo</t>
        </is>
      </c>
      <c r="B11" s="7" t="inlineStr">
        <is>
          <t>Pedagógico</t>
        </is>
      </c>
      <c r="C11" s="7" t="inlineStr">
        <is>
          <t>En curso</t>
        </is>
      </c>
    </row>
    <row r="12">
      <c r="A12" s="7" t="inlineStr">
        <is>
          <t>Didáctica y aprendizaje</t>
        </is>
      </c>
      <c r="B12" s="7" t="inlineStr">
        <is>
          <t>Pedagógico</t>
        </is>
      </c>
      <c r="C12" s="7" t="inlineStr">
        <is>
          <t>Dominado</t>
        </is>
      </c>
    </row>
    <row r="13">
      <c r="A13" s="7" t="inlineStr">
        <is>
          <t>Gestión de aula</t>
        </is>
      </c>
      <c r="B13" s="7" t="inlineStr">
        <is>
          <t>Pedagógico</t>
        </is>
      </c>
      <c r="C13" s="7" t="inlineStr">
        <is>
          <t>No iniciado</t>
        </is>
      </c>
    </row>
    <row r="14">
      <c r="A14" s="7" t="inlineStr">
        <is>
          <t>Proporcionalidad y porcentajes</t>
        </is>
      </c>
      <c r="B14" s="7" t="inlineStr">
        <is>
          <t>Razonamiento cuantitativo</t>
        </is>
      </c>
      <c r="C14" s="7" t="inlineStr">
        <is>
          <t>Dominado</t>
        </is>
      </c>
    </row>
    <row r="15">
      <c r="A15" s="7" t="inlineStr">
        <is>
          <t>Estadística básica</t>
        </is>
      </c>
      <c r="B15" s="7" t="inlineStr">
        <is>
          <t>Razonamiento cuantitativo</t>
        </is>
      </c>
      <c r="C15" s="7" t="inlineStr">
        <is>
          <t>En curso</t>
        </is>
      </c>
    </row>
    <row r="16">
      <c r="A16" s="7" t="inlineStr">
        <is>
          <t>Probabilidad</t>
        </is>
      </c>
      <c r="B16" s="7" t="inlineStr">
        <is>
          <t>Razonamiento cuantitativo</t>
        </is>
      </c>
      <c r="C16" s="7" t="inlineStr">
        <is>
          <t>No iniciado</t>
        </is>
      </c>
    </row>
    <row r="17">
      <c r="A17" s="7" t="inlineStr">
        <is>
          <t>Álgebra y funciones</t>
        </is>
      </c>
      <c r="B17" s="7" t="inlineStr">
        <is>
          <t>Razonamiento cuantitativo</t>
        </is>
      </c>
      <c r="C17" s="7" t="inlineStr">
        <is>
          <t>Dominado</t>
        </is>
      </c>
    </row>
    <row r="18">
      <c r="A18" s="7" t="inlineStr">
        <is>
          <t>Inferencias y argumentos</t>
        </is>
      </c>
      <c r="B18" s="7" t="inlineStr">
        <is>
          <t>Lectura crítica</t>
        </is>
      </c>
      <c r="C18" s="7" t="inlineStr">
        <is>
          <t>Dominado</t>
        </is>
      </c>
    </row>
    <row r="19">
      <c r="A19" s="7" t="inlineStr">
        <is>
          <t>Textos discontinuos</t>
        </is>
      </c>
      <c r="B19" s="7" t="inlineStr">
        <is>
          <t>Lectura crítica</t>
        </is>
      </c>
      <c r="C19" s="7" t="inlineStr">
        <is>
          <t>No iniciado</t>
        </is>
      </c>
    </row>
    <row r="20">
      <c r="A20" s="7" t="inlineStr">
        <is>
          <t>Análisis de casos</t>
        </is>
      </c>
      <c r="B20" s="7" t="inlineStr">
        <is>
          <t>Juicio situacional</t>
        </is>
      </c>
      <c r="C20" s="7" t="inlineStr">
        <is>
          <t>En curso</t>
        </is>
      </c>
    </row>
    <row r="21">
      <c r="A21" s="7" t="inlineStr">
        <is>
          <t>Dilemas éticos del aula</t>
        </is>
      </c>
      <c r="B21" s="7" t="inlineStr">
        <is>
          <t>Juicio situacional</t>
        </is>
      </c>
      <c r="C21" s="7" t="inlineStr">
        <is>
          <t>No iniciado</t>
        </is>
      </c>
    </row>
    <row r="22">
      <c r="A22" s="7" t="n"/>
      <c r="B22" s="7" t="n"/>
      <c r="C22" s="7" t="n"/>
    </row>
    <row r="23">
      <c r="A23" s="7" t="n"/>
      <c r="B23" s="7" t="n"/>
      <c r="C23" s="7" t="n"/>
    </row>
    <row r="24">
      <c r="A24" s="7" t="n"/>
      <c r="B24" s="7" t="n"/>
      <c r="C24" s="7" t="n"/>
    </row>
    <row r="25">
      <c r="A25" s="7" t="n"/>
      <c r="B25" s="7" t="n"/>
      <c r="C25" s="7" t="n"/>
    </row>
    <row r="26">
      <c r="A26" s="7" t="n"/>
      <c r="B26" s="7" t="n"/>
      <c r="C26" s="7" t="n"/>
    </row>
    <row r="27">
      <c r="A27" s="7" t="n"/>
      <c r="B27" s="7" t="n"/>
      <c r="C27" s="7" t="n"/>
    </row>
    <row r="28">
      <c r="A28" s="7" t="n"/>
      <c r="B28" s="7" t="n"/>
      <c r="C28" s="7" t="n"/>
    </row>
    <row r="29">
      <c r="A29" s="7" t="n"/>
      <c r="B29" s="7" t="n"/>
      <c r="C29" s="7" t="n"/>
    </row>
    <row r="30">
      <c r="A30" s="7" t="n"/>
      <c r="B30" s="7" t="n"/>
      <c r="C30" s="7" t="n"/>
    </row>
    <row r="31">
      <c r="A31" s="7" t="n"/>
      <c r="B31" s="7" t="n"/>
      <c r="C31" s="7" t="n"/>
    </row>
    <row r="32">
      <c r="A32" s="7" t="n"/>
      <c r="B32" s="7" t="n"/>
      <c r="C32" s="7" t="n"/>
    </row>
    <row r="33">
      <c r="A33" s="7" t="n"/>
      <c r="B33" s="7" t="n"/>
      <c r="C33" s="7" t="n"/>
    </row>
    <row r="34">
      <c r="A34" s="7" t="n"/>
      <c r="B34" s="7" t="n"/>
      <c r="C34" s="7" t="n"/>
    </row>
    <row r="35">
      <c r="A35" s="7" t="n"/>
      <c r="B35" s="7" t="n"/>
      <c r="C35" s="7" t="n"/>
    </row>
    <row r="36">
      <c r="A36" s="7" t="n"/>
      <c r="B36" s="7" t="n"/>
      <c r="C36" s="7" t="n"/>
    </row>
    <row r="37">
      <c r="A37" s="7" t="n"/>
      <c r="B37" s="7" t="n"/>
      <c r="C37" s="7" t="n"/>
    </row>
    <row r="38">
      <c r="A38" s="7" t="n"/>
      <c r="B38" s="7" t="n"/>
      <c r="C38" s="7" t="n"/>
    </row>
    <row r="39">
      <c r="A39" s="7" t="n"/>
      <c r="B39" s="7" t="n"/>
      <c r="C39" s="7" t="n"/>
    </row>
    <row r="40">
      <c r="A40" s="7" t="n"/>
      <c r="B40" s="7" t="n"/>
      <c r="C40" s="7" t="n"/>
    </row>
    <row r="41">
      <c r="A41" s="7" t="n"/>
      <c r="B41" s="7" t="n"/>
      <c r="C41" s="7" t="n"/>
    </row>
    <row r="42">
      <c r="A42" s="7" t="n"/>
      <c r="B42" s="7" t="n"/>
      <c r="C42" s="7" t="n"/>
    </row>
    <row r="43">
      <c r="A43" s="7" t="n"/>
      <c r="B43" s="7" t="n"/>
      <c r="C43" s="7" t="n"/>
    </row>
  </sheetData>
  <dataValidations count="1">
    <dataValidation sqref="C4:C43" showDropDown="0" showInputMessage="0" showErrorMessage="0" allowBlank="0" type="list">
      <formula1>"No iniciado,En curso,Dominado"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6" customWidth="1" min="5" max="5"/>
  </cols>
  <sheetData>
    <row r="1">
      <c r="A1" s="1" t="inlineStr">
        <is>
          <t>CONSTANCIA: HORAS PLANEADAS Y HECHAS POR SEMANA</t>
        </is>
      </c>
    </row>
    <row r="3">
      <c r="A3" s="2" t="inlineStr">
        <is>
          <t>Semana</t>
        </is>
      </c>
      <c r="B3" s="2" t="inlineStr">
        <is>
          <t>Horas planeadas</t>
        </is>
      </c>
      <c r="C3" s="2" t="inlineStr">
        <is>
          <t>Horas hechas</t>
        </is>
      </c>
      <c r="D3" s="2" t="inlineStr">
        <is>
          <t>Cumplimiento</t>
        </is>
      </c>
      <c r="E3" s="2" t="inlineStr">
        <is>
          <t>¿Semana cumplida (≥ 80 %)?</t>
        </is>
      </c>
    </row>
    <row r="4">
      <c r="A4" t="n">
        <v>1</v>
      </c>
      <c r="B4" s="7" t="n">
        <v>6</v>
      </c>
      <c r="C4" s="7" t="n">
        <v>5</v>
      </c>
      <c r="D4" s="8">
        <f>IF(B4="","",C4/B4)</f>
        <v/>
      </c>
      <c r="E4">
        <f>IF(B4="","",IF(D4&gt;=0.8,"Sí","No"))</f>
        <v/>
      </c>
    </row>
    <row r="5">
      <c r="A5" t="n">
        <v>2</v>
      </c>
      <c r="B5" s="7" t="n">
        <v>6</v>
      </c>
      <c r="C5" s="7" t="n">
        <v>6</v>
      </c>
      <c r="D5" s="8">
        <f>IF(B5="","",C5/B5)</f>
        <v/>
      </c>
      <c r="E5">
        <f>IF(B5="","",IF(D5&gt;=0.8,"Sí","No"))</f>
        <v/>
      </c>
    </row>
    <row r="6">
      <c r="A6" t="n">
        <v>3</v>
      </c>
      <c r="B6" s="7" t="n">
        <v>6</v>
      </c>
      <c r="C6" s="7" t="n">
        <v>3</v>
      </c>
      <c r="D6" s="8">
        <f>IF(B6="","",C6/B6)</f>
        <v/>
      </c>
      <c r="E6">
        <f>IF(B6="","",IF(D6&gt;=0.8,"Sí","No"))</f>
        <v/>
      </c>
    </row>
    <row r="7">
      <c r="A7" t="n">
        <v>4</v>
      </c>
      <c r="B7" s="7" t="n">
        <v>6</v>
      </c>
      <c r="C7" s="7" t="n">
        <v>6</v>
      </c>
      <c r="D7" s="8">
        <f>IF(B7="","",C7/B7)</f>
        <v/>
      </c>
      <c r="E7">
        <f>IF(B7="","",IF(D7&gt;=0.8,"Sí","No"))</f>
        <v/>
      </c>
    </row>
    <row r="8">
      <c r="A8" t="n">
        <v>5</v>
      </c>
      <c r="B8" s="7" t="n">
        <v>8</v>
      </c>
      <c r="C8" s="7" t="n">
        <v>8</v>
      </c>
      <c r="D8" s="8">
        <f>IF(B8="","",C8/B8)</f>
        <v/>
      </c>
      <c r="E8">
        <f>IF(B8="","",IF(D8&gt;=0.8,"Sí","No"))</f>
        <v/>
      </c>
    </row>
    <row r="9">
      <c r="A9" t="n">
        <v>6</v>
      </c>
      <c r="B9" s="7" t="n">
        <v>8</v>
      </c>
      <c r="C9" s="7" t="n">
        <v>7</v>
      </c>
      <c r="D9" s="8">
        <f>IF(B9="","",C9/B9)</f>
        <v/>
      </c>
      <c r="E9">
        <f>IF(B9="","",IF(D9&gt;=0.8,"Sí","No"))</f>
        <v/>
      </c>
    </row>
    <row r="10">
      <c r="A10" t="n">
        <v>7</v>
      </c>
      <c r="B10" s="7" t="n">
        <v>8</v>
      </c>
      <c r="C10" s="7" t="n">
        <v>4</v>
      </c>
      <c r="D10" s="8">
        <f>IF(B10="","",C10/B10)</f>
        <v/>
      </c>
      <c r="E10">
        <f>IF(B10="","",IF(D10&gt;=0.8,"Sí","No"))</f>
        <v/>
      </c>
    </row>
    <row r="11">
      <c r="A11" t="n">
        <v>8</v>
      </c>
      <c r="B11" s="7" t="n">
        <v>8</v>
      </c>
      <c r="C11" s="7" t="n">
        <v>8</v>
      </c>
      <c r="D11" s="8">
        <f>IF(B11="","",C11/B11)</f>
        <v/>
      </c>
      <c r="E11">
        <f>IF(B11="","",IF(D11&gt;=0.8,"Sí","No"))</f>
        <v/>
      </c>
    </row>
    <row r="12">
      <c r="B12" s="7" t="n"/>
      <c r="C12" s="7" t="n"/>
      <c r="D12" s="8">
        <f>IF(B12="","",C12/B12)</f>
        <v/>
      </c>
      <c r="E12">
        <f>IF(B12="","",IF(D12&gt;=0.8,"Sí","No"))</f>
        <v/>
      </c>
    </row>
    <row r="13">
      <c r="B13" s="7" t="n"/>
      <c r="C13" s="7" t="n"/>
      <c r="D13" s="8">
        <f>IF(B13="","",C13/B13)</f>
        <v/>
      </c>
      <c r="E13">
        <f>IF(B13="","",IF(D13&gt;=0.8,"Sí","No"))</f>
        <v/>
      </c>
    </row>
    <row r="14">
      <c r="B14" s="7" t="n"/>
      <c r="C14" s="7" t="n"/>
      <c r="D14" s="8">
        <f>IF(B14="","",C14/B14)</f>
        <v/>
      </c>
      <c r="E14">
        <f>IF(B14="","",IF(D14&gt;=0.8,"Sí","No"))</f>
        <v/>
      </c>
    </row>
    <row r="15">
      <c r="B15" s="7" t="n"/>
      <c r="C15" s="7" t="n"/>
      <c r="D15" s="8">
        <f>IF(B15="","",C15/B15)</f>
        <v/>
      </c>
      <c r="E15">
        <f>IF(B15="","",IF(D15&gt;=0.8,"Sí","No"))</f>
        <v/>
      </c>
    </row>
    <row r="16">
      <c r="B16" s="7" t="n"/>
      <c r="C16" s="7" t="n"/>
      <c r="D16" s="8">
        <f>IF(B16="","",C16/B16)</f>
        <v/>
      </c>
      <c r="E16">
        <f>IF(B16="","",IF(D16&gt;=0.8,"Sí","No"))</f>
        <v/>
      </c>
    </row>
    <row r="17">
      <c r="B17" s="7" t="n"/>
      <c r="C17" s="7" t="n"/>
      <c r="D17" s="8">
        <f>IF(B17="","",C17/B17)</f>
        <v/>
      </c>
      <c r="E17">
        <f>IF(B17="","",IF(D17&gt;=0.8,"Sí","No"))</f>
        <v/>
      </c>
    </row>
    <row r="18">
      <c r="B18" s="7" t="n"/>
      <c r="C18" s="7" t="n"/>
      <c r="D18" s="8">
        <f>IF(B18="","",C18/B18)</f>
        <v/>
      </c>
      <c r="E18">
        <f>IF(B18="","",IF(D18&gt;=0.8,"Sí","No"))</f>
        <v/>
      </c>
    </row>
    <row r="19">
      <c r="B19" s="7" t="n"/>
      <c r="C19" s="7" t="n"/>
      <c r="D19" s="8">
        <f>IF(B19="","",C19/B19)</f>
        <v/>
      </c>
      <c r="E19">
        <f>IF(B19="","",IF(D19&gt;=0.8,"Sí","No"))</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SIMULACROS (práctica no oficial; no predicen el resultado de la prueba real)</t>
        </is>
      </c>
    </row>
    <row r="3">
      <c r="A3" s="2" t="inlineStr">
        <is>
          <t>Simulacro</t>
        </is>
      </c>
      <c r="B3" s="2" t="inlineStr">
        <is>
          <t>Preguntas</t>
        </is>
      </c>
      <c r="C3" s="2" t="inlineStr">
        <is>
          <t>Aciertos</t>
        </is>
      </c>
      <c r="D3" s="2" t="inlineStr">
        <is>
          <t>% de acierto</t>
        </is>
      </c>
    </row>
    <row r="4">
      <c r="A4" t="n">
        <v>1</v>
      </c>
      <c r="B4" s="7" t="n">
        <v>60</v>
      </c>
      <c r="C4" s="7" t="n">
        <v>29</v>
      </c>
      <c r="D4" s="3">
        <f>IF(B4="","",C4/B4)</f>
        <v/>
      </c>
    </row>
    <row r="5">
      <c r="A5" t="n">
        <v>2</v>
      </c>
      <c r="B5" s="7" t="n">
        <v>60</v>
      </c>
      <c r="C5" s="7" t="n">
        <v>31</v>
      </c>
      <c r="D5" s="3">
        <f>IF(B5="","",C5/B5)</f>
        <v/>
      </c>
    </row>
    <row r="6">
      <c r="A6" t="n">
        <v>3</v>
      </c>
      <c r="B6" s="7" t="n">
        <v>60</v>
      </c>
      <c r="C6" s="7" t="n">
        <v>31</v>
      </c>
      <c r="D6" s="3">
        <f>IF(B6="","",C6/B6)</f>
        <v/>
      </c>
    </row>
    <row r="7">
      <c r="A7" t="n">
        <v>4</v>
      </c>
      <c r="B7" s="7" t="n">
        <v>60</v>
      </c>
      <c r="C7" s="7" t="n">
        <v>35</v>
      </c>
      <c r="D7" s="3">
        <f>IF(B7="","",C7/B7)</f>
        <v/>
      </c>
    </row>
    <row r="8">
      <c r="A8" t="n">
        <v>5</v>
      </c>
      <c r="B8" s="7" t="n">
        <v>60</v>
      </c>
      <c r="C8" s="7" t="n">
        <v>38</v>
      </c>
      <c r="D8" s="3">
        <f>IF(B8="","",C8/B8)</f>
        <v/>
      </c>
    </row>
    <row r="9">
      <c r="B9" s="7" t="n"/>
      <c r="C9" s="7" t="n"/>
      <c r="D9" s="3">
        <f>IF(B9="","",C9/B9)</f>
        <v/>
      </c>
    </row>
    <row r="10">
      <c r="B10" s="7" t="n"/>
      <c r="C10" s="7" t="n"/>
      <c r="D10" s="3">
        <f>IF(B10="","",C10/B10)</f>
        <v/>
      </c>
    </row>
    <row r="11">
      <c r="B11" s="7" t="n"/>
      <c r="C11" s="7" t="n"/>
      <c r="D11" s="3">
        <f>IF(B11="","",C11/B11)</f>
        <v/>
      </c>
    </row>
    <row r="12">
      <c r="B12" s="7" t="n"/>
      <c r="C12" s="7" t="n"/>
      <c r="D12" s="3">
        <f>IF(B12="","",C12/B12)</f>
        <v/>
      </c>
    </row>
    <row r="13">
      <c r="B13" s="7" t="n"/>
      <c r="C13" s="7" t="n"/>
      <c r="D13" s="3">
        <f>IF(B13="","",C13/B13)</f>
        <v/>
      </c>
    </row>
    <row r="14">
      <c r="B14" s="7" t="n"/>
      <c r="C14" s="7" t="n"/>
      <c r="D14" s="3">
        <f>IF(B14="","",C14/B14)</f>
        <v/>
      </c>
    </row>
    <row r="15">
      <c r="B15" s="7" t="n"/>
      <c r="C15" s="7" t="n"/>
      <c r="D15" s="3">
        <f>IF(B15="","",C15/B15)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52" customWidth="1" min="1" max="1"/>
    <col width="14" customWidth="1" min="2" max="2"/>
  </cols>
  <sheetData>
    <row r="1">
      <c r="A1" s="1" t="inlineStr">
        <is>
          <t>DOCUMENTOS PARA LA INSCRIPCIÓN (lista de ejemplo; confirma los requeridos en la convocatoria)</t>
        </is>
      </c>
    </row>
    <row r="3">
      <c r="A3" s="2" t="inlineStr">
        <is>
          <t>Documento</t>
        </is>
      </c>
      <c r="B3" s="2" t="inlineStr">
        <is>
          <t>Estado</t>
        </is>
      </c>
    </row>
    <row r="4">
      <c r="A4" s="7" t="inlineStr">
        <is>
          <t>Documento de identidad (copia legible)</t>
        </is>
      </c>
      <c r="B4" s="7" t="inlineStr">
        <is>
          <t>Sí</t>
        </is>
      </c>
    </row>
    <row r="5">
      <c r="A5" s="7" t="inlineStr">
        <is>
          <t>Título de pregrado y acta de grado</t>
        </is>
      </c>
      <c r="B5" s="7" t="inlineStr">
        <is>
          <t>Sí</t>
        </is>
      </c>
    </row>
    <row r="6">
      <c r="A6" s="7" t="inlineStr">
        <is>
          <t>Certificados de experiencia con funciones</t>
        </is>
      </c>
      <c r="B6" s="7" t="inlineStr">
        <is>
          <t>En trámite</t>
        </is>
      </c>
    </row>
    <row r="7">
      <c r="A7" s="7" t="inlineStr">
        <is>
          <t>Certificados de formación adicional</t>
        </is>
      </c>
      <c r="B7" s="7" t="inlineStr">
        <is>
          <t>Sí</t>
        </is>
      </c>
    </row>
    <row r="8">
      <c r="A8" s="7" t="inlineStr">
        <is>
          <t>Registro en SIMO con datos verificados</t>
        </is>
      </c>
      <c r="B8" s="7" t="inlineStr">
        <is>
          <t>Sí</t>
        </is>
      </c>
    </row>
    <row r="9">
      <c r="A9" s="7" t="inlineStr">
        <is>
          <t>Soportes de requisitos del empleo elegido</t>
        </is>
      </c>
      <c r="B9" s="7" t="inlineStr">
        <is>
          <t>En trámite</t>
        </is>
      </c>
    </row>
    <row r="10">
      <c r="A10" s="7" t="inlineStr">
        <is>
          <t>Copia de respaldo en nube y disco</t>
        </is>
      </c>
      <c r="B10" s="7" t="inlineStr">
        <is>
          <t>No</t>
        </is>
      </c>
    </row>
    <row r="11">
      <c r="A11" s="7" t="inlineStr">
        <is>
          <t>Calendario de fechas importantes</t>
        </is>
      </c>
      <c r="B11" s="7" t="inlineStr">
        <is>
          <t>Sí</t>
        </is>
      </c>
    </row>
    <row r="12">
      <c r="A12" s="7" t="n"/>
      <c r="B12" s="7" t="n"/>
    </row>
    <row r="13">
      <c r="A13" s="7" t="n"/>
      <c r="B13" s="7" t="n"/>
    </row>
    <row r="14">
      <c r="A14" s="7" t="n"/>
      <c r="B14" s="7" t="n"/>
    </row>
    <row r="15">
      <c r="A15" s="7" t="n"/>
      <c r="B15" s="7" t="n"/>
    </row>
    <row r="16">
      <c r="A16" s="7" t="n"/>
      <c r="B16" s="7" t="n"/>
    </row>
    <row r="17">
      <c r="A17" s="7" t="n"/>
      <c r="B17" s="7" t="n"/>
    </row>
    <row r="18">
      <c r="A18" s="7" t="n"/>
      <c r="B18" s="7" t="n"/>
    </row>
    <row r="19">
      <c r="A19" s="7" t="n"/>
      <c r="B19" s="7" t="n"/>
    </row>
    <row r="20">
      <c r="A20" s="7" t="n"/>
      <c r="B20" s="7" t="n"/>
    </row>
    <row r="21">
      <c r="A21" s="7" t="n"/>
      <c r="B21" s="7" t="n"/>
    </row>
    <row r="22">
      <c r="A22" s="7" t="n"/>
      <c r="B22" s="7" t="n"/>
    </row>
    <row r="23">
      <c r="A23" s="7" t="n"/>
      <c r="B23" s="7" t="n"/>
    </row>
  </sheetData>
  <dataValidations count="1">
    <dataValidation sqref="B4:B23" showDropDown="0" showInputMessage="0" showErrorMessage="0" allowBlank="0" type="list">
      <formula1>"Sí,En trámite,No"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2026-10-10T13:19:54Z</dcterms:created>
  <dcterms:modified xmlns:dcterms="http://purl.org/dc/terms/" xmlns:xsi="http://www.w3.org/2001/XMLSchema-instance" xsi:type="dcterms:W3CDTF">2026-10-10T13:19:54Z</dcterms:modified>
</cp:coreProperties>
</file>