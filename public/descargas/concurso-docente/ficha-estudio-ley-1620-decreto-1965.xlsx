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" sheetId="1" state="visible" r:id="rId1"/>
    <sheet xmlns:r="http://schemas.openxmlformats.org/officeDocument/2006/relationships" name="Comite" sheetId="2" state="visible" r:id="rId2"/>
    <sheet xmlns:r="http://schemas.openxmlformats.org/officeDocument/2006/relationships" name="Sesion" sheetId="3" state="visible" r:id="rId3"/>
    <sheet xmlns:r="http://schemas.openxmlformats.org/officeDocument/2006/relationships" name="Ruta" sheetId="4" state="visible" r:id="rId4"/>
    <sheet xmlns:r="http://schemas.openxmlformats.org/officeDocument/2006/relationships" name="Tarj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20" customWidth="1" min="3" max="3"/>
  </cols>
  <sheetData>
    <row r="1">
      <c r="A1" s="1" t="inlineStr">
        <is>
          <t>LEY 1620 DE 2013 Y DECRETO 1965 DE 2013 (compilado en el Decreto 1075 de 2015, Título 5 de la Parte 3 del Libro 2): MAPA DE ESTUDIO</t>
        </is>
      </c>
    </row>
    <row r="2" ht="40" customHeight="1">
      <c r="A2" s="2" t="inlineStr">
        <is>
          <t>Resumen propio del texto compilado del Decreto 1075 de 2015 (arts. 2.3.5.2.3.1 a 2.3.5.2.3.6 y 2.3.5.4.2.1 a 2.3.5.4.2.14) y de la Ley 1620 de 2013 (composición del comité: art. 12, verificada en fuentes secundarias), consultados el 10 de octubre de 2026. Verifica siempre el texto vigente.</t>
        </is>
      </c>
    </row>
    <row r="4">
      <c r="A4" s="3" t="inlineStr">
        <is>
          <t>Tema</t>
        </is>
      </c>
      <c r="B4" s="3" t="inlineStr">
        <is>
          <t>Norma</t>
        </is>
      </c>
      <c r="C4" s="3" t="inlineStr">
        <is>
          <t>Idea central (resumen propio)</t>
        </is>
      </c>
    </row>
    <row r="5">
      <c r="A5" s="2" t="inlineStr">
        <is>
          <t>Sistema Nacional de Convivencia Escolar</t>
        </is>
      </c>
      <c r="B5" s="2" t="inlineStr">
        <is>
          <t>Ley 1620 de 2013</t>
        </is>
      </c>
      <c r="C5" s="2" t="inlineStr">
        <is>
          <t>Crea el Sistema Nacional de Convivencia Escolar y Formación para el Ejercicio de los Derechos Humanos, la Educación para la Sexualidad y la Prevención y Mitigación de la Violencia Escolar, con comités en los niveles nacional, territorial y escolar.</t>
        </is>
      </c>
    </row>
    <row r="6">
      <c r="A6" s="2" t="inlineStr">
        <is>
          <t>Comité Escolar de Convivencia</t>
        </is>
      </c>
      <c r="B6" s="2" t="inlineStr">
        <is>
          <t>D. 1075/2015, art. 2.3.5.2.3.1 (D. 1965, art. 22)</t>
        </is>
      </c>
      <c r="C6" s="2" t="inlineStr">
        <is>
          <t>Todas las instituciones educativas y centros educativos, oficiales y no oficiales, deben conformarlo: apoya la promoción y el seguimiento de la convivencia, la educación para los derechos humanos, sexuales y reproductivos, el manual de convivencia y la prevención y mitigación de la violencia escolar. Su reglamento hace parte del manual de convivencia.</t>
        </is>
      </c>
    </row>
    <row r="7">
      <c r="A7" s="2" t="inlineStr">
        <is>
          <t>Integrantes del comité</t>
        </is>
      </c>
      <c r="B7" s="2" t="inlineStr">
        <is>
          <t>Ley 1620, art. 12 (verifica el texto vigente)</t>
        </is>
      </c>
      <c r="C7" s="2" t="inlineStr">
        <is>
          <t>Rector (preside), personero estudiantil, docente con función de orientación, coordinador (si existe), presidente del consejo de padres, presidente del consejo de estudiantes y un docente que lidere procesos o estrategias de convivencia escolar.</t>
        </is>
      </c>
    </row>
    <row r="8">
      <c r="A8" s="2" t="inlineStr">
        <is>
          <t>Centros educativos</t>
        </is>
      </c>
      <c r="B8" s="2" t="inlineStr">
        <is>
          <t>D. 1075/2015, art. 2.3.5.2.3.1, par. 1 y 2</t>
        </is>
      </c>
      <c r="C8" s="2" t="inlineStr">
        <is>
          <t>En los centros educativos preside el director; en su ausencia, el docente que lidera procesos de convivencia. Donde no hay integrantes para conformarlo, se integra como mínimo con el representante de los docentes, el presidente del consejo de padres y el representante de los estudiantes, y preside el docente.</t>
        </is>
      </c>
    </row>
    <row r="9">
      <c r="A9" s="2" t="inlineStr">
        <is>
          <t>Sesiones</t>
        </is>
      </c>
      <c r="B9" s="2" t="inlineStr">
        <is>
          <t>D. 1075/2015, art. 2.3.5.2.3.2</t>
        </is>
      </c>
      <c r="C9" s="2" t="inlineStr">
        <is>
          <t>Como mínimo una vez cada dos meses; las extraordinarias las convoca el presidente cuando las circunstancias lo exijan o a solicitud de cualquier integrante.</t>
        </is>
      </c>
    </row>
    <row r="10">
      <c r="A10" s="2" t="inlineStr">
        <is>
          <t>Quórum</t>
        </is>
      </c>
      <c r="B10" s="2" t="inlineStr">
        <is>
          <t>D. 1075/2015, art. 2.3.5.2.3.3</t>
        </is>
      </c>
      <c r="C10" s="2" t="inlineStr">
        <is>
          <t>El quórum decisorio es el que establezca su reglamento; en cualquier caso, el comité no puede sesionar sin la presencia del presidente.</t>
        </is>
      </c>
    </row>
    <row r="11">
      <c r="A11" s="2" t="inlineStr">
        <is>
          <t>Actas y confidencialidad</t>
        </is>
      </c>
      <c r="B11" s="2" t="inlineStr">
        <is>
          <t>D. 1075/2015, art. 2.3.5.2.3.4</t>
        </is>
      </c>
      <c r="C11" s="2" t="inlineStr">
        <is>
          <t>De todas las sesiones se levanta un acta; el comité garantiza la intimidad y la confidencialidad de los datos personales tratados.</t>
        </is>
      </c>
    </row>
    <row r="12">
      <c r="A12" s="2" t="inlineStr">
        <is>
          <t>Ruta de Atención Integral</t>
        </is>
      </c>
      <c r="B12" s="2" t="inlineStr">
        <is>
          <t>D. 1075/2015, arts. 2.3.5.4.2.1 a 2.3.5.4.2.4 y 2.3.5.4.2.14</t>
        </is>
      </c>
      <c r="C12" s="2" t="inlineStr">
        <is>
          <t>Cuatro componentes: promoción, prevención, atención y seguimiento. Se aplican los principios de protección integral, incluido el derecho a no ser revictimizado, el interés superior, la prevalencia de los derechos, la corresponsabilidad, la proporcionalidad y la protección de datos.</t>
        </is>
      </c>
    </row>
    <row r="13">
      <c r="A13" s="2" t="inlineStr">
        <is>
          <t>Clasificación de las situaciones</t>
        </is>
      </c>
      <c r="B13" s="2" t="inlineStr">
        <is>
          <t>D. 1075/2015, art. 2.3.5.4.2.6 (D. 1965, art. 40)</t>
        </is>
      </c>
      <c r="C13" s="2" t="inlineStr">
        <is>
          <t>Tipo I (conflictos mal manejados y situaciones esporádicas sin daño), Tipo II (agresión, acoso o ciberacoso repetidos o con daño sin incapacidad) y Tipo III (presuntos delitos).</t>
        </is>
      </c>
    </row>
    <row r="14">
      <c r="A14" s="2" t="inlineStr">
        <is>
          <t>Protocolos</t>
        </is>
      </c>
      <c r="B14" s="2" t="inlineStr">
        <is>
          <t>D. 1075/2015, arts. 2.3.5.4.2.7 a 2.3.5.4.2.10</t>
        </is>
      </c>
      <c r="C14" s="2" t="inlineStr">
        <is>
          <t>Cada colegio define sus protocolos con contenidos mínimos; para el Tipo III, el presidente del comité informa de inmediato a la Policía Nacional por el medio más expedito y se informa de inmediato a los padres.</t>
        </is>
      </c>
    </row>
    <row r="15">
      <c r="A15" s="2" t="inlineStr">
        <is>
          <t>Activación de otras entidades</t>
        </is>
      </c>
      <c r="B15" s="2" t="inlineStr">
        <is>
          <t>D. 1075/2015, arts. 2.3.5.4.2.11 y 2.3.5.4.2.12</t>
        </is>
      </c>
      <c r="C15" s="2" t="inlineStr">
        <is>
          <t>Las autoridades que reciben la situación adelantan la actuación y las medidas de restablecimiento de derechos, y reportan al sistema de información unificado.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14" customWidth="1" min="3" max="3"/>
    <col width="40" customWidth="1" min="4" max="4"/>
    <col width="20" customWidth="1" min="5" max="5"/>
  </cols>
  <sheetData>
    <row r="1">
      <c r="A1" s="1" t="inlineStr">
        <is>
          <t>INTEGRANTES DEL COMITÉ ESCOLAR DE CONVIVENCIA (Ley 1620, art. 12; verifica el texto vigente) Y SI SU COLEGIO LOS TIENE</t>
        </is>
      </c>
    </row>
    <row r="3">
      <c r="A3" s="3" t="inlineStr">
        <is>
          <t>N.º</t>
        </is>
      </c>
      <c r="B3" s="3" t="inlineStr">
        <is>
          <t>Integrante</t>
        </is>
      </c>
      <c r="C3" s="3" t="inlineStr">
        <is>
          <t>Rol</t>
        </is>
      </c>
      <c r="D3" s="3" t="inlineStr">
        <is>
          <t>Nombre del cargo en mi colegio</t>
        </is>
      </c>
      <c r="E3" s="3" t="inlineStr">
        <is>
          <t>¿Está definido? (Sí/No)</t>
        </is>
      </c>
    </row>
    <row r="4">
      <c r="A4" t="n">
        <v>1</v>
      </c>
      <c r="B4" t="inlineStr">
        <is>
          <t>Rector</t>
        </is>
      </c>
      <c r="C4" t="inlineStr">
        <is>
          <t>Preside</t>
        </is>
      </c>
      <c r="D4" s="4" t="n"/>
      <c r="E4" s="4" t="inlineStr">
        <is>
          <t>No</t>
        </is>
      </c>
    </row>
    <row r="5">
      <c r="A5" t="n">
        <v>2</v>
      </c>
      <c r="B5" t="inlineStr">
        <is>
          <t>Personero estudiantil</t>
        </is>
      </c>
      <c r="C5" t="inlineStr">
        <is>
          <t>Integrante</t>
        </is>
      </c>
      <c r="D5" s="4" t="n"/>
      <c r="E5" s="4" t="inlineStr">
        <is>
          <t>No</t>
        </is>
      </c>
    </row>
    <row r="6">
      <c r="A6" t="n">
        <v>3</v>
      </c>
      <c r="B6" t="inlineStr">
        <is>
          <t>Docente con función de orientación</t>
        </is>
      </c>
      <c r="C6" t="inlineStr">
        <is>
          <t>Integrante</t>
        </is>
      </c>
      <c r="D6" s="4" t="n"/>
      <c r="E6" s="4" t="inlineStr">
        <is>
          <t>No</t>
        </is>
      </c>
    </row>
    <row r="7">
      <c r="A7" t="n">
        <v>4</v>
      </c>
      <c r="B7" t="inlineStr">
        <is>
          <t>Coordinador (si el cargo existe)</t>
        </is>
      </c>
      <c r="C7" t="inlineStr">
        <is>
          <t>Integrante</t>
        </is>
      </c>
      <c r="D7" s="4" t="n"/>
      <c r="E7" s="4" t="inlineStr">
        <is>
          <t>No</t>
        </is>
      </c>
    </row>
    <row r="8">
      <c r="A8" t="n">
        <v>5</v>
      </c>
      <c r="B8" t="inlineStr">
        <is>
          <t>Presidente del consejo de padres</t>
        </is>
      </c>
      <c r="C8" t="inlineStr">
        <is>
          <t>Integrante</t>
        </is>
      </c>
      <c r="D8" s="4" t="n"/>
      <c r="E8" s="4" t="inlineStr">
        <is>
          <t>No</t>
        </is>
      </c>
    </row>
    <row r="9">
      <c r="A9" t="n">
        <v>6</v>
      </c>
      <c r="B9" t="inlineStr">
        <is>
          <t>Presidente del consejo de estudiantes</t>
        </is>
      </c>
      <c r="C9" t="inlineStr">
        <is>
          <t>Integrante</t>
        </is>
      </c>
      <c r="D9" s="4" t="n"/>
      <c r="E9" s="4" t="inlineStr">
        <is>
          <t>No</t>
        </is>
      </c>
    </row>
    <row r="10">
      <c r="A10" t="n">
        <v>7</v>
      </c>
      <c r="B10" t="inlineStr">
        <is>
          <t>Docente que lidere procesos o estrategias de convivencia</t>
        </is>
      </c>
      <c r="C10" t="inlineStr">
        <is>
          <t>Integrante</t>
        </is>
      </c>
      <c r="D10" s="4" t="n"/>
      <c r="E10" s="4" t="inlineStr">
        <is>
          <t>No</t>
        </is>
      </c>
    </row>
    <row r="12">
      <c r="A12" t="inlineStr">
        <is>
          <t>Integrantes definidos</t>
        </is>
      </c>
      <c r="E12">
        <f>COUNTIF(E4:E10,"Sí")&amp;" de "&amp;COUNTA(B4:B10)</f>
        <v/>
      </c>
    </row>
  </sheetData>
  <dataValidations count="1">
    <dataValidation sqref="E4:E1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6" customWidth="1" min="3" max="3"/>
    <col width="22" customWidth="1" min="4" max="4"/>
    <col width="14" customWidth="1" min="5" max="5"/>
    <col width="44" customWidth="1" min="6" max="6"/>
  </cols>
  <sheetData>
    <row r="1">
      <c r="A1" s="1" t="inlineStr">
        <is>
          <t>SIMULADOR: ¿PUEDE SESIONAR EL COMITÉ? (ejercicio de estudio; el quórum real lo fija el reglamento de cada comité)</t>
        </is>
      </c>
    </row>
    <row r="3" ht="44" customHeight="1">
      <c r="A3" s="3" t="inlineStr">
        <is>
          <t>Caso</t>
        </is>
      </c>
      <c r="B3" s="3" t="inlineStr">
        <is>
          <t>Presidente presente</t>
        </is>
      </c>
      <c r="C3" s="3" t="inlineStr">
        <is>
          <t>Otros integrantes presentes</t>
        </is>
      </c>
      <c r="D3" s="3" t="inlineStr">
        <is>
          <t>Quórum requerido (incluye al presidente)</t>
        </is>
      </c>
      <c r="E3" s="3" t="inlineStr">
        <is>
          <t>Presentes en total</t>
        </is>
      </c>
      <c r="F3" s="3" t="inlineStr">
        <is>
          <t>¿Puede sesionar?</t>
        </is>
      </c>
    </row>
    <row r="4">
      <c r="A4" s="5" t="inlineStr">
        <is>
          <t>Todos presentes</t>
        </is>
      </c>
      <c r="B4" s="4" t="inlineStr">
        <is>
          <t>Sí</t>
        </is>
      </c>
      <c r="C4" s="4" t="n">
        <v>6</v>
      </c>
      <c r="D4" s="4" t="n">
        <v>4</v>
      </c>
      <c r="E4">
        <f>IF(A4="","",IF(B4="Sí",1,0)+C4)</f>
        <v/>
      </c>
      <c r="F4">
        <f>IF(A4="","",IF(B4&lt;&gt;"Sí","No: no puede sesionar sin el presidente",IF(E4&gt;=D4,"Sí: hay presidente y quórum","No: falta quórum")))</f>
        <v/>
      </c>
    </row>
    <row r="5">
      <c r="A5" s="5" t="inlineStr">
        <is>
          <t>El rector no asiste y preside el coordinador</t>
        </is>
      </c>
      <c r="B5" s="4" t="inlineStr">
        <is>
          <t>No</t>
        </is>
      </c>
      <c r="C5" s="4" t="n">
        <v>6</v>
      </c>
      <c r="D5" s="4" t="n">
        <v>4</v>
      </c>
      <c r="E5">
        <f>IF(A5="","",IF(B5="Sí",1,0)+C5)</f>
        <v/>
      </c>
      <c r="F5">
        <f>IF(A5="","",IF(B5&lt;&gt;"Sí","No: no puede sesionar sin el presidente",IF(E5&gt;=D5,"Sí: hay presidente y quórum","No: falta quórum")))</f>
        <v/>
      </c>
    </row>
    <row r="6">
      <c r="A6" s="5" t="inlineStr">
        <is>
          <t>Presidente y tres integrantes; el reglamento pide 4</t>
        </is>
      </c>
      <c r="B6" s="4" t="inlineStr">
        <is>
          <t>Sí</t>
        </is>
      </c>
      <c r="C6" s="4" t="n">
        <v>3</v>
      </c>
      <c r="D6" s="4" t="n">
        <v>4</v>
      </c>
      <c r="E6">
        <f>IF(A6="","",IF(B6="Sí",1,0)+C6)</f>
        <v/>
      </c>
      <c r="F6">
        <f>IF(A6="","",IF(B6&lt;&gt;"Sí","No: no puede sesionar sin el presidente",IF(E6&gt;=D6,"Sí: hay presidente y quórum","No: falta quórum")))</f>
        <v/>
      </c>
    </row>
    <row r="7">
      <c r="A7" s="5" t="inlineStr">
        <is>
          <t>Presidente y dos integrantes; el reglamento pide 4</t>
        </is>
      </c>
      <c r="B7" s="4" t="inlineStr">
        <is>
          <t>Sí</t>
        </is>
      </c>
      <c r="C7" s="4" t="n">
        <v>2</v>
      </c>
      <c r="D7" s="4" t="n">
        <v>4</v>
      </c>
      <c r="E7">
        <f>IF(A7="","",IF(B7="Sí",1,0)+C7)</f>
        <v/>
      </c>
      <c r="F7">
        <f>IF(A7="","",IF(B7&lt;&gt;"Sí","No: no puede sesionar sin el presidente",IF(E7&gt;=D7,"Sí: hay presidente y quórum","No: falta quórum")))</f>
        <v/>
      </c>
    </row>
    <row r="8">
      <c r="A8" s="5" t="inlineStr">
        <is>
          <t>Presidente y tres integrantes; el reglamento pide 5</t>
        </is>
      </c>
      <c r="B8" s="4" t="inlineStr">
        <is>
          <t>Sí</t>
        </is>
      </c>
      <c r="C8" s="4" t="n">
        <v>3</v>
      </c>
      <c r="D8" s="4" t="n">
        <v>5</v>
      </c>
      <c r="E8">
        <f>IF(A8="","",IF(B8="Sí",1,0)+C8)</f>
        <v/>
      </c>
      <c r="F8">
        <f>IF(A8="","",IF(B8&lt;&gt;"Sí","No: no puede sesionar sin el presidente",IF(E8&gt;=D8,"Sí: hay presidente y quórum","No: falta quórum")))</f>
        <v/>
      </c>
    </row>
    <row r="9">
      <c r="A9" s="5" t="inlineStr">
        <is>
          <t>Sesión extraordinaria con presidente y cuatro integrantes</t>
        </is>
      </c>
      <c r="B9" s="4" t="inlineStr">
        <is>
          <t>Sí</t>
        </is>
      </c>
      <c r="C9" s="4" t="n">
        <v>4</v>
      </c>
      <c r="D9" s="4" t="n">
        <v>4</v>
      </c>
      <c r="E9">
        <f>IF(A9="","",IF(B9="Sí",1,0)+C9)</f>
        <v/>
      </c>
      <c r="F9">
        <f>IF(A9="","",IF(B9&lt;&gt;"Sí","No: no puede sesionar sin el presidente",IF(E9&gt;=D9,"Sí: hay presidente y quórum","No: falta quórum")))</f>
        <v/>
      </c>
    </row>
    <row r="10">
      <c r="A10" s="5" t="n"/>
      <c r="B10" s="4" t="n"/>
      <c r="C10" s="4" t="n"/>
      <c r="D10" s="4" t="n"/>
      <c r="E10">
        <f>IF(A10="","",IF(B10="Sí",1,0)+C10)</f>
        <v/>
      </c>
      <c r="F10">
        <f>IF(A10="","",IF(B10&lt;&gt;"Sí","No: no puede sesionar sin el presidente",IF(E10&gt;=D10,"Sí: hay presidente y quórum","No: falta quórum")))</f>
        <v/>
      </c>
    </row>
    <row r="11">
      <c r="A11" s="5" t="n"/>
      <c r="B11" s="4" t="n"/>
      <c r="C11" s="4" t="n"/>
      <c r="D11" s="4" t="n"/>
      <c r="E11">
        <f>IF(A11="","",IF(B11="Sí",1,0)+C11)</f>
        <v/>
      </c>
      <c r="F11">
        <f>IF(A11="","",IF(B11&lt;&gt;"Sí","No: no puede sesionar sin el presidente",IF(E11&gt;=D11,"Sí: hay presidente y quórum","No: falta quórum")))</f>
        <v/>
      </c>
    </row>
    <row r="12">
      <c r="A12" s="5" t="n"/>
      <c r="B12" s="4" t="n"/>
      <c r="C12" s="4" t="n"/>
      <c r="D12" s="4" t="n"/>
      <c r="E12">
        <f>IF(A12="","",IF(B12="Sí",1,0)+C12)</f>
        <v/>
      </c>
      <c r="F12">
        <f>IF(A12="","",IF(B12&lt;&gt;"Sí","No: no puede sesionar sin el presidente",IF(E12&gt;=D12,"Sí: hay presidente y quórum","No: falta quórum")))</f>
        <v/>
      </c>
    </row>
    <row r="13">
      <c r="A13" s="5" t="n"/>
      <c r="B13" s="4" t="n"/>
      <c r="C13" s="4" t="n"/>
      <c r="D13" s="4" t="n"/>
      <c r="E13">
        <f>IF(A13="","",IF(B13="Sí",1,0)+C13)</f>
        <v/>
      </c>
      <c r="F13">
        <f>IF(A13="","",IF(B13&lt;&gt;"Sí","No: no puede sesionar sin el presidente",IF(E13&gt;=D13,"Sí: hay presidente y quórum","No: falta quórum")))</f>
        <v/>
      </c>
    </row>
    <row r="14">
      <c r="A14" s="5" t="n"/>
      <c r="B14" s="4" t="n"/>
      <c r="C14" s="4" t="n"/>
      <c r="D14" s="4" t="n"/>
      <c r="E14">
        <f>IF(A14="","",IF(B14="Sí",1,0)+C14)</f>
        <v/>
      </c>
      <c r="F14">
        <f>IF(A14="","",IF(B14&lt;&gt;"Sí","No: no puede sesionar sin el presidente",IF(E14&gt;=D14,"Sí: hay presidente y quórum","No: falta quórum")))</f>
        <v/>
      </c>
    </row>
    <row r="15">
      <c r="A15" s="5" t="n"/>
      <c r="B15" s="4" t="n"/>
      <c r="C15" s="4" t="n"/>
      <c r="D15" s="4" t="n"/>
      <c r="E15">
        <f>IF(A15="","",IF(B15="Sí",1,0)+C15)</f>
        <v/>
      </c>
      <c r="F15">
        <f>IF(A15="","",IF(B15&lt;&gt;"Sí","No: no puede sesionar sin el presidente",IF(E15&gt;=D15,"Sí: hay presidente y quórum","No: falta quórum")))</f>
        <v/>
      </c>
    </row>
    <row r="16">
      <c r="A16" s="5" t="n"/>
      <c r="B16" s="4" t="n"/>
      <c r="C16" s="4" t="n"/>
      <c r="D16" s="4" t="n"/>
      <c r="E16">
        <f>IF(A16="","",IF(B16="Sí",1,0)+C16)</f>
        <v/>
      </c>
      <c r="F16">
        <f>IF(A16="","",IF(B16&lt;&gt;"Sí","No: no puede sesionar sin el presidente",IF(E16&gt;=D16,"Sí: hay presidente y quórum","No: falta quórum")))</f>
        <v/>
      </c>
    </row>
    <row r="17">
      <c r="A17" s="5" t="n"/>
      <c r="B17" s="4" t="n"/>
      <c r="C17" s="4" t="n"/>
      <c r="D17" s="4" t="n"/>
      <c r="E17">
        <f>IF(A17="","",IF(B17="Sí",1,0)+C17)</f>
        <v/>
      </c>
      <c r="F17">
        <f>IF(A17="","",IF(B17&lt;&gt;"Sí","No: no puede sesionar sin el presidente",IF(E17&gt;=D17,"Sí: hay presidente y quórum","No: falta quórum")))</f>
        <v/>
      </c>
    </row>
    <row r="18">
      <c r="A18" s="5" t="n"/>
      <c r="B18" s="4" t="n"/>
      <c r="C18" s="4" t="n"/>
      <c r="D18" s="4" t="n"/>
      <c r="E18">
        <f>IF(A18="","",IF(B18="Sí",1,0)+C18)</f>
        <v/>
      </c>
      <c r="F18">
        <f>IF(A18="","",IF(B18&lt;&gt;"Sí","No: no puede sesionar sin el presidente",IF(E18&gt;=D18,"Sí: hay presidente y quórum","No: falta quórum")))</f>
        <v/>
      </c>
    </row>
    <row r="20">
      <c r="A20" t="inlineStr">
        <is>
          <t>Casos que pueden sesionar</t>
        </is>
      </c>
      <c r="F20">
        <f>COUNTIF(F4:F18,"Sí*")</f>
        <v/>
      </c>
    </row>
    <row r="21">
      <c r="A21" t="inlineStr">
        <is>
          <t>Casos que no pueden sesionar por falta del presidente</t>
        </is>
      </c>
      <c r="F21">
        <f>COUNTIF(F4:F18,"No: no puede*")</f>
        <v/>
      </c>
    </row>
    <row r="22">
      <c r="A22" t="inlineStr">
        <is>
          <t>Casos que no pueden sesionar por falta de quórum</t>
        </is>
      </c>
      <c r="F22">
        <f>COUNTIF(F4:F18,"No: falta*")</f>
        <v/>
      </c>
    </row>
  </sheetData>
  <dataValidations count="1">
    <dataValidation sqref="B4:B18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70" customWidth="1" min="3" max="3"/>
  </cols>
  <sheetData>
    <row r="1">
      <c r="A1" s="1" t="inlineStr">
        <is>
          <t>LOS CUATRO COMPONENTES DE LA RUTA DE ATENCIÓN INTEGRAL (resumen propio)</t>
        </is>
      </c>
    </row>
    <row r="3">
      <c r="A3" s="3" t="inlineStr">
        <is>
          <t>Componente</t>
        </is>
      </c>
      <c r="B3" s="3" t="inlineStr">
        <is>
          <t>Qué busca</t>
        </is>
      </c>
      <c r="C3" s="3" t="inlineStr">
        <is>
          <t>Ejemplo de acción en un colegio</t>
        </is>
      </c>
    </row>
    <row r="4">
      <c r="A4" s="2" t="inlineStr">
        <is>
          <t>Promoción</t>
        </is>
      </c>
      <c r="B4" s="2" t="inlineStr">
        <is>
          <t>Fomentar la convivencia y mejorar el clima escolar</t>
        </is>
      </c>
      <c r="C4" s="2" t="inlineStr">
        <is>
          <t>Proyectos de competencias ciudadanas, mediación escolar, participación de estudiantes</t>
        </is>
      </c>
    </row>
    <row r="5">
      <c r="A5" s="2" t="inlineStr">
        <is>
          <t>Prevención</t>
        </is>
      </c>
      <c r="B5" s="2" t="inlineStr">
        <is>
          <t>Intervenir oportunamente en comportamientos que podrían afectar derechos, antes de que se vuelvan patrón</t>
        </is>
      </c>
      <c r="C5" s="2" t="inlineStr">
        <is>
          <t>Identificación de riesgos, trabajo con familias, estrategias en grados de transición</t>
        </is>
      </c>
    </row>
    <row r="6">
      <c r="A6" s="2" t="inlineStr">
        <is>
          <t>Atención</t>
        </is>
      </c>
      <c r="B6" s="2" t="inlineStr">
        <is>
          <t>Asistir a la comunidad ante situaciones que afecten la convivencia, con los protocolos internos y los de otras entidades</t>
        </is>
      </c>
      <c r="C6" s="2" t="inlineStr">
        <is>
          <t>Aplicación del protocolo según el tipo de situación, atención en salud, remisión a autoridades</t>
        </is>
      </c>
    </row>
    <row r="7">
      <c r="A7" s="2" t="inlineStr">
        <is>
          <t>Seguimiento</t>
        </is>
      </c>
      <c r="B7" s="2" t="inlineStr">
        <is>
          <t>Verificar si las soluciones fueron efectivas y reportar el caso</t>
        </is>
      </c>
      <c r="C7" s="2" t="inlineStr">
        <is>
          <t>Seguimiento del comité, actas y reporte al sistema de información unificado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70" customWidth="1" min="1" max="1"/>
    <col width="100" customWidth="1" min="2" max="2"/>
    <col width="18" customWidth="1" min="3" max="3"/>
  </cols>
  <sheetData>
    <row r="1">
      <c r="A1" s="1" t="inlineStr">
        <is>
          <t>TARJETAS DE ESTUDIO (resumen propio; contrasta con el texto vigente)</t>
        </is>
      </c>
    </row>
    <row r="3">
      <c r="A3" s="3" t="inlineStr">
        <is>
          <t>Pregunta</t>
        </is>
      </c>
      <c r="B3" s="3" t="inlineStr">
        <is>
          <t>Respuesta</t>
        </is>
      </c>
      <c r="C3" s="3" t="inlineStr">
        <is>
          <t>¿Dominada? (Sí/No)</t>
        </is>
      </c>
    </row>
    <row r="4">
      <c r="A4" s="2" t="inlineStr">
        <is>
          <t>¿Qué crea la Ley 1620 de 2013?</t>
        </is>
      </c>
      <c r="B4" s="2" t="inlineStr">
        <is>
          <t>El Sistema Nacional de Convivencia Escolar y Formación para el Ejercicio de los Derechos Humanos, la Educación para la Sexualidad y la Prevención y Mitigación de la Violencia Escolar</t>
        </is>
      </c>
      <c r="C4" s="4" t="inlineStr">
        <is>
          <t>No</t>
        </is>
      </c>
    </row>
    <row r="5">
      <c r="A5" s="2" t="inlineStr">
        <is>
          <t>¿Qué colegios deben conformar el Comité Escolar de Convivencia?</t>
        </is>
      </c>
      <c r="B5" s="2" t="inlineStr">
        <is>
          <t>Todas las instituciones y centros educativos, oficiales y no oficiales</t>
        </is>
      </c>
      <c r="C5" s="4" t="inlineStr">
        <is>
          <t>No</t>
        </is>
      </c>
    </row>
    <row r="6">
      <c r="A6" s="2" t="inlineStr">
        <is>
          <t>¿Quién preside el comité en una institución educativa?</t>
        </is>
      </c>
      <c r="B6" s="2" t="inlineStr">
        <is>
          <t>El rector</t>
        </is>
      </c>
      <c r="C6" s="4" t="inlineStr">
        <is>
          <t>No</t>
        </is>
      </c>
    </row>
    <row r="7">
      <c r="A7" s="2" t="inlineStr">
        <is>
          <t>¿Cada cuánto debe sesionar como mínimo el comité?</t>
        </is>
      </c>
      <c r="B7" s="2" t="inlineStr">
        <is>
          <t>Una vez cada dos meses</t>
        </is>
      </c>
      <c r="C7" s="4" t="inlineStr">
        <is>
          <t>No</t>
        </is>
      </c>
    </row>
    <row r="8">
      <c r="A8" s="2" t="inlineStr">
        <is>
          <t>¿Puede sesionar el comité sin el presidente?</t>
        </is>
      </c>
      <c r="B8" s="2" t="inlineStr">
        <is>
          <t>No: en cualquier caso, no puede sesionar sin su presencia</t>
        </is>
      </c>
      <c r="C8" s="4" t="inlineStr">
        <is>
          <t>No</t>
        </is>
      </c>
    </row>
    <row r="9">
      <c r="A9" s="2" t="inlineStr">
        <is>
          <t>¿Quién fija el quórum decisorio?</t>
        </is>
      </c>
      <c r="B9" s="2" t="inlineStr">
        <is>
          <t>El reglamento del comité</t>
        </is>
      </c>
      <c r="C9" s="4" t="inlineStr">
        <is>
          <t>No</t>
        </is>
      </c>
    </row>
    <row r="10">
      <c r="A10" s="2" t="inlineStr">
        <is>
          <t>¿Dónde queda el reglamento del comité?</t>
        </is>
      </c>
      <c r="B10" s="2" t="inlineStr">
        <is>
          <t>Hace parte integral del manual de convivencia</t>
        </is>
      </c>
      <c r="C10" s="4" t="inlineStr">
        <is>
          <t>No</t>
        </is>
      </c>
    </row>
    <row r="11">
      <c r="A11" s="2" t="inlineStr">
        <is>
          <t>¿Cuáles son los componentes de la Ruta de Atención Integral?</t>
        </is>
      </c>
      <c r="B11" s="2" t="inlineStr">
        <is>
          <t>Promoción, prevención, atención y seguimiento</t>
        </is>
      </c>
      <c r="C11" s="4" t="inlineStr">
        <is>
          <t>No</t>
        </is>
      </c>
    </row>
    <row r="12">
      <c r="A12" s="2" t="inlineStr">
        <is>
          <t>¿Qué principio protege a la persona de volver a ser afectada por el trámite?</t>
        </is>
      </c>
      <c r="B12" s="2" t="inlineStr">
        <is>
          <t>El derecho a no ser revictimizado (parte de la protección integral)</t>
        </is>
      </c>
      <c r="C12" s="4" t="inlineStr">
        <is>
          <t>No</t>
        </is>
      </c>
    </row>
    <row r="13">
      <c r="A13" s="2" t="inlineStr">
        <is>
          <t>¿Qué se hace de inmediato en una situación Tipo III?</t>
        </is>
      </c>
      <c r="B13" s="2" t="inlineStr">
        <is>
          <t>Atención en salud si hay daño; informar a los padres; el presidente del comité informa a la Policía Nacional por el medio más expedito; el comité adopta medidas de protección</t>
        </is>
      </c>
      <c r="C13" s="4" t="inlineStr">
        <is>
          <t>No</t>
        </is>
      </c>
    </row>
    <row r="14">
      <c r="A14" s="2" t="inlineStr">
        <is>
          <t>¿Qué clasifica el art. 2.3.5.4.2.6?</t>
        </is>
      </c>
      <c r="B14" s="2" t="inlineStr">
        <is>
          <t>Las situaciones en Tipo I, II y III</t>
        </is>
      </c>
      <c r="C14" s="4" t="inlineStr">
        <is>
          <t>No</t>
        </is>
      </c>
    </row>
    <row r="15">
      <c r="A15" s="2" t="inlineStr">
        <is>
          <t>¿Qué debe garantizar el comité respecto de los datos de las personas?</t>
        </is>
      </c>
      <c r="B15" s="2" t="inlineStr">
        <is>
          <t>La intimidad y la confidencialidad (Ley 1581 de 2012)</t>
        </is>
      </c>
      <c r="C15" s="4" t="inlineStr">
        <is>
          <t>No</t>
        </is>
      </c>
    </row>
    <row r="17">
      <c r="A17" t="inlineStr">
        <is>
          <t>Tarjetas dominadas</t>
        </is>
      </c>
      <c r="C17">
        <f>COUNTIF(C4:C15,"Sí")&amp;" de "&amp;COUNTA(A4:A15)</f>
        <v/>
      </c>
    </row>
  </sheetData>
  <dataValidations count="1">
    <dataValidation sqref="C4:C15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2026-10-10T17:42:45Z</dcterms:created>
  <dcterms:modified xmlns:dcterms="http://purl.org/dc/terms/" xmlns:xsi="http://www.w3.org/2001/XMLSchema-instance" xsi:type="dcterms:W3CDTF">2026-10-10T17:42:45Z</dcterms:modified>
</cp:coreProperties>
</file>