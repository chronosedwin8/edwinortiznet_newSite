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_primaria" sheetId="1" state="visible" r:id="rId1"/>
    <sheet xmlns:r="http://schemas.openxmlformats.org/officeDocument/2006/relationships" name="Mi_busqueda" sheetId="2" state="visible" r:id="rId2"/>
    <sheet xmlns:r="http://schemas.openxmlformats.org/officeDocument/2006/relationships" name="Escenarios" sheetId="3" state="visible" r:id="rId3"/>
    <sheet xmlns:r="http://schemas.openxmlformats.org/officeDocument/2006/relationships" name="Se_puede_y_no_se_pue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EJEMPLO: vacantes PRELIMINARES de docente de primaria por territorio (OPEC preliminar publicada por la CNSC el 19-ago-2026, según lo reportado por Grupo Geard)</t>
        </is>
      </c>
    </row>
    <row r="2">
      <c r="A2" t="inlineStr">
        <is>
          <t>Cifras preliminares y proyectadas: pueden cambiar antes de la apertura de inscripciones. Verifica siempre en SIMO y en la CNSC. Más vacantes en un territorio no significa mejores probabilidades.</t>
        </is>
      </c>
    </row>
    <row r="4" ht="36" customHeight="1">
      <c r="A4" s="2" t="inlineStr">
        <is>
          <t>Territorio</t>
        </is>
      </c>
      <c r="B4" s="2" t="inlineStr">
        <is>
          <t>Vacantes de docente de primaria</t>
        </is>
      </c>
      <c r="C4" s="2" t="inlineStr">
        <is>
          <t>% del total nacional</t>
        </is>
      </c>
      <c r="D4" s="2" t="inlineStr">
        <is>
          <t>% acumulado</t>
        </is>
      </c>
    </row>
    <row r="5">
      <c r="A5" t="inlineStr">
        <is>
          <t>Antioquia</t>
        </is>
      </c>
      <c r="B5" s="3" t="n">
        <v>1037</v>
      </c>
      <c r="C5" s="4">
        <f>B5/$B$17</f>
        <v/>
      </c>
      <c r="D5" s="4">
        <f>SUM($B$5:B5)/$B$17</f>
        <v/>
      </c>
    </row>
    <row r="6">
      <c r="A6" t="inlineStr">
        <is>
          <t>Magdalena</t>
        </is>
      </c>
      <c r="B6" s="3" t="n">
        <v>952</v>
      </c>
      <c r="C6" s="4">
        <f>B6/$B$17</f>
        <v/>
      </c>
      <c r="D6" s="4">
        <f>SUM($B$5:B6)/$B$17</f>
        <v/>
      </c>
    </row>
    <row r="7">
      <c r="A7" t="inlineStr">
        <is>
          <t>Norte de Santander</t>
        </is>
      </c>
      <c r="B7" s="3" t="n">
        <v>529</v>
      </c>
      <c r="C7" s="4">
        <f>B7/$B$17</f>
        <v/>
      </c>
      <c r="D7" s="4">
        <f>SUM($B$5:B7)/$B$17</f>
        <v/>
      </c>
    </row>
    <row r="8">
      <c r="A8" t="inlineStr">
        <is>
          <t>Atlántico</t>
        </is>
      </c>
      <c r="B8" s="3" t="n">
        <v>506</v>
      </c>
      <c r="C8" s="4">
        <f>B8/$B$17</f>
        <v/>
      </c>
      <c r="D8" s="4">
        <f>SUM($B$5:B8)/$B$17</f>
        <v/>
      </c>
    </row>
    <row r="9">
      <c r="A9" t="inlineStr">
        <is>
          <t>Bogotá, D. C.</t>
        </is>
      </c>
      <c r="B9" s="3" t="n">
        <v>436</v>
      </c>
      <c r="C9" s="4">
        <f>B9/$B$17</f>
        <v/>
      </c>
      <c r="D9" s="4">
        <f>SUM($B$5:B9)/$B$17</f>
        <v/>
      </c>
    </row>
    <row r="10">
      <c r="A10" t="inlineStr">
        <is>
          <t>Santander</t>
        </is>
      </c>
      <c r="B10" s="3" t="n">
        <v>429</v>
      </c>
      <c r="C10" s="4">
        <f>B10/$B$17</f>
        <v/>
      </c>
      <c r="D10" s="4">
        <f>SUM($B$5:B10)/$B$17</f>
        <v/>
      </c>
    </row>
    <row r="11">
      <c r="A11" t="inlineStr">
        <is>
          <t>Tolima</t>
        </is>
      </c>
      <c r="B11" s="3" t="n">
        <v>387</v>
      </c>
      <c r="C11" s="4">
        <f>B11/$B$17</f>
        <v/>
      </c>
      <c r="D11" s="4">
        <f>SUM($B$5:B11)/$B$17</f>
        <v/>
      </c>
    </row>
    <row r="12">
      <c r="A12" t="inlineStr">
        <is>
          <t>Valle del Cauca</t>
        </is>
      </c>
      <c r="B12" s="3" t="n">
        <v>383</v>
      </c>
      <c r="C12" s="4">
        <f>B12/$B$17</f>
        <v/>
      </c>
      <c r="D12" s="4">
        <f>SUM($B$5:B12)/$B$17</f>
        <v/>
      </c>
    </row>
    <row r="13">
      <c r="A13" t="inlineStr">
        <is>
          <t>Cundinamarca</t>
        </is>
      </c>
      <c r="B13" s="3" t="n">
        <v>374</v>
      </c>
      <c r="C13" s="4">
        <f>B13/$B$17</f>
        <v/>
      </c>
      <c r="D13" s="4">
        <f>SUM($B$5:B13)/$B$17</f>
        <v/>
      </c>
    </row>
    <row r="14">
      <c r="A14" t="inlineStr">
        <is>
          <t>Huila</t>
        </is>
      </c>
      <c r="B14" s="3" t="n">
        <v>312</v>
      </c>
      <c r="C14" s="4">
        <f>B14/$B$17</f>
        <v/>
      </c>
      <c r="D14" s="4">
        <f>SUM($B$5:B14)/$B$17</f>
        <v/>
      </c>
    </row>
    <row r="15">
      <c r="A15" t="inlineStr">
        <is>
          <t>Otros territorios</t>
        </is>
      </c>
      <c r="B15" s="3">
        <f>B17-SUM(B5:B14)</f>
        <v/>
      </c>
      <c r="C15" s="4">
        <f>B15/$B$17</f>
        <v/>
      </c>
    </row>
    <row r="17">
      <c r="A17" s="5" t="inlineStr">
        <is>
          <t>Total nacional (preliminar)</t>
        </is>
      </c>
      <c r="B17" s="6" t="n">
        <v>8059</v>
      </c>
    </row>
    <row r="19">
      <c r="A19" t="inlineStr">
        <is>
          <t>Diez territorios concentran</t>
        </is>
      </c>
      <c r="B19" s="4">
        <f>SUM(B5:B14)/B17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10" customWidth="1" min="5" max="5"/>
    <col width="24" customWidth="1" min="6" max="6"/>
    <col width="16" customWidth="1" min="7" max="7"/>
    <col width="16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MI BÚSQUEDA: pega aquí lo que encuentres en la OPEC (SIMO) para los empleos que cumplen TU perfil</t>
        </is>
      </c>
    </row>
    <row r="2">
      <c r="A2" t="inlineStr">
        <is>
          <t>La inscripción es a un solo empleo por proceso: esta hoja te ayuda a comparar con criterios tuyos, no a predecir resultados.</t>
        </is>
      </c>
    </row>
    <row r="4" ht="62" customHeight="1">
      <c r="A4" s="7" t="inlineStr">
        <is>
          <t>Código del empleo (OPEC)</t>
        </is>
      </c>
      <c r="B4" s="7" t="inlineStr">
        <is>
          <t>Entidad territorial</t>
        </is>
      </c>
      <c r="C4" s="7" t="inlineStr">
        <is>
          <t>Municipio / zona</t>
        </is>
      </c>
      <c r="D4" s="7" t="inlineStr">
        <is>
          <t>Área o nivel</t>
        </is>
      </c>
      <c r="E4" s="7" t="inlineStr">
        <is>
          <t>Vacantes</t>
        </is>
      </c>
      <c r="F4" s="7" t="inlineStr">
        <is>
          <t>Cumplo requisitos (verificado en el documento oficial)</t>
        </is>
      </c>
      <c r="G4" s="7" t="inlineStr">
        <is>
          <t>Arraigo o disposición a vivir allí (1-3)</t>
        </is>
      </c>
      <c r="H4" s="7" t="inlineStr">
        <is>
          <t>Costo y logística (1 = alto, 3 = bajo)</t>
        </is>
      </c>
      <c r="I4" s="7" t="inlineStr">
        <is>
          <t>Interés profesional (1-3)</t>
        </is>
      </c>
      <c r="J4" s="7" t="inlineStr">
        <is>
          <t>Puntaje de prioridad</t>
        </is>
      </c>
      <c r="K4" s="7" t="inlineStr">
        <is>
          <t>Notas</t>
        </is>
      </c>
    </row>
    <row r="5">
      <c r="A5" s="8" t="inlineStr">
        <is>
          <t>(ejemplo) 000001</t>
        </is>
      </c>
      <c r="B5" s="8" t="inlineStr">
        <is>
          <t>Entidad A</t>
        </is>
      </c>
      <c r="C5" s="8" t="inlineStr">
        <is>
          <t>Municipio X (rural)</t>
        </is>
      </c>
      <c r="D5" s="8" t="inlineStr">
        <is>
          <t>Primaria</t>
        </is>
      </c>
      <c r="E5" s="8" t="n">
        <v>3</v>
      </c>
      <c r="F5" s="8" t="inlineStr">
        <is>
          <t>Sí</t>
        </is>
      </c>
      <c r="G5" s="8" t="n">
        <v>3</v>
      </c>
      <c r="H5" s="8" t="n">
        <v>2</v>
      </c>
      <c r="I5" s="8" t="n">
        <v>3</v>
      </c>
      <c r="J5">
        <f>IF(F5="No",0,IF(F5="","",G5+H5+I5))</f>
        <v/>
      </c>
    </row>
    <row r="6">
      <c r="A6" s="8" t="inlineStr">
        <is>
          <t>(ejemplo) 000002</t>
        </is>
      </c>
      <c r="B6" s="8" t="inlineStr">
        <is>
          <t>Entidad B</t>
        </is>
      </c>
      <c r="C6" s="8" t="inlineStr">
        <is>
          <t>Ciudad Y (urbana)</t>
        </is>
      </c>
      <c r="D6" s="8" t="inlineStr">
        <is>
          <t>Primaria</t>
        </is>
      </c>
      <c r="E6" s="8" t="n">
        <v>12</v>
      </c>
      <c r="F6" s="8" t="inlineStr">
        <is>
          <t>Sí</t>
        </is>
      </c>
      <c r="G6" s="8" t="n">
        <v>1</v>
      </c>
      <c r="H6" s="8" t="n">
        <v>3</v>
      </c>
      <c r="I6" s="8" t="n">
        <v>2</v>
      </c>
      <c r="J6">
        <f>IF(F6="No",0,IF(F6="","",G6+H6+I6))</f>
        <v/>
      </c>
    </row>
    <row r="7">
      <c r="A7" s="8" t="inlineStr">
        <is>
          <t>(ejemplo) 000003</t>
        </is>
      </c>
      <c r="B7" s="8" t="inlineStr">
        <is>
          <t>Entidad C</t>
        </is>
      </c>
      <c r="C7" s="8" t="inlineStr">
        <is>
          <t>Municipio Z (rural)</t>
        </is>
      </c>
      <c r="D7" s="8" t="inlineStr">
        <is>
          <t>Matemáticas</t>
        </is>
      </c>
      <c r="E7" s="8" t="n">
        <v>2</v>
      </c>
      <c r="F7" s="8" t="inlineStr">
        <is>
          <t>No</t>
        </is>
      </c>
      <c r="G7" s="8" t="n">
        <v>3</v>
      </c>
      <c r="H7" s="8" t="n">
        <v>2</v>
      </c>
      <c r="I7" s="8" t="n">
        <v>3</v>
      </c>
      <c r="J7">
        <f>IF(F7="No",0,IF(F7="","",G7+H7+I7))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>
        <f>IF(F8="No",0,IF(F8="","",G8+H8+I8))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>
        <f>IF(F9="No",0,IF(F9="","",G9+H9+I9))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>
        <f>IF(F10="No",0,IF(F10="","",G10+H10+I10))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>
        <f>IF(F11="No",0,IF(F11="","",G11+H11+I11))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>
        <f>IF(F12="No",0,IF(F12="","",G12+H12+I12))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>
        <f>IF(F13="No",0,IF(F13="","",G13+H13+I13))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>
        <f>IF(F14="No",0,IF(F14="","",G14+H14+I14))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>
        <f>IF(F15="No",0,IF(F15="","",G15+H15+I15))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>
        <f>IF(F16="No",0,IF(F16="","",G16+H16+I16))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>
        <f>IF(F17="No",0,IF(F17="","",G17+H17+I17))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>
        <f>IF(F18="No",0,IF(F18="","",G18+H18+I18))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>
        <f>IF(F19="No",0,IF(F19="","",G19+H19+I19))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>
        <f>IF(F20="No",0,IF(F20="","",G20+H20+I20))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>
        <f>IF(F21="No",0,IF(F21="","",G21+H21+I21))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>
        <f>IF(F22="No",0,IF(F22="","",G22+H22+I22))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>
        <f>IF(F23="No",0,IF(F23="","",G23+H23+I23))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>
        <f>IF(F24="No",0,IF(F24="","",G24+H24+I24))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>
        <f>IF(F25="No",0,IF(F25="","",G25+H25+I25))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>
        <f>IF(F26="No",0,IF(F26="","",G26+H26+I26))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>
        <f>IF(F27="No",0,IF(F27="","",G27+H27+I27))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>
        <f>IF(F28="No",0,IF(F28="","",G28+H28+I28))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>
        <f>IF(F29="No",0,IF(F29="","",G29+H29+I29))</f>
        <v/>
      </c>
    </row>
    <row r="31" ht="44" customHeight="1">
      <c r="A31" s="9" t="inlineStr">
        <is>
          <t>Regla: si no cumples los requisitos del documento oficial, el puntaje es 0 (la verificación de requisitos mínimos elimina aunque tengas un gran puntaje). Las vacantes NO suman al puntaje a propósito: más vacantes no significa más probabilidad.</t>
        </is>
      </c>
    </row>
  </sheetData>
  <mergeCells count="1">
    <mergeCell ref="A31:K31"/>
  </mergeCells>
  <dataValidations count="2">
    <dataValidation sqref="F5:F29" showDropDown="0" showInputMessage="0" showErrorMessage="0" allowBlank="0" type="list">
      <formula1>"Sí,No"</formula1>
    </dataValidation>
    <dataValidation sqref="G5:I29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20" customWidth="1" min="4" max="4"/>
  </cols>
  <sheetData>
    <row r="1">
      <c r="A1" s="1" t="inlineStr">
        <is>
          <t>ESCENARIOS: por qué las vacantes solas no dicen nada (cifras inventadas para ilustrar)</t>
        </is>
      </c>
    </row>
    <row r="2">
      <c r="A2" t="inlineStr">
        <is>
          <t>Aspirantes por vacante = aspirantes que podrían competir por ese empleo / vacantes. No es una probabilidad: depende de los puntajes, de quiénes pasen cada etapa y de las reglas definitivas.</t>
        </is>
      </c>
    </row>
    <row r="4" ht="44" customHeight="1">
      <c r="A4" s="2" t="inlineStr">
        <is>
          <t>Escenario</t>
        </is>
      </c>
      <c r="B4" s="2" t="inlineStr">
        <is>
          <t>Vacantes del empleo</t>
        </is>
      </c>
      <c r="C4" s="2" t="inlineStr">
        <is>
          <t>Aspirantes que podrían competir (supuesto)</t>
        </is>
      </c>
      <c r="D4" s="2" t="inlineStr">
        <is>
          <t>Aspirantes por vacante</t>
        </is>
      </c>
    </row>
    <row r="5">
      <c r="A5" t="inlineStr">
        <is>
          <t>Muchas vacantes, mucha competencia</t>
        </is>
      </c>
      <c r="B5" t="n">
        <v>40</v>
      </c>
      <c r="C5" s="8" t="n">
        <v>2400</v>
      </c>
      <c r="D5" s="10">
        <f>C5/B5</f>
        <v/>
      </c>
    </row>
    <row r="6">
      <c r="A6" t="inlineStr">
        <is>
          <t>Pocas vacantes, poca competencia</t>
        </is>
      </c>
      <c r="B6" t="n">
        <v>3</v>
      </c>
      <c r="C6" s="8" t="n">
        <v>45</v>
      </c>
      <c r="D6" s="10">
        <f>C6/B6</f>
        <v/>
      </c>
    </row>
    <row r="7">
      <c r="A7" t="inlineStr">
        <is>
          <t>Pocas vacantes, mucha competencia</t>
        </is>
      </c>
      <c r="B7" t="n">
        <v>3</v>
      </c>
      <c r="C7" s="8" t="n">
        <v>600</v>
      </c>
      <c r="D7" s="10">
        <f>C7/B7</f>
        <v/>
      </c>
    </row>
    <row r="8">
      <c r="A8" t="inlineStr">
        <is>
          <t>Muchas vacantes, poca competencia</t>
        </is>
      </c>
      <c r="B8" t="n">
        <v>40</v>
      </c>
      <c r="C8" s="8" t="n">
        <v>200</v>
      </c>
      <c r="D8" s="10">
        <f>C8/B8</f>
        <v/>
      </c>
    </row>
    <row r="10">
      <c r="A10" t="inlineStr">
        <is>
          <t>Tu escenario</t>
        </is>
      </c>
      <c r="B10" s="8" t="n"/>
      <c r="C10" s="8" t="n"/>
      <c r="D10" s="10">
        <f>IF(OR(B10="",C10=""),"",C10/B10)</f>
        <v/>
      </c>
    </row>
    <row r="12">
      <c r="A12" t="inlineStr">
        <is>
          <t>Lectura: dos empleos con 3 vacantes pueden tener 15 o 200 aspirantes por vacante. Por eso la cantidad de vacantes de un territorio no sirve para estimar tus posibilidades.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QUÉ SE PUEDE Y QUÉ NO SE PUEDE DEDUCIR DE LAS VACANTES</t>
        </is>
      </c>
    </row>
    <row r="3">
      <c r="A3" s="11" t="inlineStr">
        <is>
          <t>Se puede deducir</t>
        </is>
      </c>
      <c r="B3" s="11" t="inlineStr">
        <is>
          <t>NO se puede deducir</t>
        </is>
      </c>
    </row>
    <row r="4">
      <c r="A4" s="9" t="inlineStr">
        <is>
          <t>Dónde hay más oferta de empleos y áreas (según la OPEC consultada).</t>
        </is>
      </c>
      <c r="B4" s="9" t="inlineStr">
        <is>
          <t>Que ahí tengas más probabilidad de ser nombrado.</t>
        </is>
      </c>
    </row>
    <row r="5">
      <c r="A5" s="9" t="inlineStr">
        <is>
          <t>Qué entidades concentran la demanda de tu área en este momento.</t>
        </is>
      </c>
      <c r="B5" s="9" t="inlineStr">
        <is>
          <t>Cuántos aspirantes se inscribirán a cada empleo.</t>
        </is>
      </c>
    </row>
    <row r="6">
      <c r="A6" s="9" t="inlineStr">
        <is>
          <t>Qué empleos exigen requisitos que sí cumples (leyendo el documento oficial).</t>
        </is>
      </c>
      <c r="B6" s="9" t="inlineStr">
        <is>
          <t>Que cumplir el requisito te asegure pasar la prueba de aptitud.</t>
        </is>
      </c>
    </row>
    <row r="7">
      <c r="A7" s="9" t="inlineStr">
        <is>
          <t>Que la cifra puede cambiar: la OPEC preliminar es un borrador.</t>
        </is>
      </c>
      <c r="B7" s="9" t="inlineStr">
        <is>
          <t>Que el número publicado en un medio sea la oferta definitiva.</t>
        </is>
      </c>
    </row>
    <row r="8">
      <c r="A8" s="9" t="inlineStr">
        <is>
          <t>Si un empleo es rural o urbano y qué implica en logística.</t>
        </is>
      </c>
      <c r="B8" s="9" t="inlineStr">
        <is>
          <t>Que un empleo rural tenga menos competencia: hay que verificarlo.</t>
        </is>
      </c>
    </row>
    <row r="9">
      <c r="A9" s="9" t="inlineStr">
        <is>
          <t>Cuántas vacantes se reservan por norma (por ejemplo, el 7 % para discapacidad, según el proyecto de anexo).</t>
        </is>
      </c>
      <c r="B9" s="9" t="inlineStr">
        <is>
          <t>Que una vacante reservada sea más fácil o más difícil sin leer las reglas del proceso.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2026-10-10T01:09:03Z</dcterms:created>
  <dcterms:modified xmlns:dcterms="http://purl.org/dc/terms/" xmlns:xsi="http://www.w3.org/2001/XMLSchema-instance" xsi:type="dcterms:W3CDTF">2026-10-10T01:09:03Z</dcterms:modified>
</cp:coreProperties>
</file>