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pa" sheetId="1" state="visible" r:id="rId1"/>
    <sheet xmlns:r="http://schemas.openxmlformats.org/officeDocument/2006/relationships" name="Matriz_aula" sheetId="2" state="visible" r:id="rId2"/>
    <sheet xmlns:r="http://schemas.openxmlformats.org/officeDocument/2006/relationships" name="Tarjetas"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2"/>
    </font>
    <font>
      <b val="1"/>
      <color rgb="00FFFFFF"/>
    </font>
    <font>
      <b val="1"/>
    </font>
  </fonts>
  <fills count="4">
    <fill>
      <patternFill/>
    </fill>
    <fill>
      <patternFill patternType="gray125"/>
    </fill>
    <fill>
      <patternFill patternType="solid">
        <fgColor rgb="001B4B6B"/>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center" wrapText="1"/>
    </xf>
    <xf numFmtId="0" fontId="0" fillId="3"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cols>
    <col width="10" customWidth="1" min="1" max="1"/>
    <col width="22" customWidth="1" min="2" max="2"/>
    <col width="90" customWidth="1" min="3" max="3"/>
    <col width="24" customWidth="1" min="4" max="4"/>
    <col width="56" customWidth="1" min="5" max="5"/>
    <col width="26" customWidth="1" min="6" max="6"/>
  </cols>
  <sheetData>
    <row r="1">
      <c r="A1" s="1" t="inlineStr">
        <is>
          <t>CONSTITUCIÓN POLÍTICA DE COLOMBIA: ARTÍCULOS 13, 44 Y 67 (resumen propio; verifica el texto en una fuente oficial)</t>
        </is>
      </c>
    </row>
    <row r="2" ht="36" customHeight="1">
      <c r="A2" s="2" t="inlineStr">
        <is>
          <t>Verificado el 10 de octubre de 2026. El texto de la Constitución se consulta en fuentes oficiales (Corte Constitucional, Senado de la República, Presidencia). Los artículos pueden reformarse por acto legislativo: confirma la versión vigente.</t>
        </is>
      </c>
    </row>
    <row r="4">
      <c r="A4" s="3" t="inlineStr">
        <is>
          <t>Artículo</t>
        </is>
      </c>
      <c r="B4" s="3" t="inlineStr">
        <is>
          <t>Tema</t>
        </is>
      </c>
      <c r="C4" s="3" t="inlineStr">
        <is>
          <t>Idea central (resumen propio)</t>
        </is>
      </c>
      <c r="D4" s="3" t="inlineStr">
        <is>
          <t>Quién está obligado</t>
        </is>
      </c>
      <c r="E4" s="3" t="inlineStr">
        <is>
          <t>Qué significa para un docente</t>
        </is>
      </c>
      <c r="F4" s="3" t="inlineStr">
        <is>
          <t>Mi nota</t>
        </is>
      </c>
    </row>
    <row r="5">
      <c r="A5" s="2" t="inlineStr">
        <is>
          <t>13</t>
        </is>
      </c>
      <c r="B5" s="2" t="inlineStr">
        <is>
          <t>Igualdad</t>
        </is>
      </c>
      <c r="C5" s="2" t="inlineStr">
        <is>
          <t>Todas las personas nacen libres e iguales ante la ley y reciben la misma protección, trato, derechos, libertades y oportunidades, sin discriminación por sexo, raza, origen, lengua, religión u opinión. El Estado promueve condiciones para que la igualdad sea real y efectiva, adopta medidas en favor de grupos discriminados o marginados y protege a quienes se encuentran en debilidad manifiesta por su condición económica, física o mental.</t>
        </is>
      </c>
      <c r="D5" s="2" t="inlineStr">
        <is>
          <t>El Estado</t>
        </is>
      </c>
      <c r="E5" s="2" t="inlineStr">
        <is>
          <t>Tratar igual no es tratar idéntico: ajustar para que cada estudiante pueda participar. No discriminar y proteger especialmente a quien está en desventaja.</t>
        </is>
      </c>
      <c r="F5" s="4" t="n"/>
    </row>
    <row r="6">
      <c r="A6" s="2" t="inlineStr">
        <is>
          <t>44</t>
        </is>
      </c>
      <c r="B6" s="2" t="inlineStr">
        <is>
          <t>Derechos de los niños</t>
        </is>
      </c>
      <c r="C6" s="2" t="inlineStr">
        <is>
          <t>Enumera derechos fundamentales de los niños (vida, integridad, salud, alimentación, nombre, familia, cuidado y amor, educación y cultura, recreación y libre expresión de su opinión); los protege contra abandono, violencia física o moral, abuso sexual, explotación y trabajos riesgosos; la familia, la sociedad y el Estado deben asistirlos y protegerlos; cualquier persona puede exigir su cumplimiento; sus derechos prevalecen sobre los de los demás.</t>
        </is>
      </c>
      <c r="D6" s="2" t="inlineStr">
        <is>
          <t>Familia, sociedad y Estado</t>
        </is>
      </c>
      <c r="E6" s="2" t="inlineStr">
        <is>
          <t>Escuchar la opinión del estudiante, proteger frente a la violencia, actuar si se vulneran sus derechos y no esperar a que otro lo haga.</t>
        </is>
      </c>
      <c r="F6" s="4" t="n"/>
    </row>
    <row r="7">
      <c r="A7" s="2" t="inlineStr">
        <is>
          <t>67</t>
        </is>
      </c>
      <c r="B7" s="2" t="inlineStr">
        <is>
          <t>Educación</t>
        </is>
      </c>
      <c r="C7" s="2" t="inlineStr">
        <is>
          <t>La educación es un derecho de la persona y un servicio público con función social; busca el acceso al conocimiento, la ciencia, la técnica y los bienes de la cultura; forma en el respeto a los derechos humanos, la paz y la democracia; es responsabilidad del Estado, la sociedad y la familia; es obligatoria entre los cinco y los quince años (mínimo un año de preescolar y nueve de básica) y gratuita en las instituciones del Estado, sin perjuicio del cobro de derechos académicos a quienes puedan sufragarlos; el Estado la regula e inspecciona, garantiza la cobertura y las condiciones de acceso y permanencia de los menores.</t>
        </is>
      </c>
      <c r="D7" s="2" t="inlineStr">
        <is>
          <t>Estado, sociedad y familia</t>
        </is>
      </c>
      <c r="E7" s="2" t="inlineStr">
        <is>
          <t>Garantizar acceso y permanencia, enseñar con calidad y formar en derechos humanos, paz y democracia.</t>
        </is>
      </c>
      <c r="F7" s="4"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52" customWidth="1" min="1" max="1"/>
    <col width="9" customWidth="1" min="2" max="2"/>
    <col width="9" customWidth="1" min="3" max="3"/>
    <col width="9" customWidth="1" min="4" max="4"/>
    <col width="22" customWidth="1" min="5" max="5"/>
    <col width="70" customWidth="1" min="6" max="6"/>
  </cols>
  <sheetData>
    <row r="1">
      <c r="A1" s="1" t="inlineStr">
        <is>
          <t>DEL ARTÍCULO AL AULA: ¿QUÉ ARTÍCULOS ESTÁN EN JUEGO EN UNA DECISIÓN COTIDIANA? (1 = sí; ejercicio propio)</t>
        </is>
      </c>
    </row>
    <row r="3">
      <c r="A3" s="3" t="inlineStr">
        <is>
          <t>Decisión cotidiana</t>
        </is>
      </c>
      <c r="B3" s="3" t="inlineStr">
        <is>
          <t>Art. 13</t>
        </is>
      </c>
      <c r="C3" s="3" t="inlineStr">
        <is>
          <t>Art. 44</t>
        </is>
      </c>
      <c r="D3" s="3" t="inlineStr">
        <is>
          <t>Art. 67</t>
        </is>
      </c>
      <c r="E3" s="3" t="inlineStr">
        <is>
          <t>Artículos implicados</t>
        </is>
      </c>
      <c r="F3" s="3" t="inlineStr">
        <is>
          <t>Pregunta de control</t>
        </is>
      </c>
    </row>
    <row r="4">
      <c r="A4" s="2" t="inlineStr">
        <is>
          <t>Admitir a un estudiante con discapacidad</t>
        </is>
      </c>
      <c r="B4" s="4" t="n">
        <v>1</v>
      </c>
      <c r="C4" s="4" t="n">
        <v>1</v>
      </c>
      <c r="D4" s="4" t="n">
        <v>1</v>
      </c>
      <c r="E4">
        <f>TRIM(IF(B4=1,"13 ","")&amp;IF(C4=1,"44 ","")&amp;IF(D4=1,"67",""))</f>
        <v/>
      </c>
      <c r="F4" s="2" t="inlineStr">
        <is>
          <t>¿Qué ajustes razonables necesita para participar?</t>
        </is>
      </c>
    </row>
    <row r="5">
      <c r="A5" s="2" t="inlineStr">
        <is>
          <t>Establecer cobros a las familias</t>
        </is>
      </c>
      <c r="B5" s="4" t="n">
        <v>0</v>
      </c>
      <c r="C5" s="4" t="n">
        <v>0</v>
      </c>
      <c r="D5" s="4" t="n">
        <v>1</v>
      </c>
      <c r="E5">
        <f>TRIM(IF(B5=1,"13 ","")&amp;IF(C5=1,"44 ","")&amp;IF(D5=1,"67",""))</f>
        <v/>
      </c>
      <c r="F5" s="2" t="inlineStr">
        <is>
          <t>¿Es un cobro permitido para esta institución y no condiciona el acceso?</t>
        </is>
      </c>
    </row>
    <row r="6">
      <c r="A6" s="2" t="inlineStr">
        <is>
          <t>Responder a una situación de violencia entre estudiantes</t>
        </is>
      </c>
      <c r="B6" s="4" t="n">
        <v>0</v>
      </c>
      <c r="C6" s="4" t="n">
        <v>1</v>
      </c>
      <c r="D6" s="4" t="n">
        <v>0</v>
      </c>
      <c r="E6">
        <f>TRIM(IF(B6=1,"13 ","")&amp;IF(C6=1,"44 ","")&amp;IF(D6=1,"67",""))</f>
        <v/>
      </c>
      <c r="F6" s="2" t="inlineStr">
        <is>
          <t>¿Estoy protegiendo a la persona afectada y activando la ruta?</t>
        </is>
      </c>
    </row>
    <row r="7">
      <c r="A7" s="2" t="inlineStr">
        <is>
          <t>Qué hacer con un estudiante que falta mucho</t>
        </is>
      </c>
      <c r="B7" s="4" t="n">
        <v>0</v>
      </c>
      <c r="C7" s="4" t="n">
        <v>1</v>
      </c>
      <c r="D7" s="4" t="n">
        <v>1</v>
      </c>
      <c r="E7">
        <f>TRIM(IF(B7=1,"13 ","")&amp;IF(C7=1,"44 ","")&amp;IF(D7=1,"67",""))</f>
        <v/>
      </c>
      <c r="F7" s="2" t="inlineStr">
        <is>
          <t>¿Qué barrera le impide asistir y cómo la resolvemos?</t>
        </is>
      </c>
    </row>
    <row r="8">
      <c r="A8" s="2" t="inlineStr">
        <is>
          <t>Adaptar una evaluación</t>
        </is>
      </c>
      <c r="B8" s="4" t="n">
        <v>1</v>
      </c>
      <c r="C8" s="4" t="n">
        <v>0</v>
      </c>
      <c r="D8" s="4" t="n">
        <v>1</v>
      </c>
      <c r="E8">
        <f>TRIM(IF(B8=1,"13 ","")&amp;IF(C8=1,"44 ","")&amp;IF(D8=1,"67",""))</f>
        <v/>
      </c>
      <c r="F8" s="2" t="inlineStr">
        <is>
          <t>¿La adaptación garantiza igualdad real de oportunidades?</t>
        </is>
      </c>
    </row>
    <row r="9">
      <c r="A9" s="2" t="inlineStr">
        <is>
          <t>Sancionar a un estudiante</t>
        </is>
      </c>
      <c r="B9" s="4" t="n">
        <v>1</v>
      </c>
      <c r="C9" s="4" t="n">
        <v>1</v>
      </c>
      <c r="D9" s="4" t="n">
        <v>0</v>
      </c>
      <c r="E9">
        <f>TRIM(IF(B9=1,"13 ","")&amp;IF(C9=1,"44 ","")&amp;IF(D9=1,"67",""))</f>
        <v/>
      </c>
      <c r="F9" s="2" t="inlineStr">
        <is>
          <t>¿La medida es proporcional, respeta su dignidad y su derecho a ser oído?</t>
        </is>
      </c>
    </row>
    <row r="10">
      <c r="A10" s="2" t="inlineStr">
        <is>
          <t>Atender a un estudiante migrante sin documentos</t>
        </is>
      </c>
      <c r="B10" s="4" t="n">
        <v>1</v>
      </c>
      <c r="C10" s="4" t="n">
        <v>1</v>
      </c>
      <c r="D10" s="4" t="n">
        <v>1</v>
      </c>
      <c r="E10">
        <f>TRIM(IF(B10=1,"13 ","")&amp;IF(C10=1,"44 ","")&amp;IF(D10=1,"67",""))</f>
        <v/>
      </c>
      <c r="F10" s="2" t="inlineStr">
        <is>
          <t>¿Estoy garantizando su acceso y permanencia sin discriminación?</t>
        </is>
      </c>
    </row>
    <row r="11">
      <c r="A11" s="2" t="inlineStr">
        <is>
          <t>Elegir estudiantes para un evento</t>
        </is>
      </c>
      <c r="B11" s="4" t="n">
        <v>1</v>
      </c>
      <c r="C11" s="4" t="n">
        <v>0</v>
      </c>
      <c r="D11" s="4" t="n">
        <v>0</v>
      </c>
      <c r="E11">
        <f>TRIM(IF(B11=1,"13 ","")&amp;IF(C11=1,"44 ","")&amp;IF(D11=1,"67",""))</f>
        <v/>
      </c>
      <c r="F11" s="2" t="inlineStr">
        <is>
          <t>¿El criterio es justo y no discrimina?</t>
        </is>
      </c>
    </row>
    <row r="12">
      <c r="A12" s="2" t="inlineStr">
        <is>
          <t>Informar a la familia de un riesgo</t>
        </is>
      </c>
      <c r="B12" s="4" t="n">
        <v>0</v>
      </c>
      <c r="C12" s="4" t="n">
        <v>1</v>
      </c>
      <c r="D12" s="4" t="n">
        <v>0</v>
      </c>
      <c r="E12">
        <f>TRIM(IF(B12=1,"13 ","")&amp;IF(C12=1,"44 ","")&amp;IF(D12=1,"67",""))</f>
        <v/>
      </c>
      <c r="F12" s="2" t="inlineStr">
        <is>
          <t>¿Cumplo mi deber de asistir y proteger al niño?</t>
        </is>
      </c>
    </row>
    <row r="13">
      <c r="A13" s="2" t="inlineStr">
        <is>
          <t>Planear una clase de convivencia</t>
        </is>
      </c>
      <c r="B13" s="4" t="n">
        <v>0</v>
      </c>
      <c r="C13" s="4" t="n">
        <v>0</v>
      </c>
      <c r="D13" s="4" t="n">
        <v>1</v>
      </c>
      <c r="E13">
        <f>TRIM(IF(B13=1,"13 ","")&amp;IF(C13=1,"44 ","")&amp;IF(D13=1,"67",""))</f>
        <v/>
      </c>
      <c r="F13" s="2" t="inlineStr">
        <is>
          <t>¿Formo en derechos humanos, paz y democracia?</t>
        </is>
      </c>
    </row>
    <row r="15">
      <c r="A15" s="5" t="inlineStr">
        <is>
          <t>Decisiones donde interviene cada artículo</t>
        </is>
      </c>
      <c r="B15">
        <f>SUM(B4:B13)</f>
        <v/>
      </c>
      <c r="C15">
        <f>SUM(C4:C13)</f>
        <v/>
      </c>
      <c r="D15">
        <f>SUM(D4:D13)</f>
        <v/>
      </c>
    </row>
    <row r="16">
      <c r="A16" t="inlineStr">
        <is>
          <t>Decisiones con los tres artículos</t>
        </is>
      </c>
      <c r="B16">
        <f>COUNTIFS(B4:B13,1,C4:C13,1,D4:D13,1)</f>
        <v/>
      </c>
    </row>
  </sheetData>
  <dataValidations count="1">
    <dataValidation sqref="B4:D13" showDropDown="0" showInputMessage="0" showErrorMessage="0" allowBlank="0" type="whole" operator="between">
      <formula1>0</formula1>
      <formula2>1</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cols>
    <col width="70" customWidth="1" min="1" max="1"/>
    <col width="100" customWidth="1" min="2" max="2"/>
    <col width="18" customWidth="1" min="3" max="3"/>
  </cols>
  <sheetData>
    <row r="1">
      <c r="A1" s="1" t="inlineStr">
        <is>
          <t>TARJETAS DE ESTUDIO (respuestas de resumen propio; contrasta con el texto)</t>
        </is>
      </c>
    </row>
    <row r="3">
      <c r="A3" s="3" t="inlineStr">
        <is>
          <t>Pregunta</t>
        </is>
      </c>
      <c r="B3" s="3" t="inlineStr">
        <is>
          <t>Respuesta</t>
        </is>
      </c>
      <c r="C3" s="3" t="inlineStr">
        <is>
          <t>¿Dominada? (Sí/No)</t>
        </is>
      </c>
    </row>
    <row r="4">
      <c r="A4" s="2" t="inlineStr">
        <is>
          <t>¿Qué dice el art. 13 sobre la igualdad real y efectiva?</t>
        </is>
      </c>
      <c r="B4" s="2" t="inlineStr">
        <is>
          <t>El Estado promoverá las condiciones para que sea real y efectiva y adoptará medidas en favor de grupos discriminados o marginados</t>
        </is>
      </c>
      <c r="C4" s="4" t="inlineStr">
        <is>
          <t>No</t>
        </is>
      </c>
    </row>
    <row r="5">
      <c r="A5" s="2" t="inlineStr">
        <is>
          <t>¿A quién protege especialmente el art. 13?</t>
        </is>
      </c>
      <c r="B5" s="2" t="inlineStr">
        <is>
          <t>A quienes por su condición económica, física o mental se encuentren en circunstancia de debilidad manifiesta</t>
        </is>
      </c>
      <c r="C5" s="4" t="inlineStr">
        <is>
          <t>No</t>
        </is>
      </c>
    </row>
    <row r="6">
      <c r="A6" s="2" t="inlineStr">
        <is>
          <t>¿Qué prevalece según el art. 44?</t>
        </is>
      </c>
      <c r="B6" s="2" t="inlineStr">
        <is>
          <t>Los derechos de los niños prevalecen sobre los derechos de los demás</t>
        </is>
      </c>
      <c r="C6" s="4" t="inlineStr">
        <is>
          <t>No</t>
        </is>
      </c>
    </row>
    <row r="7">
      <c r="A7" s="2" t="inlineStr">
        <is>
          <t>¿Quiénes deben asistir y proteger al niño según el art. 44?</t>
        </is>
      </c>
      <c r="B7" s="2" t="inlineStr">
        <is>
          <t>La familia, la sociedad y el Estado</t>
        </is>
      </c>
      <c r="C7" s="4" t="inlineStr">
        <is>
          <t>No</t>
        </is>
      </c>
    </row>
    <row r="8">
      <c r="A8" s="2" t="inlineStr">
        <is>
          <t>¿Quién puede exigir el cumplimiento de los derechos del niño?</t>
        </is>
      </c>
      <c r="B8" s="2" t="inlineStr">
        <is>
          <t>Cualquier persona, ante la autoridad competente</t>
        </is>
      </c>
      <c r="C8" s="4" t="inlineStr">
        <is>
          <t>No</t>
        </is>
      </c>
    </row>
    <row r="9">
      <c r="A9" s="2" t="inlineStr">
        <is>
          <t>¿Cuáles son los derechos fundamentales de los niños? (menciona cinco)</t>
        </is>
      </c>
      <c r="B9" s="2" t="inlineStr">
        <is>
          <t>Vida, integridad física, salud y seguridad social, alimentación equilibrada, nombre y nacionalidad, familia, cuidado y amor, educación y cultura, recreación y libre expresión de su opinión</t>
        </is>
      </c>
      <c r="C9" s="4" t="inlineStr">
        <is>
          <t>No</t>
        </is>
      </c>
    </row>
    <row r="10">
      <c r="A10" s="2" t="inlineStr">
        <is>
          <t>¿Cómo define el art. 67 la educación?</t>
        </is>
      </c>
      <c r="B10" s="2" t="inlineStr">
        <is>
          <t>Un derecho de la persona y un servicio público que tiene una función social</t>
        </is>
      </c>
      <c r="C10" s="4" t="inlineStr">
        <is>
          <t>No</t>
        </is>
      </c>
    </row>
    <row r="11">
      <c r="A11" s="2" t="inlineStr">
        <is>
          <t>¿Entre qué edades es obligatoria la educación?</t>
        </is>
      </c>
      <c r="B11" s="2" t="inlineStr">
        <is>
          <t>Entre los cinco y los quince años, con mínimo un año de preescolar y nueve de básica</t>
        </is>
      </c>
      <c r="C11" s="4" t="inlineStr">
        <is>
          <t>No</t>
        </is>
      </c>
    </row>
    <row r="12">
      <c r="A12" s="2" t="inlineStr">
        <is>
          <t>¿Es gratuita la educación en instituciones del Estado?</t>
        </is>
      </c>
      <c r="B12" s="2" t="inlineStr">
        <is>
          <t>Sí, sin perjuicio del cobro de derechos académicos a quienes puedan sufragarlos</t>
        </is>
      </c>
      <c r="C12" s="4" t="inlineStr">
        <is>
          <t>No</t>
        </is>
      </c>
    </row>
    <row r="13">
      <c r="A13" s="2" t="inlineStr">
        <is>
          <t>¿Qué debe asegurar el Estado a los menores según el art. 67?</t>
        </is>
      </c>
      <c r="B13" s="2" t="inlineStr">
        <is>
          <t>Las condiciones necesarias para su acceso y permanencia en el sistema educativo</t>
        </is>
      </c>
      <c r="C13" s="4" t="inlineStr">
        <is>
          <t>No</t>
        </is>
      </c>
    </row>
    <row r="14">
      <c r="A14" s="2" t="inlineStr">
        <is>
          <t>¿En qué valores debe formar la educación según el art. 67?</t>
        </is>
      </c>
      <c r="B14" s="2" t="inlineStr">
        <is>
          <t>Respeto a los derechos humanos, a la paz y a la democracia</t>
        </is>
      </c>
      <c r="C14" s="4" t="inlineStr">
        <is>
          <t>No</t>
        </is>
      </c>
    </row>
    <row r="15">
      <c r="A15" s="2" t="inlineStr">
        <is>
          <t>¿Quiénes son responsables de la educación?</t>
        </is>
      </c>
      <c r="B15" s="2" t="inlineStr">
        <is>
          <t>El Estado, la sociedad y la familia</t>
        </is>
      </c>
      <c r="C15" s="4" t="inlineStr">
        <is>
          <t>No</t>
        </is>
      </c>
    </row>
    <row r="17">
      <c r="A17" t="inlineStr">
        <is>
          <t>Tarjetas dominadas</t>
        </is>
      </c>
      <c r="C17">
        <f>COUNTIF(C4:C15,"Sí")&amp;" de "&amp;COUNTA(A4:A15)</f>
        <v/>
      </c>
    </row>
  </sheetData>
  <dataValidations count="1">
    <dataValidation sqref="C4:C15" showDropDown="0" showInputMessage="0" showErrorMessage="0" allowBlank="0" type="list">
      <formula1>"Sí,No"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2026-10-10T13:58:24Z</dcterms:created>
  <dcterms:modified xmlns:dcterms="http://purl.org/dc/terms/" xmlns:xsi="http://www.w3.org/2001/XMLSchema-instance" xsi:type="dcterms:W3CDTF">2026-10-10T13:58:24Z</dcterms:modified>
</cp:coreProperties>
</file>