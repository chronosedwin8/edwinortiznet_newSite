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" sheetId="1" state="visible" r:id="rId1"/>
    <sheet xmlns:r="http://schemas.openxmlformats.org/officeDocument/2006/relationships" name="Competencias" sheetId="2" state="visible" r:id="rId2"/>
    <sheet xmlns:r="http://schemas.openxmlformats.org/officeDocument/2006/relationships" name="Contratos" sheetId="3" state="visible" r:id="rId3"/>
    <sheet xmlns:r="http://schemas.openxmlformats.org/officeDocument/2006/relationships" name="Tarje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120" customWidth="1" min="3" max="3"/>
  </cols>
  <sheetData>
    <row r="1">
      <c r="A1" s="1" t="inlineStr">
        <is>
          <t>LEY 715 DE 2001 (SISTEMA GENERAL DE PARTICIPACIONES Y COMPETENCIAS EN EDUCACIÓN): MAPA DE ESTUDIO</t>
        </is>
      </c>
    </row>
    <row r="2" ht="32" customHeight="1">
      <c r="A2" s="2" t="inlineStr">
        <is>
          <t>Resumen propio del texto de la Ley 715 de 2001 publicado por la Secretaría del Senado, consultado el 10 de octubre de 2026. La ley ha sido modificada y algunos apartes fueron declarados inexequibles: verifica siempre el texto vigente y la nota de vigencia de cada numeral.</t>
        </is>
      </c>
    </row>
    <row r="4">
      <c r="A4" s="3" t="inlineStr">
        <is>
          <t>Tema</t>
        </is>
      </c>
      <c r="B4" s="3" t="inlineStr">
        <is>
          <t>Artículo</t>
        </is>
      </c>
      <c r="C4" s="3" t="inlineStr">
        <is>
          <t>Idea central (resumen propio)</t>
        </is>
      </c>
    </row>
    <row r="5">
      <c r="A5" s="2" t="inlineStr">
        <is>
          <t>Competencias de la Nación</t>
        </is>
      </c>
      <c r="B5" s="2" t="inlineStr">
        <is>
          <t>Art. 5</t>
        </is>
      </c>
      <c r="C5" s="2" t="inlineStr">
        <is>
          <t>Formular políticas y dictar normas; regular los servicios estatales y no estatales; normas técnicas curriculares y pedagógicas sin perjuicio de la autonomía de las instituciones; reglamentar los concursos de la carrera docente; regulación de costos y tarifas de matrículas y pensiones; distribuir los recursos del SGP; asignación por alumno; criterios de planta (alumnos por docente, por directivo y por administrativo).</t>
        </is>
      </c>
    </row>
    <row r="6">
      <c r="A6" s="2" t="inlineStr">
        <is>
          <t>Competencias de los departamentos</t>
        </is>
      </c>
      <c r="B6" s="2" t="inlineStr">
        <is>
          <t>Art. 6</t>
        </is>
      </c>
      <c r="C6" s="2" t="inlineStr">
        <is>
          <t>Asistencia técnica; certificar a los municipios que cumplan los requisitos; frente a los municipios no certificados: dirigir, planificar y prestar el servicio, administrar los recursos del SGP, las instituciones y el personal (concursos, nombramientos, ascensos y traslados) y evaluar a rectores y directivos.</t>
        </is>
      </c>
    </row>
    <row r="7">
      <c r="A7" s="2" t="inlineStr">
        <is>
          <t>Distritos y municipios certificados</t>
        </is>
      </c>
      <c r="B7" s="2" t="inlineStr">
        <is>
          <t>Art. 7</t>
        </is>
      </c>
      <c r="C7" s="2" t="inlineStr">
        <is>
          <t>Dirigir, planificar y prestar el servicio; administrar y distribuir los recursos entre sus establecimientos; administrar las instituciones y el personal (concursos, nombramientos, ascensos, traslados); evaluar a rectores y directivos docentes; inspección y vigilancia por delegación; vigilar las tarifas.</t>
        </is>
      </c>
    </row>
    <row r="8">
      <c r="A8" s="2" t="inlineStr">
        <is>
          <t>Municipios no certificados</t>
        </is>
      </c>
      <c r="B8" s="2" t="inlineStr">
        <is>
          <t>Art. 8</t>
        </is>
      </c>
      <c r="C8" s="2" t="inlineStr">
        <is>
          <t>Administrar los recursos para el mantenimiento y mejoramiento de la calidad; trasladar plazas y docentes entre sus instituciones con acto motivado; suministrar información.</t>
        </is>
      </c>
    </row>
    <row r="9">
      <c r="A9" s="2" t="inlineStr">
        <is>
          <t>Instituciones educativas</t>
        </is>
      </c>
      <c r="B9" s="2" t="inlineStr">
        <is>
          <t>Art. 9</t>
        </is>
      </c>
      <c r="C9" s="2" t="inlineStr">
        <is>
          <t>Conjunto de personas y bienes que presta al menos un año de preescolar, nueve de básica y la media; las que no ofrecen todos los grados son centros educativos y se asocian con otras; deben tener licencia de funcionamiento o reconocimiento oficial.</t>
        </is>
      </c>
    </row>
    <row r="10">
      <c r="A10" s="2" t="inlineStr">
        <is>
          <t>Funciones del rector o director</t>
        </is>
      </c>
      <c r="B10" s="2" t="inlineStr">
        <is>
          <t>Art. 10</t>
        </is>
      </c>
      <c r="C10" s="2" t="inlineStr">
        <is>
          <t>Entre otras: dirigir el PEI, presidir el consejo directivo y el consejo académico, formular planes de acción y de mejoramiento, controlar el cumplimiento de funciones, distribuir asignaciones académicas, evaluar anualmente al personal a su cargo, administrar el Fondo de Servicios Educativos, rendir informe al consejo directivo al menos cada seis meses y publicar semestralmente los horarios y la carga docente (num. 10.17).</t>
        </is>
      </c>
    </row>
    <row r="11">
      <c r="A11" s="2" t="inlineStr">
        <is>
          <t>Fondos de Servicios Educativos</t>
        </is>
      </c>
      <c r="B11" s="2" t="inlineStr">
        <is>
          <t>Arts. 11 y 12</t>
        </is>
      </c>
      <c r="C11" s="2" t="inlineStr">
        <is>
          <t>Cuentas de las instituciones estatales para manejar los recursos destinados a gastos distintos a los de personal, que faciliten el funcionamiento; los reglamentos definen qué ingresos, gastos y bienes se manejan allí.</t>
        </is>
      </c>
    </row>
    <row r="12">
      <c r="A12" s="2" t="inlineStr">
        <is>
          <t>Contratación de los Fondos</t>
        </is>
      </c>
      <c r="B12" s="2" t="inlineStr">
        <is>
          <t>Art. 13</t>
        </is>
      </c>
      <c r="C12" s="2" t="inlineStr">
        <is>
          <t>Principios de igualdad, moralidad, imparcialidad y publicidad; los actos y contratos de cuantía superior a 20 salarios mínimos mensuales se rigen por las reglas de la contratación estatal; los inferiores, por los trámites que fije el consejo directivo; el rector celebra los contratos; siempre hay información pública sobre las cuentas.</t>
        </is>
      </c>
    </row>
    <row r="13">
      <c r="A13" s="2" t="inlineStr">
        <is>
          <t>Presupuesto de los Fondos</t>
        </is>
      </c>
      <c r="B13" s="2" t="inlineStr">
        <is>
          <t>Art. 14</t>
        </is>
      </c>
      <c r="C13" s="2" t="inlineStr">
        <is>
          <t>El consejo directivo elabora el presupuesto de ingresos y gastos del Fondo en absoluto equilibrio y no puede aumentar el de ingresos sin autorización del distrito o municipio.</t>
        </is>
      </c>
    </row>
    <row r="14">
      <c r="A14" s="2" t="inlineStr">
        <is>
          <t>Destinación del SGP en educación</t>
        </is>
      </c>
      <c r="B14" s="2" t="inlineStr">
        <is>
          <t>Art. 15</t>
        </is>
      </c>
      <c r="C14" s="2" t="inlineStr">
        <is>
          <t>Pago del personal docente y administrativo, infraestructura, mantenimiento, servicios públicos y funcionamiento, canasta educativa, y calidad; después de cubrir los costos, transporte escolar donde las condiciones geográficas lo requieran.</t>
        </is>
      </c>
    </row>
    <row r="15">
      <c r="A15" s="2" t="inlineStr">
        <is>
          <t>Entidades territoriales certificadas</t>
        </is>
      </c>
      <c r="B15" s="2" t="inlineStr">
        <is>
          <t>Art. 20</t>
        </is>
      </c>
      <c r="C15" s="2" t="inlineStr">
        <is>
          <t>Departamentos y distritos; municipios con más de 100.000 habitantes; los menores pueden certificarse si cumplen los requisitos de capacidad técnica, administrativa y financiera; pueden perder la certificación.</t>
        </is>
      </c>
    </row>
    <row r="16">
      <c r="A16" s="2" t="inlineStr">
        <is>
          <t>Prestación del servicio</t>
        </is>
      </c>
      <c r="B16" s="2" t="inlineStr">
        <is>
          <t>Art. 27 (mod. Ley 1294 de 2009)</t>
        </is>
      </c>
      <c r="C16" s="2" t="inlineStr">
        <is>
          <t>Se presta a través del sistema educativo oficial; solo donde se demuestre insuficiencia se contrata con entidades sin ánimo de lucro o particulares de reconocida trayectoria, con un valor que no supere la asignación por estudiante.</t>
        </is>
      </c>
    </row>
    <row r="17">
      <c r="A17" s="2" t="inlineStr">
        <is>
          <t>Prioridad en la inversión</t>
        </is>
      </c>
      <c r="B17" s="2" t="inlineStr">
        <is>
          <t>Art. 28</t>
        </is>
      </c>
      <c r="C17" s="2" t="inlineStr">
        <is>
          <t>Se da prioridad a la inversión que beneficie a los estratos más pobres, sin detrimento del derecho universal a la educación.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34" customWidth="1" min="3" max="3"/>
    <col width="34" customWidth="1" min="4" max="4"/>
    <col width="18" customWidth="1" min="5" max="5"/>
    <col width="12" customWidth="1" min="6" max="6"/>
  </cols>
  <sheetData>
    <row r="1">
      <c r="A1" s="1" t="inlineStr">
        <is>
          <t>AUTOEVALUACIÓN: ¿QUIÉN ES COMPETENTE? (ejercicio propio, no oficial; elige en la columna C)</t>
        </is>
      </c>
    </row>
    <row r="3">
      <c r="A3" s="3" t="inlineStr">
        <is>
          <t>N.º</t>
        </is>
      </c>
      <c r="B3" s="3" t="inlineStr">
        <is>
          <t>Función</t>
        </is>
      </c>
      <c r="C3" s="3" t="inlineStr">
        <is>
          <t>Tu respuesta</t>
        </is>
      </c>
      <c r="D3" s="3" t="inlineStr">
        <is>
          <t>Clave</t>
        </is>
      </c>
      <c r="E3" s="3" t="inlineStr">
        <is>
          <t>Fuente</t>
        </is>
      </c>
      <c r="F3" s="3" t="inlineStr">
        <is>
          <t>Resultado</t>
        </is>
      </c>
    </row>
    <row r="4">
      <c r="A4" t="n">
        <v>1</v>
      </c>
      <c r="B4" s="2" t="inlineStr">
        <is>
          <t>Formular las políticas del sector y dictar normas para organizar y prestar el servicio</t>
        </is>
      </c>
      <c r="C4" s="4" t="inlineStr">
        <is>
          <t>Nación</t>
        </is>
      </c>
      <c r="D4" t="inlineStr">
        <is>
          <t>Nación</t>
        </is>
      </c>
      <c r="E4" t="inlineStr">
        <is>
          <t>Art. 5.1</t>
        </is>
      </c>
      <c r="F4">
        <f>IF(C4="","",IF(C4=D4,"Correcta","Revisa"))</f>
        <v/>
      </c>
    </row>
    <row r="5">
      <c r="A5" t="n">
        <v>2</v>
      </c>
      <c r="B5" s="2" t="inlineStr">
        <is>
          <t>Reglamentar los concursos que rigen para la carrera docente</t>
        </is>
      </c>
      <c r="C5" s="4" t="inlineStr">
        <is>
          <t>Nación</t>
        </is>
      </c>
      <c r="D5" t="inlineStr">
        <is>
          <t>Nación</t>
        </is>
      </c>
      <c r="E5" t="inlineStr">
        <is>
          <t>Art. 5.7</t>
        </is>
      </c>
      <c r="F5">
        <f>IF(C5="","",IF(C5=D5,"Correcta","Revisa"))</f>
        <v/>
      </c>
    </row>
    <row r="6">
      <c r="A6" t="n">
        <v>3</v>
      </c>
      <c r="B6" s="2" t="inlineStr">
        <is>
          <t>Expedir la regulación sobre costos y tarifas de matrículas y pensiones</t>
        </is>
      </c>
      <c r="C6" s="4" t="inlineStr">
        <is>
          <t>Nación</t>
        </is>
      </c>
      <c r="D6" t="inlineStr">
        <is>
          <t>Nación</t>
        </is>
      </c>
      <c r="E6" t="inlineStr">
        <is>
          <t>Art. 5.12</t>
        </is>
      </c>
      <c r="F6">
        <f>IF(C6="","",IF(C6=D6,"Correcta","Revisa"))</f>
        <v/>
      </c>
    </row>
    <row r="7">
      <c r="A7" t="n">
        <v>4</v>
      </c>
      <c r="B7" s="2" t="inlineStr">
        <is>
          <t>Decidir sobre la certificación de un municipio de menos de 100.000 habitantes que cumple los requisitos</t>
        </is>
      </c>
      <c r="C7" s="4" t="inlineStr">
        <is>
          <t>Departamento</t>
        </is>
      </c>
      <c r="D7" t="inlineStr">
        <is>
          <t>Departamento</t>
        </is>
      </c>
      <c r="E7" t="inlineStr">
        <is>
          <t>Arts. 6.1.4 y 20</t>
        </is>
      </c>
      <c r="F7">
        <f>IF(C7="","",IF(C7=D7,"Correcta","Revisa"))</f>
        <v/>
      </c>
    </row>
    <row r="8">
      <c r="A8" t="n">
        <v>5</v>
      </c>
      <c r="B8" s="2" t="inlineStr">
        <is>
          <t>Realizar concursos y nombramientos de docentes en municipios no certificados</t>
        </is>
      </c>
      <c r="C8" s="4" t="inlineStr">
        <is>
          <t>Municipio no certificado</t>
        </is>
      </c>
      <c r="D8" t="inlineStr">
        <is>
          <t>Departamento</t>
        </is>
      </c>
      <c r="E8" t="inlineStr">
        <is>
          <t>Art. 6.2.3</t>
        </is>
      </c>
      <c r="F8">
        <f>IF(C8="","",IF(C8=D8,"Correcta","Revisa"))</f>
        <v/>
      </c>
    </row>
    <row r="9">
      <c r="A9" t="n">
        <v>6</v>
      </c>
      <c r="B9" s="2" t="inlineStr">
        <is>
          <t>Administrar las instituciones y el personal docente de un municipio certificado (concursos, nombramientos y ascensos)</t>
        </is>
      </c>
      <c r="C9" s="4" t="inlineStr">
        <is>
          <t>Distrito o municipio certificado</t>
        </is>
      </c>
      <c r="D9" t="inlineStr">
        <is>
          <t>Distrito o municipio certificado</t>
        </is>
      </c>
      <c r="E9" t="inlineStr">
        <is>
          <t>Art. 7.3</t>
        </is>
      </c>
      <c r="F9">
        <f>IF(C9="","",IF(C9=D9,"Correcta","Revisa"))</f>
        <v/>
      </c>
    </row>
    <row r="10">
      <c r="A10" t="n">
        <v>7</v>
      </c>
      <c r="B10" s="2" t="inlineStr">
        <is>
          <t>Evaluar el desempeño de los rectores en un municipio certificado</t>
        </is>
      </c>
      <c r="C10" s="4" t="inlineStr">
        <is>
          <t>Departamento</t>
        </is>
      </c>
      <c r="D10" t="inlineStr">
        <is>
          <t>Distrito o municipio certificado</t>
        </is>
      </c>
      <c r="E10" t="inlineStr">
        <is>
          <t>Art. 7.7</t>
        </is>
      </c>
      <c r="F10">
        <f>IF(C10="","",IF(C10=D10,"Correcta","Revisa"))</f>
        <v/>
      </c>
    </row>
    <row r="11">
      <c r="A11" t="n">
        <v>8</v>
      </c>
      <c r="B11" s="2" t="inlineStr">
        <is>
          <t>Vigilar la aplicación de la regulación nacional sobre tarifas en las instituciones de su jurisdicción</t>
        </is>
      </c>
      <c r="C11" s="4" t="inlineStr">
        <is>
          <t>Nación</t>
        </is>
      </c>
      <c r="D11" t="inlineStr">
        <is>
          <t>Distrito o municipio certificado</t>
        </is>
      </c>
      <c r="E11" t="inlineStr">
        <is>
          <t>Art. 7.13</t>
        </is>
      </c>
      <c r="F11">
        <f>IF(C11="","",IF(C11=D11,"Correcta","Revisa"))</f>
        <v/>
      </c>
    </row>
    <row r="12">
      <c r="A12" t="n">
        <v>9</v>
      </c>
      <c r="B12" s="2" t="inlineStr">
        <is>
          <t>Trasladar plazas y docentes entre las instituciones de un municipio no certificado</t>
        </is>
      </c>
      <c r="C12" s="4" t="inlineStr">
        <is>
          <t>Municipio no certificado</t>
        </is>
      </c>
      <c r="D12" t="inlineStr">
        <is>
          <t>Municipio no certificado</t>
        </is>
      </c>
      <c r="E12" t="inlineStr">
        <is>
          <t>Art. 8.2</t>
        </is>
      </c>
      <c r="F12">
        <f>IF(C12="","",IF(C12=D12,"Correcta","Revisa"))</f>
        <v/>
      </c>
    </row>
    <row r="13">
      <c r="A13" t="n">
        <v>10</v>
      </c>
      <c r="B13" s="2" t="inlineStr">
        <is>
          <t>Presidir el consejo directivo y el consejo académico</t>
        </is>
      </c>
      <c r="C13" s="4" t="inlineStr">
        <is>
          <t>Rector</t>
        </is>
      </c>
      <c r="D13" t="inlineStr">
        <is>
          <t>Rector</t>
        </is>
      </c>
      <c r="E13" t="inlineStr">
        <is>
          <t>Art. 10.2</t>
        </is>
      </c>
      <c r="F13">
        <f>IF(C13="","",IF(C13=D13,"Correcta","Revisa"))</f>
        <v/>
      </c>
    </row>
    <row r="14">
      <c r="A14" t="n">
        <v>11</v>
      </c>
      <c r="B14" s="2" t="inlineStr">
        <is>
          <t>Realizar la evaluación anual del desempeño de los docentes a su cargo</t>
        </is>
      </c>
      <c r="C14" s="4" t="inlineStr">
        <is>
          <t>Rector</t>
        </is>
      </c>
      <c r="D14" t="inlineStr">
        <is>
          <t>Rector</t>
        </is>
      </c>
      <c r="E14" t="inlineStr">
        <is>
          <t>Art. 10.10</t>
        </is>
      </c>
      <c r="F14">
        <f>IF(C14="","",IF(C14=D14,"Correcta","Revisa"))</f>
        <v/>
      </c>
    </row>
    <row r="15">
      <c r="A15" t="n">
        <v>12</v>
      </c>
      <c r="B15" s="2" t="inlineStr">
        <is>
          <t>Elaborar el presupuesto de ingresos y gastos del Fondo de Servicios Educativos, en equilibrio</t>
        </is>
      </c>
      <c r="C15" s="4" t="inlineStr">
        <is>
          <t>Consejo Directivo</t>
        </is>
      </c>
      <c r="D15" t="inlineStr">
        <is>
          <t>Consejo Directivo</t>
        </is>
      </c>
      <c r="E15" t="inlineStr">
        <is>
          <t>Art. 14</t>
        </is>
      </c>
      <c r="F15">
        <f>IF(C15="","",IF(C15=D15,"Correcta","Revisa"))</f>
        <v/>
      </c>
    </row>
    <row r="17">
      <c r="B17" t="inlineStr">
        <is>
          <t>Aciertos</t>
        </is>
      </c>
      <c r="F17">
        <f>COUNTIF(F4:F15,"Correcta")&amp;" de "&amp;COUNTA(B4:B15)</f>
        <v/>
      </c>
    </row>
  </sheetData>
  <conditionalFormatting sqref="F4:F15">
    <cfRule type="cellIs" priority="1" operator="equal" dxfId="0">
      <formula>"Revisa"</formula>
    </cfRule>
  </conditionalFormatting>
  <dataValidations count="1">
    <dataValidation sqref="C4:C15" showDropDown="0" showInputMessage="0" showErrorMessage="0" allowBlank="0" type="list">
      <formula1>"Nación,Departamento,Distrito o municipio certificado,Municipio no certificado,Rector,Consejo Directivo"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66" customWidth="1" min="3" max="3"/>
  </cols>
  <sheetData>
    <row r="1">
      <c r="A1" s="1" t="inlineStr">
        <is>
          <t>SIMULADOR: ¿QUÉ RÉGIMEN APLICA A UN CONTRATO DEL FONDO DE SERVICIOS EDUCATIVOS? (art. 13; ejercicio de estudio; la cuantía se escribe en salarios mínimos mensuales)</t>
        </is>
      </c>
    </row>
    <row r="3">
      <c r="A3" s="3" t="inlineStr">
        <is>
          <t>Contrato</t>
        </is>
      </c>
      <c r="B3" s="3" t="inlineStr">
        <is>
          <t>Cuantía (SMMLV)</t>
        </is>
      </c>
      <c r="C3" s="3" t="inlineStr">
        <is>
          <t>Régimen según el art. 13</t>
        </is>
      </c>
    </row>
    <row r="4">
      <c r="A4" s="4" t="inlineStr">
        <is>
          <t>Útiles de papelería</t>
        </is>
      </c>
      <c r="B4" s="4" t="n">
        <v>3</v>
      </c>
      <c r="C4">
        <f>IF(B4="","",IF(B4&gt;20,"Reglas de la contratación estatal (más de 20 SMMLV)",IF(B4&lt;20,"Trámites que fije el consejo directivo (menos de 20 SMMLV)","Exactamente 20: el texto no lo define; consulta el reglamento")))</f>
        <v/>
      </c>
    </row>
    <row r="5">
      <c r="A5" s="4" t="inlineStr">
        <is>
          <t>Mantenimiento de los baños</t>
        </is>
      </c>
      <c r="B5" s="4" t="n">
        <v>8</v>
      </c>
      <c r="C5">
        <f>IF(B5="","",IF(B5&gt;20,"Reglas de la contratación estatal (más de 20 SMMLV)",IF(B5&lt;20,"Trámites que fije el consejo directivo (menos de 20 SMMLV)","Exactamente 20: el texto no lo define; consulta el reglamento")))</f>
        <v/>
      </c>
    </row>
    <row r="6">
      <c r="A6" s="4" t="inlineStr">
        <is>
          <t>Dotación de material didáctico</t>
        </is>
      </c>
      <c r="B6" s="4" t="n">
        <v>12</v>
      </c>
      <c r="C6">
        <f>IF(B6="","",IF(B6&gt;20,"Reglas de la contratación estatal (más de 20 SMMLV)",IF(B6&lt;20,"Trámites que fije el consejo directivo (menos de 20 SMMLV)","Exactamente 20: el texto no lo define; consulta el reglamento")))</f>
        <v/>
      </c>
    </row>
    <row r="7">
      <c r="A7" s="4" t="inlineStr">
        <is>
          <t>Pintura del patio</t>
        </is>
      </c>
      <c r="B7" s="4" t="n">
        <v>19</v>
      </c>
      <c r="C7">
        <f>IF(B7="","",IF(B7&gt;20,"Reglas de la contratación estatal (más de 20 SMMLV)",IF(B7&lt;20,"Trámites que fije el consejo directivo (menos de 20 SMMLV)","Exactamente 20: el texto no lo define; consulta el reglamento")))</f>
        <v/>
      </c>
    </row>
    <row r="8">
      <c r="A8" s="4" t="inlineStr">
        <is>
          <t>Compra de equipos de cómputo</t>
        </is>
      </c>
      <c r="B8" s="4" t="n">
        <v>20</v>
      </c>
      <c r="C8">
        <f>IF(B8="","",IF(B8&gt;20,"Reglas de la contratación estatal (más de 20 SMMLV)",IF(B8&lt;20,"Trámites que fije el consejo directivo (menos de 20 SMMLV)","Exactamente 20: el texto no lo define; consulta el reglamento")))</f>
        <v/>
      </c>
    </row>
    <row r="9">
      <c r="A9" s="4" t="inlineStr">
        <is>
          <t>Adecuación del laboratorio</t>
        </is>
      </c>
      <c r="B9" s="4" t="n">
        <v>21</v>
      </c>
      <c r="C9">
        <f>IF(B9="","",IF(B9&gt;20,"Reglas de la contratación estatal (más de 20 SMMLV)",IF(B9&lt;20,"Trámites que fije el consejo directivo (menos de 20 SMMLV)","Exactamente 20: el texto no lo define; consulta el reglamento")))</f>
        <v/>
      </c>
    </row>
    <row r="10">
      <c r="A10" s="4" t="inlineStr">
        <is>
          <t>Cerramiento del colegio</t>
        </is>
      </c>
      <c r="B10" s="4" t="n">
        <v>35</v>
      </c>
      <c r="C10">
        <f>IF(B10="","",IF(B10&gt;20,"Reglas de la contratación estatal (más de 20 SMMLV)",IF(B10&lt;20,"Trámites que fije el consejo directivo (menos de 20 SMMLV)","Exactamente 20: el texto no lo define; consulta el reglamento")))</f>
        <v/>
      </c>
    </row>
    <row r="11">
      <c r="A11" s="4" t="inlineStr">
        <is>
          <t>Obra de ampliación de aulas</t>
        </is>
      </c>
      <c r="B11" s="4" t="n">
        <v>60</v>
      </c>
      <c r="C11">
        <f>IF(B11="","",IF(B11&gt;20,"Reglas de la contratación estatal (más de 20 SMMLV)",IF(B11&lt;20,"Trámites que fije el consejo directivo (menos de 20 SMMLV)","Exactamente 20: el texto no lo define; consulta el reglamento")))</f>
        <v/>
      </c>
    </row>
    <row r="12">
      <c r="A12" s="4" t="n"/>
      <c r="B12" s="4" t="n"/>
      <c r="C12">
        <f>IF(B12="","",IF(B12&gt;20,"Reglas de la contratación estatal (más de 20 SMMLV)",IF(B12&lt;20,"Trámites que fije el consejo directivo (menos de 20 SMMLV)","Exactamente 20: el texto no lo define; consulta el reglamento")))</f>
        <v/>
      </c>
    </row>
    <row r="13">
      <c r="A13" s="4" t="n"/>
      <c r="B13" s="4" t="n"/>
      <c r="C13">
        <f>IF(B13="","",IF(B13&gt;20,"Reglas de la contratación estatal (más de 20 SMMLV)",IF(B13&lt;20,"Trámites que fije el consejo directivo (menos de 20 SMMLV)","Exactamente 20: el texto no lo define; consulta el reglamento")))</f>
        <v/>
      </c>
    </row>
    <row r="14">
      <c r="A14" s="4" t="n"/>
      <c r="B14" s="4" t="n"/>
      <c r="C14">
        <f>IF(B14="","",IF(B14&gt;20,"Reglas de la contratación estatal (más de 20 SMMLV)",IF(B14&lt;20,"Trámites que fije el consejo directivo (menos de 20 SMMLV)","Exactamente 20: el texto no lo define; consulta el reglamento")))</f>
        <v/>
      </c>
    </row>
    <row r="15">
      <c r="A15" s="4" t="n"/>
      <c r="B15" s="4" t="n"/>
      <c r="C15">
        <f>IF(B15="","",IF(B15&gt;20,"Reglas de la contratación estatal (más de 20 SMMLV)",IF(B15&lt;20,"Trámites que fije el consejo directivo (menos de 20 SMMLV)","Exactamente 20: el texto no lo define; consulta el reglamento")))</f>
        <v/>
      </c>
    </row>
    <row r="16">
      <c r="A16" s="4" t="n"/>
      <c r="B16" s="4" t="n"/>
      <c r="C16">
        <f>IF(B16="","",IF(B16&gt;20,"Reglas de la contratación estatal (más de 20 SMMLV)",IF(B16&lt;20,"Trámites que fije el consejo directivo (menos de 20 SMMLV)","Exactamente 20: el texto no lo define; consulta el reglamento")))</f>
        <v/>
      </c>
    </row>
    <row r="17">
      <c r="A17" s="4" t="n"/>
      <c r="B17" s="4" t="n"/>
      <c r="C17">
        <f>IF(B17="","",IF(B17&gt;20,"Reglas de la contratación estatal (más de 20 SMMLV)",IF(B17&lt;20,"Trámites que fije el consejo directivo (menos de 20 SMMLV)","Exactamente 20: el texto no lo define; consulta el reglamento")))</f>
        <v/>
      </c>
    </row>
    <row r="18">
      <c r="A18" s="4" t="n"/>
      <c r="B18" s="4" t="n"/>
      <c r="C18">
        <f>IF(B18="","",IF(B18&gt;20,"Reglas de la contratación estatal (más de 20 SMMLV)",IF(B18&lt;20,"Trámites que fije el consejo directivo (menos de 20 SMMLV)","Exactamente 20: el texto no lo define; consulta el reglamento")))</f>
        <v/>
      </c>
    </row>
    <row r="20">
      <c r="A20" t="inlineStr">
        <is>
          <t>Contratos con reglas de la contratación estatal</t>
        </is>
      </c>
      <c r="C20">
        <f>COUNTIF(C4:C18,"Reglas*")</f>
        <v/>
      </c>
    </row>
    <row r="21">
      <c r="A21" t="inlineStr">
        <is>
          <t>Contratos con trámites del consejo directivo</t>
        </is>
      </c>
      <c r="C21">
        <f>COUNTIF(C4:C18,"Trámites*")</f>
        <v/>
      </c>
    </row>
    <row r="22">
      <c r="A22" t="inlineStr">
        <is>
          <t>Contratos que el texto no define (exactamente 20)</t>
        </is>
      </c>
      <c r="C22">
        <f>COUNTIF(C4:C18,"Exactamente*")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70" customWidth="1" min="1" max="1"/>
    <col width="100" customWidth="1" min="2" max="2"/>
    <col width="18" customWidth="1" min="3" max="3"/>
  </cols>
  <sheetData>
    <row r="1">
      <c r="A1" s="1" t="inlineStr">
        <is>
          <t>TARJETAS DE ESTUDIO (resumen propio; contrasta con el texto vigente)</t>
        </is>
      </c>
    </row>
    <row r="3">
      <c r="A3" s="3" t="inlineStr">
        <is>
          <t>Pregunta</t>
        </is>
      </c>
      <c r="B3" s="3" t="inlineStr">
        <is>
          <t>Respuesta</t>
        </is>
      </c>
      <c r="C3" s="3" t="inlineStr">
        <is>
          <t>¿Dominada? (Sí/No)</t>
        </is>
      </c>
    </row>
    <row r="4">
      <c r="A4" s="2" t="inlineStr">
        <is>
          <t>¿Qué entidades son territoriales certificadas por la Ley 715?</t>
        </is>
      </c>
      <c r="B4" s="2" t="inlineStr">
        <is>
          <t>Los departamentos y los distritos; los municipios de más de 100.000 habitantes; y los menores que cumplan los requisitos y se certifiquen</t>
        </is>
      </c>
      <c r="C4" s="4" t="inlineStr">
        <is>
          <t>No</t>
        </is>
      </c>
    </row>
    <row r="5">
      <c r="A5" s="2" t="inlineStr">
        <is>
          <t>¿Quién reglamenta los concursos de la carrera docente?</t>
        </is>
      </c>
      <c r="B5" s="2" t="inlineStr">
        <is>
          <t>La Nación (art. 5.7)</t>
        </is>
      </c>
      <c r="C5" s="4" t="inlineStr">
        <is>
          <t>No</t>
        </is>
      </c>
    </row>
    <row r="6">
      <c r="A6" s="2" t="inlineStr">
        <is>
          <t>¿Quién administra a los docentes de un municipio no certificado?</t>
        </is>
      </c>
      <c r="B6" s="2" t="inlineStr">
        <is>
          <t>El departamento (art. 6.2.3)</t>
        </is>
      </c>
      <c r="C6" s="4" t="inlineStr">
        <is>
          <t>No</t>
        </is>
      </c>
    </row>
    <row r="7">
      <c r="A7" s="2" t="inlineStr">
        <is>
          <t>¿Quién evalúa a los rectores de un municipio certificado?</t>
        </is>
      </c>
      <c r="B7" s="2" t="inlineStr">
        <is>
          <t>El distrito o municipio certificado (art. 7.7)</t>
        </is>
      </c>
      <c r="C7" s="4" t="inlineStr">
        <is>
          <t>No</t>
        </is>
      </c>
    </row>
    <row r="8">
      <c r="A8" s="2" t="inlineStr">
        <is>
          <t>¿Cómo se designa al rector de una institución pública?</t>
        </is>
      </c>
      <c r="B8" s="2" t="inlineStr">
        <is>
          <t>Por concurso (art. 10)</t>
        </is>
      </c>
      <c r="C8" s="4" t="inlineStr">
        <is>
          <t>No</t>
        </is>
      </c>
    </row>
    <row r="9">
      <c r="A9" s="2" t="inlineStr">
        <is>
          <t>¿Qué debe hacer el rector cada semestre con los horarios y la carga docente?</t>
        </is>
      </c>
      <c r="B9" s="2" t="inlineStr">
        <is>
          <t>Publicarlos en lugares públicos y comunicarlos por escrito a los padres (art. 10.17)</t>
        </is>
      </c>
      <c r="C9" s="4" t="inlineStr">
        <is>
          <t>No</t>
        </is>
      </c>
    </row>
    <row r="10">
      <c r="A10" s="2" t="inlineStr">
        <is>
          <t>¿Cada cuánto rinde informe el rector al consejo directivo?</t>
        </is>
      </c>
      <c r="B10" s="2" t="inlineStr">
        <is>
          <t>Al menos cada seis meses (art. 10.15)</t>
        </is>
      </c>
      <c r="C10" s="4" t="inlineStr">
        <is>
          <t>No</t>
        </is>
      </c>
    </row>
    <row r="11">
      <c r="A11" s="2" t="inlineStr">
        <is>
          <t>¿Qué es un Fondo de Servicios Educativos?</t>
        </is>
      </c>
      <c r="B11" s="2" t="inlineStr">
        <is>
          <t>La cuenta de cada establecimiento estatal para manejar recursos de gastos distintos a los de personal</t>
        </is>
      </c>
      <c r="C11" s="4" t="inlineStr">
        <is>
          <t>No</t>
        </is>
      </c>
    </row>
    <row r="12">
      <c r="A12" s="2" t="inlineStr">
        <is>
          <t>¿Qué contratos del Fondo se rigen por la contratación estatal?</t>
        </is>
      </c>
      <c r="B12" s="2" t="inlineStr">
        <is>
          <t>Los de cuantía superior a 20 salarios mínimos mensuales (art. 13)</t>
        </is>
      </c>
      <c r="C12" s="4" t="inlineStr">
        <is>
          <t>No</t>
        </is>
      </c>
    </row>
    <row r="13">
      <c r="A13" s="2" t="inlineStr">
        <is>
          <t>¿Quién fija los trámites de los contratos del Fondo de menos de 20 SMMLV?</t>
        </is>
      </c>
      <c r="B13" s="2" t="inlineStr">
        <is>
          <t>El consejo directivo, con el rector que los celebra (art. 13)</t>
        </is>
      </c>
      <c r="C13" s="4" t="inlineStr">
        <is>
          <t>No</t>
        </is>
      </c>
    </row>
    <row r="14">
      <c r="A14" s="2" t="inlineStr">
        <is>
          <t>¿Cómo debe ser el presupuesto del Fondo?</t>
        </is>
      </c>
      <c r="B14" s="2" t="inlineStr">
        <is>
          <t>En absoluto equilibrio; lo elabora el consejo directivo (art. 14)</t>
        </is>
      </c>
      <c r="C14" s="4" t="inlineStr">
        <is>
          <t>No</t>
        </is>
      </c>
    </row>
    <row r="15">
      <c r="A15" s="2" t="inlineStr">
        <is>
          <t>¿Qué es un centro educativo según el art. 9?</t>
        </is>
      </c>
      <c r="B15" s="2" t="inlineStr">
        <is>
          <t>El que no ofrece la totalidad de los grados (un año de preescolar, nueve de básica y la media) y debe asociarse con otros</t>
        </is>
      </c>
      <c r="C15" s="4" t="inlineStr">
        <is>
          <t>No</t>
        </is>
      </c>
    </row>
    <row r="17">
      <c r="A17" t="inlineStr">
        <is>
          <t>Tarjetas dominadas</t>
        </is>
      </c>
      <c r="C17">
        <f>COUNTIF(C4:C15,"Sí")&amp;" de "&amp;COUNTA(A4:A15)</f>
        <v/>
      </c>
    </row>
  </sheetData>
  <dataValidations count="1">
    <dataValidation sqref="C4:C15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2026-10-10T18:37:16Z</dcterms:created>
  <dcterms:modified xmlns:dcterms="http://purl.org/dc/terms/" xmlns:xsi="http://www.w3.org/2001/XMLSchema-instance" xsi:type="dcterms:W3CDTF">2026-10-10T18:37:16Z</dcterms:modified>
</cp:coreProperties>
</file>