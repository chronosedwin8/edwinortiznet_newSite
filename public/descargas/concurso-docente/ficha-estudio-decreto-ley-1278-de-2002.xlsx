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sheetId="1" state="visible" r:id="rId1"/>
    <sheet xmlns:r="http://schemas.openxmlformats.org/officeDocument/2006/relationships" name="Ruta" sheetId="2" state="visible" r:id="rId2"/>
    <sheet xmlns:r="http://schemas.openxmlformats.org/officeDocument/2006/relationships" name="Escalafon" sheetId="3" state="visible" r:id="rId3"/>
    <sheet xmlns:r="http://schemas.openxmlformats.org/officeDocument/2006/relationships" name="Simulador" sheetId="4" state="visible" r:id="rId4"/>
    <sheet xmlns:r="http://schemas.openxmlformats.org/officeDocument/2006/relationships" name="Tarjeta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B4B6B"/>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9" fontId="0" fillId="3"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2" customWidth="1" min="2" max="2"/>
    <col width="110" customWidth="1" min="3" max="3"/>
    <col width="52" customWidth="1" min="4" max="4"/>
  </cols>
  <sheetData>
    <row r="1">
      <c r="A1" s="1" t="inlineStr">
        <is>
          <t>DECRETO LEY 1278 DE 2002 (ESTATUTO DE PROFESIONALIZACIÓN DOCENTE): MAPA DE ESTUDIO</t>
        </is>
      </c>
    </row>
    <row r="2" ht="62" customHeight="1">
      <c r="A2" s="2" t="inlineStr">
        <is>
          <t>Resumen propio del TEXTO ORIGINAL del Decreto Ley 1278 del 19 de junio de 2002 (expedido con facultades extraordinarias de la Ley 715 de 2001), consultado el 10 de octubre de 2026. El decreto ha sido reglamentado y modificado (por ejemplo, por el Decreto 1075 de 2015) y la Corte Constitucional ha revisado varios de sus artículos: confirma siempre el texto vigente en Función Pública, el MEN o la Imprenta Nacional, y lo que indique la convocatoria.</t>
        </is>
      </c>
    </row>
    <row r="4" ht="28" customHeight="1">
      <c r="A4" s="3" t="inlineStr">
        <is>
          <t>Tema</t>
        </is>
      </c>
      <c r="B4" s="3" t="inlineStr">
        <is>
          <t>Artículo(s)</t>
        </is>
      </c>
      <c r="C4" s="3" t="inlineStr">
        <is>
          <t>Idea central (resumen propio)</t>
        </is>
      </c>
      <c r="D4" s="3" t="inlineStr">
        <is>
          <t>Para qué sirve saberlo</t>
        </is>
      </c>
    </row>
    <row r="5">
      <c r="A5" s="2" t="inlineStr">
        <is>
          <t>Objeto y aplicación</t>
        </is>
      </c>
      <c r="B5" s="2" t="inlineStr">
        <is>
          <t>1 y 2</t>
        </is>
      </c>
      <c r="C5" s="2" t="inlineStr">
        <is>
          <t>Regula las relaciones del Estado con los educadores a su servicio para garantizar que la docencia la ejerzan educadores idóneos (ingreso, permanencia, ascenso y retiro). Se aplica a quienes se vinculen desde su vigencia como docentes o directivos docentes estatales en preescolar, básica y media. Primero se ingresa al servicio; si se supera el período de prueba, se inscribe en el Escalafón.</t>
        </is>
      </c>
      <c r="D5" s="2" t="inlineStr">
        <is>
          <t>Distinguir de quién es el estatuto (vinculados desde 2002) y la lógica ingreso, período de prueba, escalafón.</t>
        </is>
      </c>
    </row>
    <row r="6">
      <c r="A6" s="2" t="inlineStr">
        <is>
          <t>Profesionales de la educación</t>
        </is>
      </c>
      <c r="B6" s="2" t="inlineStr">
        <is>
          <t>3</t>
        </is>
      </c>
      <c r="C6" s="2" t="inlineStr">
        <is>
          <t>Licenciados en educación, profesionales con otro título habilitados para la función docente según el decreto, y normalistas superiores.</t>
        </is>
      </c>
      <c r="D6" s="2" t="inlineStr">
        <is>
          <t>Quién puede ser docente.</t>
        </is>
      </c>
    </row>
    <row r="7">
      <c r="A7" s="2" t="inlineStr">
        <is>
          <t>Función docente, docentes y directivos docentes</t>
        </is>
      </c>
      <c r="B7" s="2" t="inlineStr">
        <is>
          <t>4, 5 y 6</t>
        </is>
      </c>
      <c r="C7" s="2" t="inlineStr">
        <is>
          <t>Función docente: procesos de enseñanza-aprendizaje (diagnóstico, planificación, ejecución y evaluación) y otras actividades educativas en el marco del PEI. Docentes: trabajan directa y personalmente con los alumnos. Directivos docentes: dirección, planeación, coordinación, administración, orientación y programación; cargos: director rural, rector y coordinador.</t>
        </is>
      </c>
      <c r="D7" s="2" t="inlineStr">
        <is>
          <t>Clasificación de los cargos; diferencia entre docente y directivo.</t>
        </is>
      </c>
    </row>
    <row r="8">
      <c r="A8" s="2" t="inlineStr">
        <is>
          <t>Ingreso por concurso</t>
        </is>
      </c>
      <c r="B8" s="2" t="inlineStr">
        <is>
          <t>7 y 8</t>
        </is>
      </c>
      <c r="C8" s="2" t="inlineStr">
        <is>
          <t>Se requiere título de licenciado o profesional (o normalista superior) y superar el concurso de méritos; el concurso evalúa aptitudes, experiencia, competencias básicas, relaciones interpersonales y condiciones de personalidad y produce un listado de elegibles.</t>
        </is>
      </c>
      <c r="D8" s="2" t="inlineStr">
        <is>
          <t>Qué es el concurso y qué produce.</t>
        </is>
      </c>
    </row>
    <row r="9">
      <c r="A9" s="2" t="inlineStr">
        <is>
          <t>Etapas del concurso</t>
        </is>
      </c>
      <c r="B9" s="2" t="inlineStr">
        <is>
          <t>9</t>
        </is>
      </c>
      <c r="C9" s="2" t="inlineStr">
        <is>
          <t>Convocatoria; inscripciones y documentos; verificación de requisitos y admitidos; prueba de aptitudes y competencias básicas; resultados; prueba psicotécnica, entrevista y valoración de antecedentes; clasificación; resultados y listado de elegibles por nivel y área. El Gobierno reglamenta el contenido y los procedimientos.</t>
        </is>
      </c>
      <c r="D9" s="2" t="inlineStr">
        <is>
          <t>Estructura general; los detalles de cada convocatoria están en su acuerdo y anexo técnico.</t>
        </is>
      </c>
    </row>
    <row r="10">
      <c r="A10" s="2" t="inlineStr">
        <is>
          <t>Período de prueba</t>
        </is>
      </c>
      <c r="B10" s="2" t="inlineStr">
        <is>
          <t>12 y 31</t>
        </is>
      </c>
      <c r="C10" s="2" t="inlineStr">
        <is>
          <t>La persona seleccionada es nombrada en período de prueba hasta culminar el año escolar, si ha ejercido al menos cuatro meses; al final se evalúan el desempeño y las competencias. Calificación de 60 % o más: satisfactoria, adquiere derechos de carrera y se inscribe en el Escalafón. Menos de 60 %: retiro (los docentes). Quien no supere el período podrá presentarse a nuevo concurso.</t>
        </is>
      </c>
      <c r="D10" s="2" t="inlineStr">
        <is>
          <t>Umbral de 60 % y consecuencias.</t>
        </is>
      </c>
    </row>
    <row r="11">
      <c r="A11" s="2" t="inlineStr">
        <is>
          <t>Nombramientos provisionales y encargos</t>
        </is>
      </c>
      <c r="B11" s="2" t="inlineStr">
        <is>
          <t>13, 14 y 15</t>
        </is>
      </c>
      <c r="C11" s="2" t="inlineStr">
        <is>
          <t>Los provisionales proveen vacantes transitorias o definitivas hasta que se provea por listado de elegibles; no se puede proveer por provisionalidad o encargo una vacante definitiva si hay listado de elegibles vigente (responsabilidad disciplinaria y patrimonial).</t>
        </is>
      </c>
      <c r="D11" s="2" t="inlineStr">
        <is>
          <t>Prioridad del listado de elegibles.</t>
        </is>
      </c>
    </row>
    <row r="12">
      <c r="A12" s="2" t="inlineStr">
        <is>
          <t>Carrera docente y escalafón</t>
        </is>
      </c>
      <c r="B12" s="2" t="inlineStr">
        <is>
          <t>16 a 25</t>
        </is>
      </c>
      <c r="C12" s="2" t="inlineStr">
        <is>
          <t>La carrera se basa en el mérito (ingreso, permanencia, promoción y ascenso). El Escalafón clasifica a los educadores por formación, experiencia, responsabilidad, desempeño y competencias: tres grados (por formación académica), cada uno con cuatro niveles salariales (A, B, C y D). Quien supera el período de prueba entra en el nivel A de su grado; puede reubicarse o ascender después de tres años de servicio con evaluación de competencias.</t>
        </is>
      </c>
      <c r="D12" s="2" t="inlineStr">
        <is>
          <t>Estructura del escalafón: 3 grados x 4 niveles.</t>
        </is>
      </c>
    </row>
    <row r="13">
      <c r="A13" s="2" t="inlineStr">
        <is>
          <t>Evaluación</t>
        </is>
      </c>
      <c r="B13" s="2" t="inlineStr">
        <is>
          <t>26 a 36</t>
        </is>
      </c>
      <c r="C13" s="2" t="inlineStr">
        <is>
          <t>Tipos: período de prueba, desempeño anual y competencias. Desempeño: lo realiza el rector o director a quienes sirvieron más de tres meses en el año. Competencias: voluntaria para quienes quieren ascender o reubicarse; al menos cada seis años si la entidad territorial la convoca. Desempeño inferior a 60 % durante dos años consecutivos: exclusión del escalafón y retiro. Competencias con más de 80 %: candidatos a reubicación o ascenso, por orden de puntaje y según disponibilidad presupuestal.</t>
        </is>
      </c>
      <c r="D13" s="2" t="inlineStr">
        <is>
          <t>Umbrales y consecuencias de cada evaluación.</t>
        </is>
      </c>
    </row>
    <row r="14">
      <c r="A14" s="2" t="inlineStr">
        <is>
          <t>Derechos y deberes</t>
        </is>
      </c>
      <c r="B14" s="2" t="inlineStr">
        <is>
          <t>37 a 42</t>
        </is>
      </c>
      <c r="C14" s="2" t="inlineStr">
        <is>
          <t>Derechos como la remuneración acorde con formación y desempeño, asociarse libremente, permanecer en el cargo mientras su trabajo y conducta sean satisfactorios y participar en la formación. Deberes como buscar la calidad de la enseñanza-aprendizaje, cumplir el calendario y la jornada, educar en principios democráticos y mantener relaciones cordiales con la comunidad.</t>
        </is>
      </c>
      <c r="D14" s="2" t="inlineStr">
        <is>
          <t>Marco de derechos y deberes.</t>
        </is>
      </c>
    </row>
    <row r="15">
      <c r="A15" s="2" t="inlineStr">
        <is>
          <t>Retiro del servicio</t>
        </is>
      </c>
      <c r="B15" s="2" t="inlineStr">
        <is>
          <t>63</t>
        </is>
      </c>
      <c r="C15" s="2" t="inlineStr">
        <is>
          <t>Causales como renuncia, pensión, muerte, exclusión del escalafón por evaluación no satisfactoria, incapacidad continua superior a seis meses, edad de retiro forzoso, destitución, abandono del cargo y no superar el período de prueba.</t>
        </is>
      </c>
      <c r="D15" s="2" t="inlineStr">
        <is>
          <t>Causales de retiro.</t>
        </is>
      </c>
    </row>
    <row r="16">
      <c r="A16" s="2" t="inlineStr">
        <is>
          <t>Educadores de colegios privados</t>
        </is>
      </c>
      <c r="B16" s="2" t="inlineStr">
        <is>
          <t>68</t>
        </is>
      </c>
      <c r="C16" s="2" t="inlineStr">
        <is>
          <t>Su régimen laboral es el del Código Sustantivo del Trabajo y los reglamentos internos; deben ser personas de reconocida idoneidad ética y pedagógica.</t>
        </is>
      </c>
      <c r="D16" s="2" t="inlineStr">
        <is>
          <t>El estatuto no rige a los docentes de colegios privados.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100" customWidth="1" min="2" max="2"/>
    <col width="22" customWidth="1" min="3" max="3"/>
  </cols>
  <sheetData>
    <row r="1">
      <c r="A1" s="1" t="inlineStr">
        <is>
          <t>LA RUTA DE UN DOCENTE ESTATAL SEGÚN EL ESTATUTO (resumen propio)</t>
        </is>
      </c>
    </row>
    <row r="3">
      <c r="A3" s="3" t="inlineStr">
        <is>
          <t>Paso</t>
        </is>
      </c>
      <c r="B3" s="3" t="inlineStr">
        <is>
          <t>Qué ocurre</t>
        </is>
      </c>
      <c r="C3" s="3" t="inlineStr">
        <is>
          <t>Referencia</t>
        </is>
      </c>
    </row>
    <row r="4">
      <c r="A4" s="2" t="n">
        <v>1</v>
      </c>
      <c r="B4" s="2" t="inlineStr">
        <is>
          <t>Concurso de méritos y listado de elegibles</t>
        </is>
      </c>
      <c r="C4" s="2" t="inlineStr">
        <is>
          <t>Arts. 7 a 9</t>
        </is>
      </c>
    </row>
    <row r="5">
      <c r="A5" s="2" t="n">
        <v>2</v>
      </c>
      <c r="B5" s="2" t="inlineStr">
        <is>
          <t>Nombramiento en período de prueba (al menos cuatro meses de servicio en el año escolar)</t>
        </is>
      </c>
      <c r="C5" s="2" t="inlineStr">
        <is>
          <t>Art. 12</t>
        </is>
      </c>
    </row>
    <row r="6">
      <c r="A6" s="2" t="n">
        <v>3</v>
      </c>
      <c r="B6" s="2" t="inlineStr">
        <is>
          <t>Evaluación del período de prueba: 60 % o más es satisfactoria</t>
        </is>
      </c>
      <c r="C6" s="2" t="inlineStr">
        <is>
          <t>Art. 31</t>
        </is>
      </c>
    </row>
    <row r="7">
      <c r="A7" s="2" t="n">
        <v>4</v>
      </c>
      <c r="B7" s="2" t="inlineStr">
        <is>
          <t>Inscripción en el Escalafón (grado según el título; nivel A)</t>
        </is>
      </c>
      <c r="C7" s="2" t="inlineStr">
        <is>
          <t>Arts. 19 a 21</t>
        </is>
      </c>
    </row>
    <row r="8">
      <c r="A8" s="2" t="n">
        <v>5</v>
      </c>
      <c r="B8" s="2" t="inlineStr">
        <is>
          <t>Evaluación anual de desempeño</t>
        </is>
      </c>
      <c r="C8" s="2" t="inlineStr">
        <is>
          <t>Arts. 27 y 32</t>
        </is>
      </c>
    </row>
    <row r="9">
      <c r="A9" s="2" t="n">
        <v>6</v>
      </c>
      <c r="B9" s="2" t="inlineStr">
        <is>
          <t>Después de tres años de servicio: evaluación de competencias (voluntaria) para reubicación o ascenso</t>
        </is>
      </c>
      <c r="C9" s="2" t="inlineStr">
        <is>
          <t>Arts. 20 y 35</t>
        </is>
      </c>
    </row>
    <row r="10">
      <c r="A10" s="2" t="n">
        <v>7</v>
      </c>
      <c r="B10" s="2" t="inlineStr">
        <is>
          <t>Consecuencias: permanencia, reubicación o ascenso; o exclusión si hay dos años consecutivos con desempeño inferior a 60 %</t>
        </is>
      </c>
      <c r="C10" s="2" t="inlineStr">
        <is>
          <t>Art. 36</t>
        </is>
      </c>
    </row>
    <row r="11">
      <c r="A11" s="2" t="n">
        <v>8</v>
      </c>
      <c r="B11" s="2" t="inlineStr">
        <is>
          <t>Retiro del servicio por las causales previstas</t>
        </is>
      </c>
      <c r="C11" s="2" t="inlineStr">
        <is>
          <t>Art. 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80" customWidth="1" min="2" max="2"/>
    <col width="80" customWidth="1" min="3" max="3"/>
  </cols>
  <sheetData>
    <row r="1">
      <c r="A1" s="1" t="inlineStr">
        <is>
          <t>REQUISITOS PARA INSCRIBIRSE EN CADA GRADO (art. 21, texto original; resumen propio)</t>
        </is>
      </c>
    </row>
    <row r="3">
      <c r="A3" s="3" t="inlineStr">
        <is>
          <t>Grado</t>
        </is>
      </c>
      <c r="B3" s="3" t="inlineStr">
        <is>
          <t>Título requerido</t>
        </is>
      </c>
      <c r="C3" s="3" t="inlineStr">
        <is>
          <t>Otros requisitos</t>
        </is>
      </c>
    </row>
    <row r="4">
      <c r="A4" s="2" t="inlineStr">
        <is>
          <t>Grado Uno</t>
        </is>
      </c>
      <c r="B4" s="2" t="inlineStr">
        <is>
          <t>Normalista superior</t>
        </is>
      </c>
      <c r="C4" s="2" t="inlineStr">
        <is>
          <t>Haber sido nombrado mediante concurso; superar la evaluación del período de prueba</t>
        </is>
      </c>
    </row>
    <row r="5">
      <c r="A5" s="2" t="inlineStr">
        <is>
          <t>Grado Dos</t>
        </is>
      </c>
      <c r="B5" s="2" t="inlineStr">
        <is>
          <t>Licenciado en educación, o profesional con otro título más programa de pedagogía o especialización en educación</t>
        </is>
      </c>
      <c r="C5" s="2" t="inlineStr">
        <is>
          <t>Haber sido nombrado por concurso; superar la evaluación del período de prueba (o la de competencias si venía del Grado Uno)</t>
        </is>
      </c>
    </row>
    <row r="6">
      <c r="A6" s="2" t="inlineStr">
        <is>
          <t>Grado Tres</t>
        </is>
      </c>
      <c r="B6" s="2" t="inlineStr">
        <is>
          <t>Licenciado o profesional con título de maestría o doctorado en un área afín a su especialidad o desempeño, o en un área fundamental para la enseñanza-aprendizaje</t>
        </is>
      </c>
      <c r="C6" s="2" t="inlineStr">
        <is>
          <t>Haber sido nombrado por concurso; superar el período de prueba (o la evaluación de competencias si venía de otro grado)</t>
        </is>
      </c>
    </row>
    <row r="8">
      <c r="A8" t="inlineStr">
        <is>
          <t>Cada grado tiene cuatro niveles salariales (A, B, C y D). Los títulos y los requisitos pueden haber sido ajustados por normas posteriores: verifica.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48" customWidth="1" min="1" max="1"/>
    <col width="20" customWidth="1" min="2" max="2"/>
    <col width="13" customWidth="1" min="3" max="3"/>
    <col width="24" customWidth="1" min="4" max="4"/>
    <col width="14" customWidth="1" min="5" max="5"/>
    <col width="90" customWidth="1" min="6" max="6"/>
  </cols>
  <sheetData>
    <row r="1">
      <c r="A1" s="1" t="inlineStr">
        <is>
          <t>SIMULADOR DE CONSECUENCIAS DE LA EVALUACIÓN (ejercicio de estudio con los umbrales del texto original; no es una calificación oficial)</t>
        </is>
      </c>
    </row>
    <row r="2">
      <c r="A2" t="inlineStr">
        <is>
          <t>Umbral de calificación satisfactoria</t>
        </is>
      </c>
      <c r="C2" s="4" t="n">
        <v>0.6</v>
      </c>
      <c r="D2" t="inlineStr">
        <is>
          <t>Umbral de competencias para reubicación o ascenso</t>
        </is>
      </c>
      <c r="G2" s="4" t="n">
        <v>0.8</v>
      </c>
    </row>
    <row r="4" ht="52" customHeight="1">
      <c r="A4" s="3" t="inlineStr">
        <is>
          <t>Caso</t>
        </is>
      </c>
      <c r="B4" s="3" t="inlineStr">
        <is>
          <t>Tipo de evaluación</t>
        </is>
      </c>
      <c r="C4" s="3" t="inlineStr">
        <is>
          <t>Calificación</t>
        </is>
      </c>
      <c r="D4" s="3" t="inlineStr">
        <is>
          <t>Calificación del año anterior (desempeño; vacío si no hay)</t>
        </is>
      </c>
      <c r="E4" s="3" t="inlineStr">
        <is>
          <t>Meses de servicio en el año</t>
        </is>
      </c>
      <c r="F4" s="3" t="inlineStr">
        <is>
          <t>Resultado orientativo</t>
        </is>
      </c>
    </row>
    <row r="5">
      <c r="A5" s="5" t="inlineStr">
        <is>
          <t>Aspirante con 8 meses y 72 %</t>
        </is>
      </c>
      <c r="B5" s="5" t="inlineStr">
        <is>
          <t>Período de prueba</t>
        </is>
      </c>
      <c r="C5" s="4" t="n">
        <v>0.72</v>
      </c>
      <c r="D5" s="4" t="n"/>
      <c r="E5" s="5" t="n">
        <v>8</v>
      </c>
      <c r="F5" s="2">
        <f>IF(B5="","",IF(B5="Período de prueba",IF(E5&lt;4,"Se espera: aún no se evalúa; debe esperar al año académico siguiente (art. 31)",IF(C5&gt;=$C$2,"Satisfactoria: derechos de carrera e inscripción en el Escalafón (arts. 12 y 31)","Retiro: no supera el período de prueba (arts. 12 y 31)")),IF(B5="Desempeño anual",IF(E5&lt;=3,"No se evalúa: requiere más de tres meses en el establecimiento (art. 32)",IF(C5&gt;=$C$2,"Satisfactoria: sin consecuencias negativas",IF(AND(D5&lt;&gt;"",D5&lt;$C$2),"Exclusión: dos años consecutivos por debajo de 60 % (art. 36)","Sin exclusión: primera calificación no satisfactoria; conviene acompañamiento (art. 36)"))),IF(B5="Competencias",IF(C5&gt;$G$2,"Candidato: a reubicación o ascenso si cumple requisitos, en orden de puntaje y según presupuesto (art. 36)","No alcanza: el puntaje no supera el umbral para reubicación o ascenso (art. 36)"),""))))</f>
        <v/>
      </c>
    </row>
    <row r="6">
      <c r="A6" s="5" t="inlineStr">
        <is>
          <t>Aspirante con 8 meses y 55 %</t>
        </is>
      </c>
      <c r="B6" s="5" t="inlineStr">
        <is>
          <t>Período de prueba</t>
        </is>
      </c>
      <c r="C6" s="4" t="n">
        <v>0.55</v>
      </c>
      <c r="D6" s="4" t="n"/>
      <c r="E6" s="5" t="n">
        <v>8</v>
      </c>
      <c r="F6" s="2">
        <f>IF(B6="","",IF(B6="Período de prueba",IF(E6&lt;4,"Se espera: aún no se evalúa; debe esperar al año académico siguiente (art. 31)",IF(C6&gt;=$C$2,"Satisfactoria: derechos de carrera e inscripción en el Escalafón (arts. 12 y 31)","Retiro: no supera el período de prueba (arts. 12 y 31)")),IF(B6="Desempeño anual",IF(E6&lt;=3,"No se evalúa: requiere más de tres meses en el establecimiento (art. 32)",IF(C6&gt;=$C$2,"Satisfactoria: sin consecuencias negativas",IF(AND(D6&lt;&gt;"",D6&lt;$C$2),"Exclusión: dos años consecutivos por debajo de 60 % (art. 36)","Sin exclusión: primera calificación no satisfactoria; conviene acompañamiento (art. 36)"))),IF(B6="Competencias",IF(C6&gt;$G$2,"Candidato: a reubicación o ascenso si cumple requisitos, en orden de puntaje y según presupuesto (art. 36)","No alcanza: el puntaje no supera el umbral para reubicación o ascenso (art. 36)"),""))))</f>
        <v/>
      </c>
    </row>
    <row r="7">
      <c r="A7" s="5" t="inlineStr">
        <is>
          <t>Aspirante con 80 % pero solo 3 meses</t>
        </is>
      </c>
      <c r="B7" s="5" t="inlineStr">
        <is>
          <t>Período de prueba</t>
        </is>
      </c>
      <c r="C7" s="4" t="n">
        <v>0.8</v>
      </c>
      <c r="D7" s="4" t="n"/>
      <c r="E7" s="5" t="n">
        <v>3</v>
      </c>
      <c r="F7" s="2">
        <f>IF(B7="","",IF(B7="Período de prueba",IF(E7&lt;4,"Se espera: aún no se evalúa; debe esperar al año académico siguiente (art. 31)",IF(C7&gt;=$C$2,"Satisfactoria: derechos de carrera e inscripción en el Escalafón (arts. 12 y 31)","Retiro: no supera el período de prueba (arts. 12 y 31)")),IF(B7="Desempeño anual",IF(E7&lt;=3,"No se evalúa: requiere más de tres meses en el establecimiento (art. 32)",IF(C7&gt;=$C$2,"Satisfactoria: sin consecuencias negativas",IF(AND(D7&lt;&gt;"",D7&lt;$C$2),"Exclusión: dos años consecutivos por debajo de 60 % (art. 36)","Sin exclusión: primera calificación no satisfactoria; conviene acompañamiento (art. 36)"))),IF(B7="Competencias",IF(C7&gt;$G$2,"Candidato: a reubicación o ascenso si cumple requisitos, en orden de puntaje y según presupuesto (art. 36)","No alcanza: el puntaje no supera el umbral para reubicación o ascenso (art. 36)"),""))))</f>
        <v/>
      </c>
    </row>
    <row r="8">
      <c r="A8" s="5" t="inlineStr">
        <is>
          <t>Docente con 70 % y 80 % el año anterior</t>
        </is>
      </c>
      <c r="B8" s="5" t="inlineStr">
        <is>
          <t>Desempeño anual</t>
        </is>
      </c>
      <c r="C8" s="4" t="n">
        <v>0.7</v>
      </c>
      <c r="D8" s="4" t="n">
        <v>0.8</v>
      </c>
      <c r="E8" s="5" t="n">
        <v>10</v>
      </c>
      <c r="F8" s="2">
        <f>IF(B8="","",IF(B8="Período de prueba",IF(E8&lt;4,"Se espera: aún no se evalúa; debe esperar al año académico siguiente (art. 31)",IF(C8&gt;=$C$2,"Satisfactoria: derechos de carrera e inscripción en el Escalafón (arts. 12 y 31)","Retiro: no supera el período de prueba (arts. 12 y 31)")),IF(B8="Desempeño anual",IF(E8&lt;=3,"No se evalúa: requiere más de tres meses en el establecimiento (art. 32)",IF(C8&gt;=$C$2,"Satisfactoria: sin consecuencias negativas",IF(AND(D8&lt;&gt;"",D8&lt;$C$2),"Exclusión: dos años consecutivos por debajo de 60 % (art. 36)","Sin exclusión: primera calificación no satisfactoria; conviene acompañamiento (art. 36)"))),IF(B8="Competencias",IF(C8&gt;$G$2,"Candidato: a reubicación o ascenso si cumple requisitos, en orden de puntaje y según presupuesto (art. 36)","No alcanza: el puntaje no supera el umbral para reubicación o ascenso (art. 36)"),""))))</f>
        <v/>
      </c>
    </row>
    <row r="9">
      <c r="A9" s="5" t="inlineStr">
        <is>
          <t>Docente con 55 % tras 70 % el año anterior</t>
        </is>
      </c>
      <c r="B9" s="5" t="inlineStr">
        <is>
          <t>Desempeño anual</t>
        </is>
      </c>
      <c r="C9" s="4" t="n">
        <v>0.55</v>
      </c>
      <c r="D9" s="4" t="n">
        <v>0.7</v>
      </c>
      <c r="E9" s="5" t="n">
        <v>10</v>
      </c>
      <c r="F9" s="2">
        <f>IF(B9="","",IF(B9="Período de prueba",IF(E9&lt;4,"Se espera: aún no se evalúa; debe esperar al año académico siguiente (art. 31)",IF(C9&gt;=$C$2,"Satisfactoria: derechos de carrera e inscripción en el Escalafón (arts. 12 y 31)","Retiro: no supera el período de prueba (arts. 12 y 31)")),IF(B9="Desempeño anual",IF(E9&lt;=3,"No se evalúa: requiere más de tres meses en el establecimiento (art. 32)",IF(C9&gt;=$C$2,"Satisfactoria: sin consecuencias negativas",IF(AND(D9&lt;&gt;"",D9&lt;$C$2),"Exclusión: dos años consecutivos por debajo de 60 % (art. 36)","Sin exclusión: primera calificación no satisfactoria; conviene acompañamiento (art. 36)"))),IF(B9="Competencias",IF(C9&gt;$G$2,"Candidato: a reubicación o ascenso si cumple requisitos, en orden de puntaje y según presupuesto (art. 36)","No alcanza: el puntaje no supera el umbral para reubicación o ascenso (art. 36)"),""))))</f>
        <v/>
      </c>
    </row>
    <row r="10">
      <c r="A10" s="5" t="inlineStr">
        <is>
          <t>Docente con 50 % tras 58 % el año anterior</t>
        </is>
      </c>
      <c r="B10" s="5" t="inlineStr">
        <is>
          <t>Desempeño anual</t>
        </is>
      </c>
      <c r="C10" s="4" t="n">
        <v>0.5</v>
      </c>
      <c r="D10" s="4" t="n">
        <v>0.58</v>
      </c>
      <c r="E10" s="5" t="n">
        <v>10</v>
      </c>
      <c r="F10" s="2">
        <f>IF(B10="","",IF(B10="Período de prueba",IF(E10&lt;4,"Se espera: aún no se evalúa; debe esperar al año académico siguiente (art. 31)",IF(C10&gt;=$C$2,"Satisfactoria: derechos de carrera e inscripción en el Escalafón (arts. 12 y 31)","Retiro: no supera el período de prueba (arts. 12 y 31)")),IF(B10="Desempeño anual",IF(E10&lt;=3,"No se evalúa: requiere más de tres meses en el establecimiento (art. 32)",IF(C10&gt;=$C$2,"Satisfactoria: sin consecuencias negativas",IF(AND(D10&lt;&gt;"",D10&lt;$C$2),"Exclusión: dos años consecutivos por debajo de 60 % (art. 36)","Sin exclusión: primera calificación no satisfactoria; conviene acompañamiento (art. 36)"))),IF(B10="Competencias",IF(C10&gt;$G$2,"Candidato: a reubicación o ascenso si cumple requisitos, en orden de puntaje y según presupuesto (art. 36)","No alcanza: el puntaje no supera el umbral para reubicación o ascenso (art. 36)"),""))))</f>
        <v/>
      </c>
    </row>
    <row r="11">
      <c r="A11" s="5" t="inlineStr">
        <is>
          <t>Docente con 90 % pero solo 2 meses en el colegio</t>
        </is>
      </c>
      <c r="B11" s="5" t="inlineStr">
        <is>
          <t>Desempeño anual</t>
        </is>
      </c>
      <c r="C11" s="4" t="n">
        <v>0.9</v>
      </c>
      <c r="D11" s="4" t="n"/>
      <c r="E11" s="5" t="n">
        <v>2</v>
      </c>
      <c r="F11" s="2">
        <f>IF(B11="","",IF(B11="Período de prueba",IF(E11&lt;4,"Se espera: aún no se evalúa; debe esperar al año académico siguiente (art. 31)",IF(C11&gt;=$C$2,"Satisfactoria: derechos de carrera e inscripción en el Escalafón (arts. 12 y 31)","Retiro: no supera el período de prueba (arts. 12 y 31)")),IF(B11="Desempeño anual",IF(E11&lt;=3,"No se evalúa: requiere más de tres meses en el establecimiento (art. 32)",IF(C11&gt;=$C$2,"Satisfactoria: sin consecuencias negativas",IF(AND(D11&lt;&gt;"",D11&lt;$C$2),"Exclusión: dos años consecutivos por debajo de 60 % (art. 36)","Sin exclusión: primera calificación no satisfactoria; conviene acompañamiento (art. 36)"))),IF(B11="Competencias",IF(C11&gt;$G$2,"Candidato: a reubicación o ascenso si cumple requisitos, en orden de puntaje y según presupuesto (art. 36)","No alcanza: el puntaje no supera el umbral para reubicación o ascenso (art. 36)"),""))))</f>
        <v/>
      </c>
    </row>
    <row r="12">
      <c r="A12" s="5" t="inlineStr">
        <is>
          <t>Docente con 85 % en competencias</t>
        </is>
      </c>
      <c r="B12" s="5" t="inlineStr">
        <is>
          <t>Competencias</t>
        </is>
      </c>
      <c r="C12" s="4" t="n">
        <v>0.85</v>
      </c>
      <c r="D12" s="4" t="n"/>
      <c r="E12" s="5" t="n">
        <v>12</v>
      </c>
      <c r="F12" s="2">
        <f>IF(B12="","",IF(B12="Período de prueba",IF(E12&lt;4,"Se espera: aún no se evalúa; debe esperar al año académico siguiente (art. 31)",IF(C12&gt;=$C$2,"Satisfactoria: derechos de carrera e inscripción en el Escalafón (arts. 12 y 31)","Retiro: no supera el período de prueba (arts. 12 y 31)")),IF(B12="Desempeño anual",IF(E12&lt;=3,"No se evalúa: requiere más de tres meses en el establecimiento (art. 32)",IF(C12&gt;=$C$2,"Satisfactoria: sin consecuencias negativas",IF(AND(D12&lt;&gt;"",D12&lt;$C$2),"Exclusión: dos años consecutivos por debajo de 60 % (art. 36)","Sin exclusión: primera calificación no satisfactoria; conviene acompañamiento (art. 36)"))),IF(B12="Competencias",IF(C12&gt;$G$2,"Candidato: a reubicación o ascenso si cumple requisitos, en orden de puntaje y según presupuesto (art. 36)","No alcanza: el puntaje no supera el umbral para reubicación o ascenso (art. 36)"),""))))</f>
        <v/>
      </c>
    </row>
    <row r="13">
      <c r="A13" s="5" t="inlineStr">
        <is>
          <t>Docente con 78 % en competencias</t>
        </is>
      </c>
      <c r="B13" s="5" t="inlineStr">
        <is>
          <t>Competencias</t>
        </is>
      </c>
      <c r="C13" s="4" t="n">
        <v>0.78</v>
      </c>
      <c r="D13" s="4" t="n"/>
      <c r="E13" s="5" t="n">
        <v>12</v>
      </c>
      <c r="F13" s="2">
        <f>IF(B13="","",IF(B13="Período de prueba",IF(E13&lt;4,"Se espera: aún no se evalúa; debe esperar al año académico siguiente (art. 31)",IF(C13&gt;=$C$2,"Satisfactoria: derechos de carrera e inscripción en el Escalafón (arts. 12 y 31)","Retiro: no supera el período de prueba (arts. 12 y 31)")),IF(B13="Desempeño anual",IF(E13&lt;=3,"No se evalúa: requiere más de tres meses en el establecimiento (art. 32)",IF(C13&gt;=$C$2,"Satisfactoria: sin consecuencias negativas",IF(AND(D13&lt;&gt;"",D13&lt;$C$2),"Exclusión: dos años consecutivos por debajo de 60 % (art. 36)","Sin exclusión: primera calificación no satisfactoria; conviene acompañamiento (art. 36)"))),IF(B13="Competencias",IF(C13&gt;$G$2,"Candidato: a reubicación o ascenso si cumple requisitos, en orden de puntaje y según presupuesto (art. 36)","No alcanza: el puntaje no supera el umbral para reubicación o ascenso (art. 36)"),""))))</f>
        <v/>
      </c>
    </row>
    <row r="14">
      <c r="A14" s="5" t="n"/>
      <c r="B14" s="5" t="n"/>
      <c r="C14" s="4" t="n"/>
      <c r="D14" s="4" t="n"/>
      <c r="E14" s="5" t="n"/>
      <c r="F14" s="2">
        <f>IF(B14="","",IF(B14="Período de prueba",IF(E14&lt;4,"Se espera: aún no se evalúa; debe esperar al año académico siguiente (art. 31)",IF(C14&gt;=$C$2,"Satisfactoria: derechos de carrera e inscripción en el Escalafón (arts. 12 y 31)","Retiro: no supera el período de prueba (arts. 12 y 31)")),IF(B14="Desempeño anual",IF(E14&lt;=3,"No se evalúa: requiere más de tres meses en el establecimiento (art. 32)",IF(C14&gt;=$C$2,"Satisfactoria: sin consecuencias negativas",IF(AND(D14&lt;&gt;"",D14&lt;$C$2),"Exclusión: dos años consecutivos por debajo de 60 % (art. 36)","Sin exclusión: primera calificación no satisfactoria; conviene acompañamiento (art. 36)"))),IF(B14="Competencias",IF(C14&gt;$G$2,"Candidato: a reubicación o ascenso si cumple requisitos, en orden de puntaje y según presupuesto (art. 36)","No alcanza: el puntaje no supera el umbral para reubicación o ascenso (art. 36)"),""))))</f>
        <v/>
      </c>
    </row>
    <row r="15">
      <c r="A15" s="5" t="n"/>
      <c r="B15" s="5" t="n"/>
      <c r="C15" s="4" t="n"/>
      <c r="D15" s="4" t="n"/>
      <c r="E15" s="5" t="n"/>
      <c r="F15" s="2">
        <f>IF(B15="","",IF(B15="Período de prueba",IF(E15&lt;4,"Se espera: aún no se evalúa; debe esperar al año académico siguiente (art. 31)",IF(C15&gt;=$C$2,"Satisfactoria: derechos de carrera e inscripción en el Escalafón (arts. 12 y 31)","Retiro: no supera el período de prueba (arts. 12 y 31)")),IF(B15="Desempeño anual",IF(E15&lt;=3,"No se evalúa: requiere más de tres meses en el establecimiento (art. 32)",IF(C15&gt;=$C$2,"Satisfactoria: sin consecuencias negativas",IF(AND(D15&lt;&gt;"",D15&lt;$C$2),"Exclusión: dos años consecutivos por debajo de 60 % (art. 36)","Sin exclusión: primera calificación no satisfactoria; conviene acompañamiento (art. 36)"))),IF(B15="Competencias",IF(C15&gt;$G$2,"Candidato: a reubicación o ascenso si cumple requisitos, en orden de puntaje y según presupuesto (art. 36)","No alcanza: el puntaje no supera el umbral para reubicación o ascenso (art. 36)"),""))))</f>
        <v/>
      </c>
    </row>
    <row r="16">
      <c r="A16" s="5" t="n"/>
      <c r="B16" s="5" t="n"/>
      <c r="C16" s="4" t="n"/>
      <c r="D16" s="4" t="n"/>
      <c r="E16" s="5" t="n"/>
      <c r="F16" s="2">
        <f>IF(B16="","",IF(B16="Período de prueba",IF(E16&lt;4,"Se espera: aún no se evalúa; debe esperar al año académico siguiente (art. 31)",IF(C16&gt;=$C$2,"Satisfactoria: derechos de carrera e inscripción en el Escalafón (arts. 12 y 31)","Retiro: no supera el período de prueba (arts. 12 y 31)")),IF(B16="Desempeño anual",IF(E16&lt;=3,"No se evalúa: requiere más de tres meses en el establecimiento (art. 32)",IF(C16&gt;=$C$2,"Satisfactoria: sin consecuencias negativas",IF(AND(D16&lt;&gt;"",D16&lt;$C$2),"Exclusión: dos años consecutivos por debajo de 60 % (art. 36)","Sin exclusión: primera calificación no satisfactoria; conviene acompañamiento (art. 36)"))),IF(B16="Competencias",IF(C16&gt;$G$2,"Candidato: a reubicación o ascenso si cumple requisitos, en orden de puntaje y según presupuesto (art. 36)","No alcanza: el puntaje no supera el umbral para reubicación o ascenso (art. 36)"),""))))</f>
        <v/>
      </c>
    </row>
    <row r="17">
      <c r="A17" s="5" t="n"/>
      <c r="B17" s="5" t="n"/>
      <c r="C17" s="4" t="n"/>
      <c r="D17" s="4" t="n"/>
      <c r="E17" s="5" t="n"/>
      <c r="F17" s="2">
        <f>IF(B17="","",IF(B17="Período de prueba",IF(E17&lt;4,"Se espera: aún no se evalúa; debe esperar al año académico siguiente (art. 31)",IF(C17&gt;=$C$2,"Satisfactoria: derechos de carrera e inscripción en el Escalafón (arts. 12 y 31)","Retiro: no supera el período de prueba (arts. 12 y 31)")),IF(B17="Desempeño anual",IF(E17&lt;=3,"No se evalúa: requiere más de tres meses en el establecimiento (art. 32)",IF(C17&gt;=$C$2,"Satisfactoria: sin consecuencias negativas",IF(AND(D17&lt;&gt;"",D17&lt;$C$2),"Exclusión: dos años consecutivos por debajo de 60 % (art. 36)","Sin exclusión: primera calificación no satisfactoria; conviene acompañamiento (art. 36)"))),IF(B17="Competencias",IF(C17&gt;$G$2,"Candidato: a reubicación o ascenso si cumple requisitos, en orden de puntaje y según presupuesto (art. 36)","No alcanza: el puntaje no supera el umbral para reubicación o ascenso (art. 36)"),""))))</f>
        <v/>
      </c>
    </row>
    <row r="18">
      <c r="A18" s="5" t="n"/>
      <c r="B18" s="5" t="n"/>
      <c r="C18" s="4" t="n"/>
      <c r="D18" s="4" t="n"/>
      <c r="E18" s="5" t="n"/>
      <c r="F18" s="2">
        <f>IF(B18="","",IF(B18="Período de prueba",IF(E18&lt;4,"Se espera: aún no se evalúa; debe esperar al año académico siguiente (art. 31)",IF(C18&gt;=$C$2,"Satisfactoria: derechos de carrera e inscripción en el Escalafón (arts. 12 y 31)","Retiro: no supera el período de prueba (arts. 12 y 31)")),IF(B18="Desempeño anual",IF(E18&lt;=3,"No se evalúa: requiere más de tres meses en el establecimiento (art. 32)",IF(C18&gt;=$C$2,"Satisfactoria: sin consecuencias negativas",IF(AND(D18&lt;&gt;"",D18&lt;$C$2),"Exclusión: dos años consecutivos por debajo de 60 % (art. 36)","Sin exclusión: primera calificación no satisfactoria; conviene acompañamiento (art. 36)"))),IF(B18="Competencias",IF(C18&gt;$G$2,"Candidato: a reubicación o ascenso si cumple requisitos, en orden de puntaje y según presupuesto (art. 36)","No alcanza: el puntaje no supera el umbral para reubicación o ascenso (art. 36)"),""))))</f>
        <v/>
      </c>
    </row>
    <row r="19">
      <c r="A19" s="5" t="n"/>
      <c r="B19" s="5" t="n"/>
      <c r="C19" s="4" t="n"/>
      <c r="D19" s="4" t="n"/>
      <c r="E19" s="5" t="n"/>
      <c r="F19" s="2">
        <f>IF(B19="","",IF(B19="Período de prueba",IF(E19&lt;4,"Se espera: aún no se evalúa; debe esperar al año académico siguiente (art. 31)",IF(C19&gt;=$C$2,"Satisfactoria: derechos de carrera e inscripción en el Escalafón (arts. 12 y 31)","Retiro: no supera el período de prueba (arts. 12 y 31)")),IF(B19="Desempeño anual",IF(E19&lt;=3,"No se evalúa: requiere más de tres meses en el establecimiento (art. 32)",IF(C19&gt;=$C$2,"Satisfactoria: sin consecuencias negativas",IF(AND(D19&lt;&gt;"",D19&lt;$C$2),"Exclusión: dos años consecutivos por debajo de 60 % (art. 36)","Sin exclusión: primera calificación no satisfactoria; conviene acompañamiento (art. 36)"))),IF(B19="Competencias",IF(C19&gt;$G$2,"Candidato: a reubicación o ascenso si cumple requisitos, en orden de puntaje y según presupuesto (art. 36)","No alcanza: el puntaje no supera el umbral para reubicación o ascenso (art. 36)"),""))))</f>
        <v/>
      </c>
    </row>
    <row r="20">
      <c r="A20" s="5" t="n"/>
      <c r="B20" s="5" t="n"/>
      <c r="C20" s="4" t="n"/>
      <c r="D20" s="4" t="n"/>
      <c r="E20" s="5" t="n"/>
      <c r="F20" s="2">
        <f>IF(B20="","",IF(B20="Período de prueba",IF(E20&lt;4,"Se espera: aún no se evalúa; debe esperar al año académico siguiente (art. 31)",IF(C20&gt;=$C$2,"Satisfactoria: derechos de carrera e inscripción en el Escalafón (arts. 12 y 31)","Retiro: no supera el período de prueba (arts. 12 y 31)")),IF(B20="Desempeño anual",IF(E20&lt;=3,"No se evalúa: requiere más de tres meses en el establecimiento (art. 32)",IF(C20&gt;=$C$2,"Satisfactoria: sin consecuencias negativas",IF(AND(D20&lt;&gt;"",D20&lt;$C$2),"Exclusión: dos años consecutivos por debajo de 60 % (art. 36)","Sin exclusión: primera calificación no satisfactoria; conviene acompañamiento (art. 36)"))),IF(B20="Competencias",IF(C20&gt;$G$2,"Candidato: a reubicación o ascenso si cumple requisitos, en orden de puntaje y según presupuesto (art. 36)","No alcanza: el puntaje no supera el umbral para reubicación o ascenso (art. 36)"),""))))</f>
        <v/>
      </c>
    </row>
    <row r="21">
      <c r="A21" s="5" t="n"/>
      <c r="B21" s="5" t="n"/>
      <c r="C21" s="4" t="n"/>
      <c r="D21" s="4" t="n"/>
      <c r="E21" s="5" t="n"/>
      <c r="F21" s="2">
        <f>IF(B21="","",IF(B21="Período de prueba",IF(E21&lt;4,"Se espera: aún no se evalúa; debe esperar al año académico siguiente (art. 31)",IF(C21&gt;=$C$2,"Satisfactoria: derechos de carrera e inscripción en el Escalafón (arts. 12 y 31)","Retiro: no supera el período de prueba (arts. 12 y 31)")),IF(B21="Desempeño anual",IF(E21&lt;=3,"No se evalúa: requiere más de tres meses en el establecimiento (art. 32)",IF(C21&gt;=$C$2,"Satisfactoria: sin consecuencias negativas",IF(AND(D21&lt;&gt;"",D21&lt;$C$2),"Exclusión: dos años consecutivos por debajo de 60 % (art. 36)","Sin exclusión: primera calificación no satisfactoria; conviene acompañamiento (art. 36)"))),IF(B21="Competencias",IF(C21&gt;$G$2,"Candidato: a reubicación o ascenso si cumple requisitos, en orden de puntaje y según presupuesto (art. 36)","No alcanza: el puntaje no supera el umbral para reubicación o ascenso (art. 36)"),""))))</f>
        <v/>
      </c>
    </row>
    <row r="22">
      <c r="A22" s="5" t="n"/>
      <c r="B22" s="5" t="n"/>
      <c r="C22" s="4" t="n"/>
      <c r="D22" s="4" t="n"/>
      <c r="E22" s="5" t="n"/>
      <c r="F22" s="2">
        <f>IF(B22="","",IF(B22="Período de prueba",IF(E22&lt;4,"Se espera: aún no se evalúa; debe esperar al año académico siguiente (art. 31)",IF(C22&gt;=$C$2,"Satisfactoria: derechos de carrera e inscripción en el Escalafón (arts. 12 y 31)","Retiro: no supera el período de prueba (arts. 12 y 31)")),IF(B22="Desempeño anual",IF(E22&lt;=3,"No se evalúa: requiere más de tres meses en el establecimiento (art. 32)",IF(C22&gt;=$C$2,"Satisfactoria: sin consecuencias negativas",IF(AND(D22&lt;&gt;"",D22&lt;$C$2),"Exclusión: dos años consecutivos por debajo de 60 % (art. 36)","Sin exclusión: primera calificación no satisfactoria; conviene acompañamiento (art. 36)"))),IF(B22="Competencias",IF(C22&gt;$G$2,"Candidato: a reubicación o ascenso si cumple requisitos, en orden de puntaje y según presupuesto (art. 36)","No alcanza: el puntaje no supera el umbral para reubicación o ascenso (art. 36)"),""))))</f>
        <v/>
      </c>
    </row>
    <row r="23">
      <c r="A23" s="5" t="n"/>
      <c r="B23" s="5" t="n"/>
      <c r="C23" s="4" t="n"/>
      <c r="D23" s="4" t="n"/>
      <c r="E23" s="5" t="n"/>
      <c r="F23" s="2">
        <f>IF(B23="","",IF(B23="Período de prueba",IF(E23&lt;4,"Se espera: aún no se evalúa; debe esperar al año académico siguiente (art. 31)",IF(C23&gt;=$C$2,"Satisfactoria: derechos de carrera e inscripción en el Escalafón (arts. 12 y 31)","Retiro: no supera el período de prueba (arts. 12 y 31)")),IF(B23="Desempeño anual",IF(E23&lt;=3,"No se evalúa: requiere más de tres meses en el establecimiento (art. 32)",IF(C23&gt;=$C$2,"Satisfactoria: sin consecuencias negativas",IF(AND(D23&lt;&gt;"",D23&lt;$C$2),"Exclusión: dos años consecutivos por debajo de 60 % (art. 36)","Sin exclusión: primera calificación no satisfactoria; conviene acompañamiento (art. 36)"))),IF(B23="Competencias",IF(C23&gt;$G$2,"Candidato: a reubicación o ascenso si cumple requisitos, en orden de puntaje y según presupuesto (art. 36)","No alcanza: el puntaje no supera el umbral para reubicación o ascenso (art. 36)"),""))))</f>
        <v/>
      </c>
    </row>
    <row r="24">
      <c r="A24" s="5" t="n"/>
      <c r="B24" s="5" t="n"/>
      <c r="C24" s="4" t="n"/>
      <c r="D24" s="4" t="n"/>
      <c r="E24" s="5" t="n"/>
      <c r="F24" s="2">
        <f>IF(B24="","",IF(B24="Período de prueba",IF(E24&lt;4,"Se espera: aún no se evalúa; debe esperar al año académico siguiente (art. 31)",IF(C24&gt;=$C$2,"Satisfactoria: derechos de carrera e inscripción en el Escalafón (arts. 12 y 31)","Retiro: no supera el período de prueba (arts. 12 y 31)")),IF(B24="Desempeño anual",IF(E24&lt;=3,"No se evalúa: requiere más de tres meses en el establecimiento (art. 32)",IF(C24&gt;=$C$2,"Satisfactoria: sin consecuencias negativas",IF(AND(D24&lt;&gt;"",D24&lt;$C$2),"Exclusión: dos años consecutivos por debajo de 60 % (art. 36)","Sin exclusión: primera calificación no satisfactoria; conviene acompañamiento (art. 36)"))),IF(B24="Competencias",IF(C24&gt;$G$2,"Candidato: a reubicación o ascenso si cumple requisitos, en orden de puntaje y según presupuesto (art. 36)","No alcanza: el puntaje no supera el umbral para reubicación o ascenso (art. 36)"),""))))</f>
        <v/>
      </c>
    </row>
    <row r="26">
      <c r="A26" s="6" t="inlineStr">
        <is>
          <t>Conteo de resultados</t>
        </is>
      </c>
    </row>
    <row r="27">
      <c r="A27" t="inlineStr">
        <is>
          <t>Satisfactoria</t>
        </is>
      </c>
      <c r="B27">
        <f>COUNTIF($F$5:$F$24,"Satisfactoria*")</f>
        <v/>
      </c>
    </row>
    <row r="28">
      <c r="A28" t="inlineStr">
        <is>
          <t>Retiro</t>
        </is>
      </c>
      <c r="B28">
        <f>COUNTIF($F$5:$F$24,"Retiro*")</f>
        <v/>
      </c>
    </row>
    <row r="29">
      <c r="A29" t="inlineStr">
        <is>
          <t>Se espera</t>
        </is>
      </c>
      <c r="B29">
        <f>COUNTIF($F$5:$F$24,"Se espera*")</f>
        <v/>
      </c>
    </row>
    <row r="30">
      <c r="A30" t="inlineStr">
        <is>
          <t>Sin exclusión</t>
        </is>
      </c>
      <c r="B30">
        <f>COUNTIF($F$5:$F$24,"Sin exclusión*")</f>
        <v/>
      </c>
    </row>
    <row r="31">
      <c r="A31" t="inlineStr">
        <is>
          <t>Exclusión</t>
        </is>
      </c>
      <c r="B31">
        <f>COUNTIF($F$5:$F$24,"Exclusión*")</f>
        <v/>
      </c>
    </row>
    <row r="32">
      <c r="A32" t="inlineStr">
        <is>
          <t>No se evalúa</t>
        </is>
      </c>
      <c r="B32">
        <f>COUNTIF($F$5:$F$24,"No se evalúa*")</f>
        <v/>
      </c>
    </row>
    <row r="33">
      <c r="A33" t="inlineStr">
        <is>
          <t>Candidato</t>
        </is>
      </c>
      <c r="B33">
        <f>COUNTIF($F$5:$F$24,"Candidato*")</f>
        <v/>
      </c>
    </row>
    <row r="34">
      <c r="A34" t="inlineStr">
        <is>
          <t>No alcanza</t>
        </is>
      </c>
      <c r="B34">
        <f>COUNTIF($F$5:$F$24,"No alcanza*")</f>
        <v/>
      </c>
    </row>
  </sheetData>
  <dataValidations count="1">
    <dataValidation sqref="B5:B24" showDropDown="0" showInputMessage="0" showErrorMessage="0" allowBlank="0" type="list">
      <formula1>"Período de prueba,Desempeño anual,Competencias"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0" customWidth="1" min="1" max="1"/>
    <col width="100" customWidth="1" min="2" max="2"/>
    <col width="18" customWidth="1" min="3" max="3"/>
  </cols>
  <sheetData>
    <row r="1">
      <c r="A1" s="1" t="inlineStr">
        <is>
          <t>TARJETAS DE ESTUDIO (resumen propio del texto original; contrasta con el texto vigente)</t>
        </is>
      </c>
    </row>
    <row r="3">
      <c r="A3" s="3" t="inlineStr">
        <is>
          <t>Pregunta</t>
        </is>
      </c>
      <c r="B3" s="3" t="inlineStr">
        <is>
          <t>Respuesta</t>
        </is>
      </c>
      <c r="C3" s="3" t="inlineStr">
        <is>
          <t>¿Dominada? (Sí/No)</t>
        </is>
      </c>
    </row>
    <row r="4">
      <c r="A4" s="2" t="inlineStr">
        <is>
          <t>¿Qué es la función docente según el art. 4?</t>
        </is>
      </c>
      <c r="B4" s="2" t="inlineStr">
        <is>
          <t>Función de carácter profesional que implica procesos sistemáticos de enseñanza-aprendizaje: diagnóstico, planificación, ejecución y evaluación, y otras actividades educativas en el marco del PEI</t>
        </is>
      </c>
      <c r="C4" s="5" t="inlineStr">
        <is>
          <t>No</t>
        </is>
      </c>
    </row>
    <row r="5">
      <c r="A5" s="2" t="inlineStr">
        <is>
          <t>¿Cuáles son los cargos de directivos docentes estatales?</t>
        </is>
      </c>
      <c r="B5" s="2" t="inlineStr">
        <is>
          <t>Director rural, rector y coordinador</t>
        </is>
      </c>
      <c r="C5" s="5" t="inlineStr">
        <is>
          <t>No</t>
        </is>
      </c>
    </row>
    <row r="6">
      <c r="A6" s="2" t="inlineStr">
        <is>
          <t>¿Qué se requiere para ingresar al servicio educativo estatal (art. 7)?</t>
        </is>
      </c>
      <c r="B6" s="2" t="inlineStr">
        <is>
          <t>Título de licenciado o profesional (o normalista superior) y superar el concurso de méritos</t>
        </is>
      </c>
      <c r="C6" s="5" t="inlineStr">
        <is>
          <t>No</t>
        </is>
      </c>
    </row>
    <row r="7">
      <c r="A7" s="2" t="inlineStr">
        <is>
          <t>¿Qué produce el concurso?</t>
        </is>
      </c>
      <c r="B7" s="2" t="inlineStr">
        <is>
          <t>Un listado de elegibles por nivel educativo y área de conocimiento, en orden descendente de puntaje</t>
        </is>
      </c>
      <c r="C7" s="5" t="inlineStr">
        <is>
          <t>No</t>
        </is>
      </c>
    </row>
    <row r="8">
      <c r="A8" s="2" t="inlineStr">
        <is>
          <t>¿Cuánto dura el período de prueba?</t>
        </is>
      </c>
      <c r="B8" s="2" t="inlineStr">
        <is>
          <t>Hasta culminar el año escolar de nombramiento, siempre que haya ejercido al menos cuatro meses</t>
        </is>
      </c>
      <c r="C8" s="5" t="inlineStr">
        <is>
          <t>No</t>
        </is>
      </c>
    </row>
    <row r="9">
      <c r="A9" s="2" t="inlineStr">
        <is>
          <t>¿Qué calificación es satisfactoria en la evaluación del período de prueba?</t>
        </is>
      </c>
      <c r="B9" s="2" t="inlineStr">
        <is>
          <t>60 % o más</t>
        </is>
      </c>
      <c r="C9" s="5" t="inlineStr">
        <is>
          <t>No</t>
        </is>
      </c>
    </row>
    <row r="10">
      <c r="A10" s="2" t="inlineStr">
        <is>
          <t>¿Qué pasa si no se supera el período de prueba?</t>
        </is>
      </c>
      <c r="B10" s="2" t="inlineStr">
        <is>
          <t>Se es separado del servicio, y se puede presentar de nuevo a concurso en otra convocatoria</t>
        </is>
      </c>
      <c r="C10" s="5" t="inlineStr">
        <is>
          <t>No</t>
        </is>
      </c>
    </row>
    <row r="11">
      <c r="A11" s="2" t="inlineStr">
        <is>
          <t>¿Cuántos grados y niveles tiene el escalafón?</t>
        </is>
      </c>
      <c r="B11" s="2" t="inlineStr">
        <is>
          <t>Tres grados, cada uno con cuatro niveles salariales (A, B, C y D)</t>
        </is>
      </c>
      <c r="C11" s="5" t="inlineStr">
        <is>
          <t>No</t>
        </is>
      </c>
    </row>
    <row r="12">
      <c r="A12" s="2" t="inlineStr">
        <is>
          <t>¿Cuándo se puede ascender o reubicar?</t>
        </is>
      </c>
      <c r="B12" s="2" t="inlineStr">
        <is>
          <t>Después de tres años de servicio, con la evaluación de competencias en el puntaje indicado</t>
        </is>
      </c>
      <c r="C12" s="5" t="inlineStr">
        <is>
          <t>No</t>
        </is>
      </c>
    </row>
    <row r="13">
      <c r="A13" s="2" t="inlineStr">
        <is>
          <t>¿Qué consecuencia tiene un desempeño inferior a 60 % dos años seguidos?</t>
        </is>
      </c>
      <c r="B13" s="2" t="inlineStr">
        <is>
          <t>Exclusión del escalafón y retiro del servicio (para docentes)</t>
        </is>
      </c>
      <c r="C13" s="5" t="inlineStr">
        <is>
          <t>No</t>
        </is>
      </c>
    </row>
    <row r="14">
      <c r="A14" s="2" t="inlineStr">
        <is>
          <t>¿Quién hace la evaluación de desempeño?</t>
        </is>
      </c>
      <c r="B14" s="2" t="inlineStr">
        <is>
          <t>El rector o director; para rectores, su superior jerárquico</t>
        </is>
      </c>
      <c r="C14" s="5" t="inlineStr">
        <is>
          <t>No</t>
        </is>
      </c>
    </row>
    <row r="15">
      <c r="A15" s="2" t="inlineStr">
        <is>
          <t>¿El estatuto rige a los docentes de colegios privados?</t>
        </is>
      </c>
      <c r="B15" s="2" t="inlineStr">
        <is>
          <t>No: su régimen es el Código Sustantivo del Trabajo y sus reglamentos internos</t>
        </is>
      </c>
      <c r="C15" s="5" t="inlineStr">
        <is>
          <t>No</t>
        </is>
      </c>
    </row>
    <row r="17">
      <c r="A17" t="inlineStr">
        <is>
          <t>Tarjetas dominadas</t>
        </is>
      </c>
      <c r="C17">
        <f>COUNTIF(C4:C15,"Sí")&amp;" de "&amp;COUNTA(A4:A15)</f>
        <v/>
      </c>
    </row>
  </sheetData>
  <dataValidations count="1">
    <dataValidation sqref="C4:C15" showDropDown="0" showInputMessage="0" showErrorMessage="0" allowBlank="0"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2026-10-10T14:16:23Z</dcterms:created>
  <dcterms:modified xmlns:dcterms="http://purl.org/dc/terms/" xmlns:xsi="http://www.w3.org/2001/XMLSchema-instance" xsi:type="dcterms:W3CDTF">2026-10-10T14:16:23Z</dcterms:modified>
</cp:coreProperties>
</file>