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las" sheetId="1" state="visible" r:id="rId1"/>
    <sheet xmlns:r="http://schemas.openxmlformats.org/officeDocument/2006/relationships" name="Simulador" sheetId="2" state="visible" r:id="rId2"/>
    <sheet xmlns:r="http://schemas.openxmlformats.org/officeDocument/2006/relationships" name="Formulario" sheetId="3" state="visible" r:id="rId3"/>
    <sheet xmlns:r="http://schemas.openxmlformats.org/officeDocument/2006/relationships" name="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8" customWidth="1" min="4" max="4"/>
    <col width="16" customWidth="1" min="5" max="5"/>
    <col width="22" customWidth="1" min="6" max="6"/>
    <col width="30" customWidth="1" min="7" max="7"/>
  </cols>
  <sheetData>
    <row r="1">
      <c r="A1" s="1" t="inlineStr">
        <is>
          <t>REGLAS DE APROBACIÓN (ejemplo ficticio; define las tuyas según tu manual de procesos y de contratación)</t>
        </is>
      </c>
    </row>
    <row r="2">
      <c r="A2" t="inlineStr">
        <is>
          <t>Cada fila dice desde qué monto aplica un nivel. Los montos son de ejemplo en pesos colombianos. Tipos sin monto usan 0.</t>
        </is>
      </c>
    </row>
    <row r="4" ht="40" customHeight="1">
      <c r="A4" s="2" t="inlineStr">
        <is>
          <t>Clave (se calcula)</t>
        </is>
      </c>
      <c r="B4" s="2" t="inlineStr">
        <is>
          <t>Tipo de solicitud</t>
        </is>
      </c>
      <c r="C4" s="2" t="inlineStr">
        <is>
          <t>Desde monto (COP)</t>
        </is>
      </c>
      <c r="D4" s="2" t="inlineStr">
        <is>
          <t>Quién aprueba</t>
        </is>
      </c>
      <c r="E4" s="2" t="inlineStr">
        <is>
          <t>Plazo de respuesta (horas)</t>
        </is>
      </c>
      <c r="F4" s="2" t="inlineStr">
        <is>
          <t>Si vence, escala a</t>
        </is>
      </c>
      <c r="G4" s="2" t="inlineStr">
        <is>
          <t>Delegado si el aprobador está ausente</t>
        </is>
      </c>
    </row>
    <row r="5">
      <c r="A5">
        <f>IF(B5="","",B5&amp;"|"&amp;C5)</f>
        <v/>
      </c>
      <c r="B5" s="3" t="inlineStr">
        <is>
          <t>Compra</t>
        </is>
      </c>
      <c r="C5" s="4" t="n">
        <v>0</v>
      </c>
      <c r="D5" s="3" t="inlineStr">
        <is>
          <t>Coordinación</t>
        </is>
      </c>
      <c r="E5" s="3" t="n">
        <v>24</v>
      </c>
      <c r="F5" s="3" t="inlineStr">
        <is>
          <t>Rectoría</t>
        </is>
      </c>
      <c r="G5" s="3" t="inlineStr">
        <is>
          <t>Coordinación académica</t>
        </is>
      </c>
    </row>
    <row r="6">
      <c r="A6">
        <f>IF(B6="","",B6&amp;"|"&amp;C6)</f>
        <v/>
      </c>
      <c r="B6" s="3" t="inlineStr">
        <is>
          <t>Compra</t>
        </is>
      </c>
      <c r="C6" s="4" t="n">
        <v>500001</v>
      </c>
      <c r="D6" s="3" t="inlineStr">
        <is>
          <t>Coordinación y Rectoría</t>
        </is>
      </c>
      <c r="E6" s="3" t="n">
        <v>48</v>
      </c>
      <c r="F6" s="3" t="inlineStr">
        <is>
          <t>Consejo directivo</t>
        </is>
      </c>
      <c r="G6" s="3" t="inlineStr">
        <is>
          <t>Vicerrectoría</t>
        </is>
      </c>
    </row>
    <row r="7">
      <c r="A7">
        <f>IF(B7="","",B7&amp;"|"&amp;C7)</f>
        <v/>
      </c>
      <c r="B7" s="3" t="inlineStr">
        <is>
          <t>Compra</t>
        </is>
      </c>
      <c r="C7" s="4" t="n">
        <v>5000001</v>
      </c>
      <c r="D7" s="3" t="inlineStr">
        <is>
          <t>Consejo directivo</t>
        </is>
      </c>
      <c r="E7" s="3" t="n">
        <v>120</v>
      </c>
      <c r="F7" s="3" t="inlineStr">
        <is>
          <t>Rectoría</t>
        </is>
      </c>
      <c r="G7" s="3" t="inlineStr">
        <is>
          <t>Secretaría del consejo</t>
        </is>
      </c>
    </row>
    <row r="8">
      <c r="A8">
        <f>IF(B8="","",B8&amp;"|"&amp;C8)</f>
        <v/>
      </c>
      <c r="B8" s="3" t="inlineStr">
        <is>
          <t>Permiso</t>
        </is>
      </c>
      <c r="C8" s="4" t="n">
        <v>0</v>
      </c>
      <c r="D8" s="3" t="inlineStr">
        <is>
          <t>Coordinación</t>
        </is>
      </c>
      <c r="E8" s="3" t="n">
        <v>24</v>
      </c>
      <c r="F8" s="3" t="inlineStr">
        <is>
          <t>Rectoría</t>
        </is>
      </c>
      <c r="G8" s="3" t="inlineStr">
        <is>
          <t>Coordinación académica</t>
        </is>
      </c>
    </row>
    <row r="9">
      <c r="A9">
        <f>IF(B9="","",B9&amp;"|"&amp;C9)</f>
        <v/>
      </c>
      <c r="B9" s="3" t="inlineStr">
        <is>
          <t>Uso de espacio</t>
        </is>
      </c>
      <c r="C9" s="4" t="n">
        <v>0</v>
      </c>
      <c r="D9" s="3" t="inlineStr">
        <is>
          <t>Secretaría</t>
        </is>
      </c>
      <c r="E9" s="3" t="n">
        <v>48</v>
      </c>
      <c r="F9" s="3" t="inlineStr">
        <is>
          <t>Coordinación</t>
        </is>
      </c>
      <c r="G9" s="3" t="inlineStr">
        <is>
          <t>Auxiliar administrativo</t>
        </is>
      </c>
    </row>
    <row r="10">
      <c r="A10">
        <f>IF(B10="","",B10&amp;"|"&amp;C10)</f>
        <v/>
      </c>
      <c r="B10" s="3" t="n"/>
      <c r="C10" s="4" t="n"/>
      <c r="D10" s="3" t="n"/>
      <c r="E10" s="3" t="n"/>
      <c r="F10" s="3" t="n"/>
      <c r="G10" s="3" t="n"/>
    </row>
    <row r="11">
      <c r="A11">
        <f>IF(B11="","",B11&amp;"|"&amp;C11)</f>
        <v/>
      </c>
      <c r="B11" s="3" t="n"/>
      <c r="C11" s="4" t="n"/>
      <c r="D11" s="3" t="n"/>
      <c r="E11" s="3" t="n"/>
      <c r="F11" s="3" t="n"/>
      <c r="G11" s="3" t="n"/>
    </row>
    <row r="12">
      <c r="A12">
        <f>IF(B12="","",B12&amp;"|"&amp;C12)</f>
        <v/>
      </c>
      <c r="B12" s="3" t="n"/>
      <c r="C12" s="4" t="n"/>
      <c r="D12" s="3" t="n"/>
      <c r="E12" s="3" t="n"/>
      <c r="F12" s="3" t="n"/>
      <c r="G12" s="3" t="n"/>
    </row>
    <row r="13">
      <c r="A13">
        <f>IF(B13="","",B13&amp;"|"&amp;C13)</f>
        <v/>
      </c>
      <c r="B13" s="3" t="n"/>
      <c r="C13" s="4" t="n"/>
      <c r="D13" s="3" t="n"/>
      <c r="E13" s="3" t="n"/>
      <c r="F13" s="3" t="n"/>
      <c r="G13" s="3" t="n"/>
    </row>
    <row r="14">
      <c r="A14">
        <f>IF(B14="","",B14&amp;"|"&amp;C14)</f>
        <v/>
      </c>
      <c r="B14" s="3" t="n"/>
      <c r="C14" s="4" t="n"/>
      <c r="D14" s="3" t="n"/>
      <c r="E14" s="3" t="n"/>
      <c r="F14" s="3" t="n"/>
      <c r="G14" s="3" t="n"/>
    </row>
    <row r="15">
      <c r="A15">
        <f>IF(B15="","",B15&amp;"|"&amp;C15)</f>
        <v/>
      </c>
      <c r="B15" s="3" t="n"/>
      <c r="C15" s="4" t="n"/>
      <c r="D15" s="3" t="n"/>
      <c r="E15" s="3" t="n"/>
      <c r="F15" s="3" t="n"/>
      <c r="G15" s="3" t="n"/>
    </row>
    <row r="16">
      <c r="A16">
        <f>IF(B16="","",B16&amp;"|"&amp;C16)</f>
        <v/>
      </c>
      <c r="B16" s="3" t="n"/>
      <c r="C16" s="4" t="n"/>
      <c r="D16" s="3" t="n"/>
      <c r="E16" s="3" t="n"/>
      <c r="F16" s="3" t="n"/>
      <c r="G16" s="3" t="n"/>
    </row>
    <row r="17">
      <c r="A17">
        <f>IF(B17="","",B17&amp;"|"&amp;C17)</f>
        <v/>
      </c>
      <c r="B17" s="3" t="n"/>
      <c r="C17" s="4" t="n"/>
      <c r="D17" s="3" t="n"/>
      <c r="E17" s="3" t="n"/>
      <c r="F17" s="3" t="n"/>
      <c r="G17" s="3" t="n"/>
    </row>
    <row r="18">
      <c r="A18">
        <f>IF(B18="","",B18&amp;"|"&amp;C18)</f>
        <v/>
      </c>
      <c r="B18" s="3" t="n"/>
      <c r="C18" s="4" t="n"/>
      <c r="D18" s="3" t="n"/>
      <c r="E18" s="3" t="n"/>
      <c r="F18" s="3" t="n"/>
      <c r="G18" s="3" t="n"/>
    </row>
    <row r="19">
      <c r="A19">
        <f>IF(B19="","",B19&amp;"|"&amp;C19)</f>
        <v/>
      </c>
      <c r="B19" s="3" t="n"/>
      <c r="C19" s="4" t="n"/>
      <c r="D19" s="3" t="n"/>
      <c r="E19" s="3" t="n"/>
      <c r="F19" s="3" t="n"/>
      <c r="G19" s="3" t="n"/>
    </row>
    <row r="20">
      <c r="A20">
        <f>IF(B20="","",B20&amp;"|"&amp;C20)</f>
        <v/>
      </c>
      <c r="B20" s="3" t="n"/>
      <c r="C20" s="4" t="n"/>
      <c r="D20" s="3" t="n"/>
      <c r="E20" s="3" t="n"/>
      <c r="F20" s="3" t="n"/>
      <c r="G20" s="3" t="n"/>
    </row>
    <row r="21">
      <c r="A21">
        <f>IF(B21="","",B21&amp;"|"&amp;C21)</f>
        <v/>
      </c>
      <c r="B21" s="3" t="n"/>
      <c r="C21" s="4" t="n"/>
      <c r="D21" s="3" t="n"/>
      <c r="E21" s="3" t="n"/>
      <c r="F21" s="3" t="n"/>
      <c r="G21" s="3" t="n"/>
    </row>
    <row r="22">
      <c r="A22">
        <f>IF(B22="","",B22&amp;"|"&amp;C22)</f>
        <v/>
      </c>
      <c r="B22" s="3" t="n"/>
      <c r="C22" s="4" t="n"/>
      <c r="D22" s="3" t="n"/>
      <c r="E22" s="3" t="n"/>
      <c r="F22" s="3" t="n"/>
      <c r="G22" s="3" t="n"/>
    </row>
    <row r="23">
      <c r="A23">
        <f>IF(B23="","",B23&amp;"|"&amp;C23)</f>
        <v/>
      </c>
      <c r="B23" s="3" t="n"/>
      <c r="C23" s="4" t="n"/>
      <c r="D23" s="3" t="n"/>
      <c r="E23" s="3" t="n"/>
      <c r="F23" s="3" t="n"/>
      <c r="G23" s="3" t="n"/>
    </row>
    <row r="24">
      <c r="A24">
        <f>IF(B24="","",B24&amp;"|"&amp;C24)</f>
        <v/>
      </c>
      <c r="B24" s="3" t="n"/>
      <c r="C24" s="4" t="n"/>
      <c r="D24" s="3" t="n"/>
      <c r="E24" s="3" t="n"/>
      <c r="F24" s="3" t="n"/>
      <c r="G2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SIMULADOR: ¿QUIÉN DEBE APROBAR ESTA SOLICITUD?</t>
        </is>
      </c>
    </row>
    <row r="3">
      <c r="A3" t="inlineStr">
        <is>
          <t>Tipo de solicitud</t>
        </is>
      </c>
      <c r="B3" s="3" t="inlineStr">
        <is>
          <t>Compra</t>
        </is>
      </c>
    </row>
    <row r="4">
      <c r="A4" t="inlineStr">
        <is>
          <t>Monto (COP)</t>
        </is>
      </c>
      <c r="B4" s="4" t="n">
        <v>1200000</v>
      </c>
    </row>
    <row r="6">
      <c r="A6" t="inlineStr">
        <is>
          <t>Umbral aplicado (desde monto)</t>
        </is>
      </c>
      <c r="B6" s="5">
        <f>_xlfn.MAXIFS(Reglas!$C$5:$C$24,Reglas!$B$5:$B$24,B3,Reglas!$C$5:$C$24,"&lt;="&amp;B4)</f>
        <v/>
      </c>
    </row>
    <row r="7">
      <c r="A7" t="inlineStr">
        <is>
          <t>Fila de la regla</t>
        </is>
      </c>
      <c r="B7">
        <f>MATCH(B3&amp;"|"&amp;B6,Reglas!$A$5:$A$24,0)</f>
        <v/>
      </c>
    </row>
    <row r="8">
      <c r="A8" t="inlineStr">
        <is>
          <t>Quién aprueba</t>
        </is>
      </c>
      <c r="B8" s="6">
        <f>INDEX(Reglas!$D$5:$D$24,B7)</f>
        <v/>
      </c>
    </row>
    <row r="9">
      <c r="A9" t="inlineStr">
        <is>
          <t>Plazo de respuesta (horas)</t>
        </is>
      </c>
      <c r="B9" s="6">
        <f>INDEX(Reglas!$E$5:$E$24,B7)</f>
        <v/>
      </c>
    </row>
    <row r="10">
      <c r="A10" t="inlineStr">
        <is>
          <t>Si vence, escala a</t>
        </is>
      </c>
      <c r="B10" s="6">
        <f>INDEX(Reglas!$F$5:$F$24,B7)</f>
        <v/>
      </c>
    </row>
    <row r="11">
      <c r="A11" t="inlineStr">
        <is>
          <t>Delegado</t>
        </is>
      </c>
      <c r="B11" s="6">
        <f>INDEX(Reglas!$G$5:$G$24,B7)</f>
        <v/>
      </c>
    </row>
    <row r="13">
      <c r="A13" t="inlineStr">
        <is>
          <t>Prueba otros casos: Compra de 400.000 → Coordinación; de 5.000.000 → Coordinación y Rectoría; de 6.000.000 → Consejo directivo.</t>
        </is>
      </c>
    </row>
  </sheetData>
  <dataValidations count="1">
    <dataValidation sqref="B3" showDropDown="0" showInputMessage="0" showErrorMessage="0" allowBlank="0" type="list">
      <formula1>=OFFSET(Reglas!$B$5,0,0,COUNTA(Reglas!$B$5:$B$24),1)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44" customWidth="1" min="4" max="4"/>
    <col width="30" customWidth="1" min="5" max="5"/>
  </cols>
  <sheetData>
    <row r="1">
      <c r="A1" s="1" t="inlineStr">
        <is>
          <t>CAMPOS DEL FORMULARIO DE SOLICITUD (menos es más: cada campo debe servir para decidir o para enrutar)</t>
        </is>
      </c>
    </row>
    <row r="3">
      <c r="A3" s="2" t="inlineStr">
        <is>
          <t>Campo</t>
        </is>
      </c>
      <c r="B3" s="2" t="inlineStr">
        <is>
          <t>Tipo de dato</t>
        </is>
      </c>
      <c r="C3" s="2" t="inlineStr">
        <is>
          <t>Obligatorio</t>
        </is>
      </c>
      <c r="D3" s="2" t="inlineStr">
        <is>
          <t>Para qué sirve</t>
        </is>
      </c>
      <c r="E3" s="2" t="inlineStr">
        <is>
          <t>Validación sugerida</t>
        </is>
      </c>
    </row>
    <row r="4">
      <c r="A4" s="7" t="inlineStr">
        <is>
          <t>Tipo de solicitud</t>
        </is>
      </c>
      <c r="B4" s="7" t="inlineStr">
        <is>
          <t>Lista</t>
        </is>
      </c>
      <c r="C4" s="7" t="inlineStr">
        <is>
          <t>Sí</t>
        </is>
      </c>
      <c r="D4" s="7" t="inlineStr">
        <is>
          <t>Enrutar a las reglas</t>
        </is>
      </c>
      <c r="E4" s="7" t="inlineStr">
        <is>
          <t>Lista cerrada</t>
        </is>
      </c>
    </row>
    <row r="5">
      <c r="A5" s="7" t="inlineStr">
        <is>
          <t>Descripción breve</t>
        </is>
      </c>
      <c r="B5" s="7" t="inlineStr">
        <is>
          <t>Texto</t>
        </is>
      </c>
      <c r="C5" s="7" t="inlineStr">
        <is>
          <t>Sí</t>
        </is>
      </c>
      <c r="D5" s="7" t="inlineStr">
        <is>
          <t>Que el aprobador entienda qué aprueba</t>
        </is>
      </c>
      <c r="E5" s="7" t="inlineStr">
        <is>
          <t>Mínimo 20 caracteres</t>
        </is>
      </c>
    </row>
    <row r="6">
      <c r="A6" s="7" t="inlineStr">
        <is>
          <t>Monto estimado</t>
        </is>
      </c>
      <c r="B6" s="7" t="inlineStr">
        <is>
          <t>Número</t>
        </is>
      </c>
      <c r="C6" s="7" t="inlineStr">
        <is>
          <t>Según tipo</t>
        </is>
      </c>
      <c r="D6" s="7" t="inlineStr">
        <is>
          <t>Elegir el nivel de aprobación</t>
        </is>
      </c>
      <c r="E6" s="7" t="inlineStr">
        <is>
          <t>Número positivo</t>
        </is>
      </c>
    </row>
    <row r="7">
      <c r="A7" s="7" t="inlineStr">
        <is>
          <t>Fecha en que se necesita</t>
        </is>
      </c>
      <c r="B7" s="7" t="inlineStr">
        <is>
          <t>Fecha</t>
        </is>
      </c>
      <c r="C7" s="7" t="inlineStr">
        <is>
          <t>Sí</t>
        </is>
      </c>
      <c r="D7" s="7" t="inlineStr">
        <is>
          <t>Priorizar y medir el plazo</t>
        </is>
      </c>
      <c r="E7" s="7" t="inlineStr">
        <is>
          <t>Posterior a hoy</t>
        </is>
      </c>
    </row>
    <row r="8">
      <c r="A8" s="7" t="inlineStr">
        <is>
          <t>Soporte (cotización, adjunto)</t>
        </is>
      </c>
      <c r="B8" s="7" t="inlineStr">
        <is>
          <t>Archivo</t>
        </is>
      </c>
      <c r="C8" s="7" t="inlineStr">
        <is>
          <t>Según tipo</t>
        </is>
      </c>
      <c r="D8" s="7" t="inlineStr">
        <is>
          <t>Evidencia para decidir y auditar</t>
        </is>
      </c>
      <c r="E8" s="7" t="inlineStr">
        <is>
          <t>Tipos y tamaño limitados</t>
        </is>
      </c>
    </row>
    <row r="9">
      <c r="A9" s="7" t="inlineStr">
        <is>
          <t>Centro de costo o curso</t>
        </is>
      </c>
      <c r="B9" s="7" t="inlineStr">
        <is>
          <t>Lista</t>
        </is>
      </c>
      <c r="C9" s="7" t="inlineStr">
        <is>
          <t>Según tipo</t>
        </is>
      </c>
      <c r="D9" s="7" t="inlineStr">
        <is>
          <t>Imputar el gasto o el recurso</t>
        </is>
      </c>
      <c r="E9" s="7" t="inlineStr">
        <is>
          <t>Lista cerrada</t>
        </is>
      </c>
    </row>
    <row r="10">
      <c r="A10" s="7" t="inlineStr">
        <is>
          <t>Datos personales de terceros</t>
        </is>
      </c>
      <c r="B10" s="7" t="inlineStr">
        <is>
          <t>No pedir</t>
        </is>
      </c>
      <c r="C10" s="7" t="inlineStr">
        <is>
          <t>No</t>
        </is>
      </c>
      <c r="D10" s="7" t="inlineStr">
        <is>
          <t>Minimización de datos</t>
        </is>
      </c>
      <c r="E10" s="7" t="inlineStr">
        <is>
          <t>Evitar campos innecesarios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</cols>
  <sheetData>
    <row r="1">
      <c r="A1" s="1" t="inlineStr">
        <is>
          <t>LISTA ANTES DE PUBLICAR EL FLUJO</t>
        </is>
      </c>
    </row>
    <row r="3">
      <c r="A3" s="2" t="inlineStr">
        <is>
          <t>Control</t>
        </is>
      </c>
      <c r="B3" s="2" t="inlineStr">
        <is>
          <t>Hecho (Sí/No)</t>
        </is>
      </c>
    </row>
    <row r="4">
      <c r="A4" t="inlineStr">
        <is>
          <t>Cada tipo de solicitud tiene un dueño del proceso</t>
        </is>
      </c>
      <c r="B4" s="3" t="inlineStr">
        <is>
          <t>No</t>
        </is>
      </c>
    </row>
    <row r="5">
      <c r="A5" t="inlineStr">
        <is>
          <t>Cada nivel tiene aprobador principal y delegado</t>
        </is>
      </c>
      <c r="B5" s="3" t="inlineStr">
        <is>
          <t>No</t>
        </is>
      </c>
    </row>
    <row r="6">
      <c r="A6" t="inlineStr">
        <is>
          <t>Hay plazo de respuesta y a quién se escala</t>
        </is>
      </c>
      <c r="B6" s="3" t="inlineStr">
        <is>
          <t>No</t>
        </is>
      </c>
    </row>
    <row r="7">
      <c r="A7" t="inlineStr">
        <is>
          <t>El solicitante recibe confirmación y resultado</t>
        </is>
      </c>
      <c r="B7" s="3" t="inlineStr">
        <is>
          <t>No</t>
        </is>
      </c>
    </row>
    <row r="8">
      <c r="A8" t="inlineStr">
        <is>
          <t>Hay registro (quién, cuándo, qué decidió)</t>
        </is>
      </c>
      <c r="B8" s="3" t="inlineStr">
        <is>
          <t>No</t>
        </is>
      </c>
    </row>
    <row r="9">
      <c r="A9" t="inlineStr">
        <is>
          <t>Los adjuntos y datos personales tienen acceso limitado</t>
        </is>
      </c>
      <c r="B9" s="3" t="inlineStr">
        <is>
          <t>No</t>
        </is>
      </c>
    </row>
    <row r="10">
      <c r="A10" t="inlineStr">
        <is>
          <t>El flujo no depende de la cuenta personal de una sola persona</t>
        </is>
      </c>
      <c r="B10" s="3" t="inlineStr">
        <is>
          <t>No</t>
        </is>
      </c>
    </row>
    <row r="11">
      <c r="A11" t="inlineStr">
        <is>
          <t>Se probó con casos de cada nivel y con ausencia del aprobador</t>
        </is>
      </c>
      <c r="B11" s="3" t="inlineStr">
        <is>
          <t>No</t>
        </is>
      </c>
    </row>
    <row r="12">
      <c r="A12" t="inlineStr">
        <is>
          <t>Hay un procedimiento manual si el flujo falla</t>
        </is>
      </c>
      <c r="B12" s="3" t="inlineStr">
        <is>
          <t>No</t>
        </is>
      </c>
    </row>
    <row r="13">
      <c r="A13" t="inlineStr">
        <is>
          <t>Se revisan los tiempos cada mes (ver el analizador)</t>
        </is>
      </c>
      <c r="B13" s="3" t="inlineStr">
        <is>
          <t>No</t>
        </is>
      </c>
    </row>
    <row r="15">
      <c r="A15" t="inlineStr">
        <is>
          <t>Controles cumplidos</t>
        </is>
      </c>
      <c r="B15">
        <f>COUNTIF(B4:B13,"Sí")&amp;" de "&amp;COUNTA(A4:A13)</f>
        <v/>
      </c>
    </row>
  </sheetData>
  <dataValidations count="1">
    <dataValidation sqref="B4:B13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2026-10-10T13:23:41Z</dcterms:created>
  <dcterms:modified xmlns:dcterms="http://purl.org/dc/terms/" xmlns:xsi="http://www.w3.org/2001/XMLSchema-instance" xsi:type="dcterms:W3CDTF">2026-10-10T13:23:41Z</dcterms:modified>
</cp:coreProperties>
</file>