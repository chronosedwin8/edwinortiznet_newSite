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ersonas" sheetId="3" state="visible" r:id="rId3"/>
    <sheet xmlns:r="http://schemas.openxmlformats.org/officeDocument/2006/relationships" name="Cu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1" t="inlineStr">
        <is>
          <t>RESUMEN</t>
        </is>
      </c>
    </row>
    <row r="3">
      <c r="A3" t="inlineStr">
        <is>
          <t>Cuentas revisadas</t>
        </is>
      </c>
      <c r="B3" s="2">
        <f>COUNTA(Cuentas!A2:A25)</f>
        <v/>
      </c>
    </row>
    <row r="4">
      <c r="A4" t="inlineStr">
        <is>
          <t>Cuentas de personas retiradas</t>
        </is>
      </c>
      <c r="B4" s="2">
        <f>COUNTIF(Cuentas!G2:G25,"Retirado")</f>
        <v/>
      </c>
    </row>
    <row r="5">
      <c r="A5" t="inlineStr">
        <is>
          <t>Cuentas activas tras el retiro (incluye las críticas)</t>
        </is>
      </c>
      <c r="B5" s="2">
        <f>COUNTIF(Cuentas!J2:J25,"Activa tras*")+COUNTIF(Cuentas!J2:J25,"Crítica*")</f>
        <v/>
      </c>
    </row>
    <row r="6">
      <c r="A6" t="inlineStr">
        <is>
          <t xml:space="preserve">   de ellas, críticas (administrador)</t>
        </is>
      </c>
      <c r="B6" s="2">
        <f>COUNTIF(Cuentas!J2:J25,"Crítica*")</f>
        <v/>
      </c>
    </row>
    <row r="7">
      <c r="A7" t="inlineStr">
        <is>
          <t>Bajas tardías</t>
        </is>
      </c>
      <c r="B7" s="2">
        <f>COUNTIF(Cuentas!J2:J25,"Baja tardía")</f>
        <v/>
      </c>
    </row>
    <row r="8">
      <c r="A8" t="inlineStr">
        <is>
          <t>Bajas a tiempo</t>
        </is>
      </c>
      <c r="B8" s="2">
        <f>COUNTIF(Cuentas!J2:J25,"Baja a tiempo")</f>
        <v/>
      </c>
    </row>
    <row r="9">
      <c r="A9" t="inlineStr">
        <is>
          <t>Cuentas inactivas de personas activas</t>
        </is>
      </c>
      <c r="B9" s="2">
        <f>COUNTIF(Cuentas!J2:J25,"Inactiva")</f>
        <v/>
      </c>
    </row>
    <row r="10">
      <c r="A10" t="inlineStr">
        <is>
          <t>Cuentas vigentes</t>
        </is>
      </c>
      <c r="B10" s="2">
        <f>COUNTIF(Cuentas!J2:J25,"Vigente")</f>
        <v/>
      </c>
    </row>
    <row r="11">
      <c r="A11" t="inlineStr">
        <is>
          <t>% de las cuentas de personas retiradas que siguen activas</t>
        </is>
      </c>
      <c r="B11" s="3">
        <f>B5/B4</f>
        <v/>
      </c>
    </row>
    <row r="12">
      <c r="A12" t="inlineStr">
        <is>
          <t>Mayor número de días activa tras el retiro</t>
        </is>
      </c>
      <c r="B12" s="2">
        <f>SUMPRODUCT(MAX(((Cuentas!J2:J25="Activa tras el retiro")+(LEFT(Cuentas!J2:J25,7)="Crítica"))*Cuentas!I2:I25))</f>
        <v/>
      </c>
    </row>
    <row r="13">
      <c r="A13" t="inlineStr">
        <is>
          <t>Personas retiradas con al menos una cuenta activa</t>
        </is>
      </c>
      <c r="B13" s="2">
        <f>SUMPRODUCT(--(COUNTIFS(Cuentas!B2:B25,Personas!A2:A13,Cuentas!J2:J25,"Activa tras*")+COUNTIFS(Cuentas!B2:B25,Personas!A2:A13,Cuentas!J2:J25,"Crítica*")&gt;0))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8" customWidth="1" min="1" max="1"/>
    <col width="14" customWidth="1" min="2" max="2"/>
  </cols>
  <sheetData>
    <row r="1">
      <c r="A1" s="1" t="inlineStr">
        <is>
          <t>PARÁMETROS (editables; datos ficticios)</t>
        </is>
      </c>
    </row>
    <row r="3">
      <c r="A3" t="inlineStr">
        <is>
          <t>Fecha de revisión (escribe la de hoy; no se usa HOY() para que el resultado sea reproducible)</t>
        </is>
      </c>
      <c r="B3" s="4" t="n">
        <v>46447</v>
      </c>
    </row>
    <row r="4">
      <c r="A4" t="inlineStr">
        <is>
          <t>Plazo máximo para dar de baja una cuenta tras el retiro (días)</t>
        </is>
      </c>
      <c r="B4" s="5" t="n">
        <v>2</v>
      </c>
    </row>
    <row r="5">
      <c r="A5" t="inlineStr">
        <is>
          <t>Días sin iniciar sesión para marcar una cuenta como inactiva</t>
        </is>
      </c>
      <c r="B5" s="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6" customWidth="1" min="4" max="4"/>
  </cols>
  <sheetData>
    <row r="1">
      <c r="A1" s="6" t="inlineStr">
        <is>
          <t>ID</t>
        </is>
      </c>
      <c r="B1" s="6" t="inlineStr">
        <is>
          <t>Rol</t>
        </is>
      </c>
      <c r="C1" s="6" t="inlineStr">
        <is>
          <t>Estado (Activo o Retirado)</t>
        </is>
      </c>
      <c r="D1" s="6" t="inlineStr">
        <is>
          <t>Fecha de retiro</t>
        </is>
      </c>
    </row>
    <row r="2">
      <c r="A2" s="5" t="inlineStr">
        <is>
          <t>P01</t>
        </is>
      </c>
      <c r="B2" s="5" t="inlineStr">
        <is>
          <t>Docente</t>
        </is>
      </c>
      <c r="C2" s="5" t="inlineStr">
        <is>
          <t>Activo</t>
        </is>
      </c>
      <c r="D2" s="4" t="n"/>
    </row>
    <row r="3">
      <c r="A3" s="5" t="inlineStr">
        <is>
          <t>P02</t>
        </is>
      </c>
      <c r="B3" s="5" t="inlineStr">
        <is>
          <t>Docente</t>
        </is>
      </c>
      <c r="C3" s="5" t="inlineStr">
        <is>
          <t>Retirado</t>
        </is>
      </c>
      <c r="D3" s="4" t="n">
        <v>46356</v>
      </c>
    </row>
    <row r="4">
      <c r="A4" s="5" t="inlineStr">
        <is>
          <t>P03</t>
        </is>
      </c>
      <c r="B4" s="5" t="inlineStr">
        <is>
          <t>Docente</t>
        </is>
      </c>
      <c r="C4" s="5" t="inlineStr">
        <is>
          <t>Activo</t>
        </is>
      </c>
      <c r="D4" s="4" t="n"/>
    </row>
    <row r="5">
      <c r="A5" s="5" t="inlineStr">
        <is>
          <t>P04</t>
        </is>
      </c>
      <c r="B5" s="5" t="inlineStr">
        <is>
          <t>Administrativo</t>
        </is>
      </c>
      <c r="C5" s="5" t="inlineStr">
        <is>
          <t>Retirado</t>
        </is>
      </c>
      <c r="D5" s="4" t="n">
        <v>46402</v>
      </c>
    </row>
    <row r="6">
      <c r="A6" s="5" t="inlineStr">
        <is>
          <t>P05</t>
        </is>
      </c>
      <c r="B6" s="5" t="inlineStr">
        <is>
          <t>Directivo</t>
        </is>
      </c>
      <c r="C6" s="5" t="inlineStr">
        <is>
          <t>Activo</t>
        </is>
      </c>
      <c r="D6" s="4" t="n"/>
    </row>
    <row r="7">
      <c r="A7" s="5" t="inlineStr">
        <is>
          <t>P06</t>
        </is>
      </c>
      <c r="B7" s="5" t="inlineStr">
        <is>
          <t>Contratista</t>
        </is>
      </c>
      <c r="C7" s="5" t="inlineStr">
        <is>
          <t>Retirado</t>
        </is>
      </c>
      <c r="D7" s="4" t="n">
        <v>46366</v>
      </c>
    </row>
    <row r="8">
      <c r="A8" s="5" t="inlineStr">
        <is>
          <t>P07</t>
        </is>
      </c>
      <c r="B8" s="5" t="inlineStr">
        <is>
          <t>Docente</t>
        </is>
      </c>
      <c r="C8" s="5" t="inlineStr">
        <is>
          <t>Activo</t>
        </is>
      </c>
      <c r="D8" s="4" t="n"/>
    </row>
    <row r="9">
      <c r="A9" s="5" t="inlineStr">
        <is>
          <t>P08</t>
        </is>
      </c>
      <c r="B9" s="5" t="inlineStr">
        <is>
          <t>Practicante</t>
        </is>
      </c>
      <c r="C9" s="5" t="inlineStr">
        <is>
          <t>Retirado</t>
        </is>
      </c>
      <c r="D9" s="4" t="n">
        <v>46438</v>
      </c>
    </row>
    <row r="10">
      <c r="A10" s="5" t="inlineStr">
        <is>
          <t>P09</t>
        </is>
      </c>
      <c r="B10" s="5" t="inlineStr">
        <is>
          <t>Administrativo</t>
        </is>
      </c>
      <c r="C10" s="5" t="inlineStr">
        <is>
          <t>Activo</t>
        </is>
      </c>
      <c r="D10" s="4" t="n"/>
    </row>
    <row r="11">
      <c r="A11" s="5" t="inlineStr">
        <is>
          <t>P10</t>
        </is>
      </c>
      <c r="B11" s="5" t="inlineStr">
        <is>
          <t>Docente</t>
        </is>
      </c>
      <c r="C11" s="5" t="inlineStr">
        <is>
          <t>Retirado</t>
        </is>
      </c>
      <c r="D11" s="4" t="n">
        <v>46203</v>
      </c>
    </row>
    <row r="12">
      <c r="A12" s="5" t="inlineStr">
        <is>
          <t>P11</t>
        </is>
      </c>
      <c r="B12" s="5" t="inlineStr">
        <is>
          <t>Docente</t>
        </is>
      </c>
      <c r="C12" s="5" t="inlineStr">
        <is>
          <t>Activo</t>
        </is>
      </c>
      <c r="D12" s="4" t="n"/>
    </row>
    <row r="13">
      <c r="A13" s="5" t="inlineStr">
        <is>
          <t>P12</t>
        </is>
      </c>
      <c r="B13" s="5" t="inlineStr">
        <is>
          <t>Contratista</t>
        </is>
      </c>
      <c r="C13" s="5" t="inlineStr">
        <is>
          <t>Activo</t>
        </is>
      </c>
      <c r="D13" s="4" t="n"/>
    </row>
  </sheetData>
  <dataValidations count="1">
    <dataValidation sqref="C2:C33" showDropDown="0" showInputMessage="0" showErrorMessage="0" allowBlank="0" type="list">
      <formula1>"Activo,Retirado"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22" customWidth="1" min="9" max="9"/>
    <col width="40" customWidth="1" min="10" max="10"/>
  </cols>
  <sheetData>
    <row r="1" ht="48" customHeight="1">
      <c r="A1" s="6" t="inlineStr">
        <is>
          <t>ID cuenta</t>
        </is>
      </c>
      <c r="B1" s="6" t="inlineStr">
        <is>
          <t>Persona</t>
        </is>
      </c>
      <c r="C1" s="6" t="inlineStr">
        <is>
          <t>Sistema</t>
        </is>
      </c>
      <c r="D1" s="6" t="inlineStr">
        <is>
          <t>Nivel (Usuario o Administrador)</t>
        </is>
      </c>
      <c r="E1" s="6" t="inlineStr">
        <is>
          <t>Última sesión</t>
        </is>
      </c>
      <c r="F1" s="6" t="inlineStr">
        <is>
          <t>Fecha de baja</t>
        </is>
      </c>
      <c r="G1" s="6" t="inlineStr">
        <is>
          <t>Estado de la persona</t>
        </is>
      </c>
      <c r="H1" s="6" t="inlineStr">
        <is>
          <t>Fecha de retiro</t>
        </is>
      </c>
      <c r="I1" s="6" t="inlineStr">
        <is>
          <t>Días desde el retiro o desde la última sesión</t>
        </is>
      </c>
      <c r="J1" s="6" t="inlineStr">
        <is>
          <t>Alerta</t>
        </is>
      </c>
    </row>
    <row r="2">
      <c r="A2" s="5" t="inlineStr">
        <is>
          <t>C01</t>
        </is>
      </c>
      <c r="B2" s="5" t="inlineStr">
        <is>
          <t>P01</t>
        </is>
      </c>
      <c r="C2" s="5" t="inlineStr">
        <is>
          <t>Correo</t>
        </is>
      </c>
      <c r="D2" s="5" t="inlineStr">
        <is>
          <t>Usuario</t>
        </is>
      </c>
      <c r="E2" s="4" t="n">
        <v>46444</v>
      </c>
      <c r="F2" s="5" t="n"/>
      <c r="G2">
        <f>VLOOKUP(B2,Personas!$A$2:$D$13,3,FALSE)</f>
        <v/>
      </c>
      <c r="H2" s="7">
        <f>IF(G2="Retirado",VLOOKUP(B2,Personas!$A$2:$D$13,4,FALSE),"")</f>
        <v/>
      </c>
      <c r="I2">
        <f>IF(G2="Retirado",IF(F2="",Parametros!$B$3-H2,F2-H2),Parametros!$B$3-E2)</f>
        <v/>
      </c>
      <c r="J2">
        <f>IF(G2="Retirado",IF(F2="",IF(D2="Administrador","Crítica: administrador activo tras el retiro","Activa tras el retiro"),IF(I2&gt;Parametros!$B$4,"Baja tardía","Baja a tiempo")),IF(F2&lt;&gt;"","Baja con la persona activa",IF(I2&gt;Parametros!$B$5,"Inactiva","Vigente")))</f>
        <v/>
      </c>
    </row>
    <row r="3">
      <c r="A3" s="5" t="inlineStr">
        <is>
          <t>C02</t>
        </is>
      </c>
      <c r="B3" s="5" t="inlineStr">
        <is>
          <t>P01</t>
        </is>
      </c>
      <c r="C3" s="5" t="inlineStr">
        <is>
          <t>Plataforma académica</t>
        </is>
      </c>
      <c r="D3" s="5" t="inlineStr">
        <is>
          <t>Usuario</t>
        </is>
      </c>
      <c r="E3" s="4" t="n">
        <v>46443</v>
      </c>
      <c r="F3" s="5" t="n"/>
      <c r="G3">
        <f>VLOOKUP(B3,Personas!$A$2:$D$13,3,FALSE)</f>
        <v/>
      </c>
      <c r="H3" s="7">
        <f>IF(G3="Retirado",VLOOKUP(B3,Personas!$A$2:$D$13,4,FALSE),"")</f>
        <v/>
      </c>
      <c r="I3">
        <f>IF(G3="Retirado",IF(F3="",Parametros!$B$3-H3,F3-H3),Parametros!$B$3-E3)</f>
        <v/>
      </c>
      <c r="J3">
        <f>IF(G3="Retirado",IF(F3="",IF(D3="Administrador","Crítica: administrador activo tras el retiro","Activa tras el retiro"),IF(I3&gt;Parametros!$B$4,"Baja tardía","Baja a tiempo")),IF(F3&lt;&gt;"","Baja con la persona activa",IF(I3&gt;Parametros!$B$5,"Inactiva","Vigente")))</f>
        <v/>
      </c>
    </row>
    <row r="4">
      <c r="A4" s="5" t="inlineStr">
        <is>
          <t>C03</t>
        </is>
      </c>
      <c r="B4" s="5" t="inlineStr">
        <is>
          <t>P02</t>
        </is>
      </c>
      <c r="C4" s="5" t="inlineStr">
        <is>
          <t>Correo</t>
        </is>
      </c>
      <c r="D4" s="5" t="inlineStr">
        <is>
          <t>Usuario</t>
        </is>
      </c>
      <c r="E4" s="4" t="n">
        <v>46399</v>
      </c>
      <c r="F4" s="5" t="n"/>
      <c r="G4">
        <f>VLOOKUP(B4,Personas!$A$2:$D$13,3,FALSE)</f>
        <v/>
      </c>
      <c r="H4" s="7">
        <f>IF(G4="Retirado",VLOOKUP(B4,Personas!$A$2:$D$13,4,FALSE),"")</f>
        <v/>
      </c>
      <c r="I4">
        <f>IF(G4="Retirado",IF(F4="",Parametros!$B$3-H4,F4-H4),Parametros!$B$3-E4)</f>
        <v/>
      </c>
      <c r="J4">
        <f>IF(G4="Retirado",IF(F4="",IF(D4="Administrador","Crítica: administrador activo tras el retiro","Activa tras el retiro"),IF(I4&gt;Parametros!$B$4,"Baja tardía","Baja a tiempo")),IF(F4&lt;&gt;"","Baja con la persona activa",IF(I4&gt;Parametros!$B$5,"Inactiva","Vigente")))</f>
        <v/>
      </c>
    </row>
    <row r="5">
      <c r="A5" s="5" t="inlineStr">
        <is>
          <t>C04</t>
        </is>
      </c>
      <c r="B5" s="5" t="inlineStr">
        <is>
          <t>P02</t>
        </is>
      </c>
      <c r="C5" s="5" t="inlineStr">
        <is>
          <t>Plataforma académica</t>
        </is>
      </c>
      <c r="D5" s="5" t="inlineStr">
        <is>
          <t>Usuario</t>
        </is>
      </c>
      <c r="E5" s="4" t="n">
        <v>46355</v>
      </c>
      <c r="F5" s="4" t="n">
        <v>46358</v>
      </c>
      <c r="G5">
        <f>VLOOKUP(B5,Personas!$A$2:$D$13,3,FALSE)</f>
        <v/>
      </c>
      <c r="H5" s="7">
        <f>IF(G5="Retirado",VLOOKUP(B5,Personas!$A$2:$D$13,4,FALSE),"")</f>
        <v/>
      </c>
      <c r="I5">
        <f>IF(G5="Retirado",IF(F5="",Parametros!$B$3-H5,F5-H5),Parametros!$B$3-E5)</f>
        <v/>
      </c>
      <c r="J5">
        <f>IF(G5="Retirado",IF(F5="",IF(D5="Administrador","Crítica: administrador activo tras el retiro","Activa tras el retiro"),IF(I5&gt;Parametros!$B$4,"Baja tardía","Baja a tiempo")),IF(F5&lt;&gt;"","Baja con la persona activa",IF(I5&gt;Parametros!$B$5,"Inactiva","Vigente")))</f>
        <v/>
      </c>
    </row>
    <row r="6">
      <c r="A6" s="5" t="inlineStr">
        <is>
          <t>C05</t>
        </is>
      </c>
      <c r="B6" s="5" t="inlineStr">
        <is>
          <t>P03</t>
        </is>
      </c>
      <c r="C6" s="5" t="inlineStr">
        <is>
          <t>Correo</t>
        </is>
      </c>
      <c r="D6" s="5" t="inlineStr">
        <is>
          <t>Usuario</t>
        </is>
      </c>
      <c r="E6" s="4" t="n">
        <v>46445</v>
      </c>
      <c r="F6" s="5" t="n"/>
      <c r="G6">
        <f>VLOOKUP(B6,Personas!$A$2:$D$13,3,FALSE)</f>
        <v/>
      </c>
      <c r="H6" s="7">
        <f>IF(G6="Retirado",VLOOKUP(B6,Personas!$A$2:$D$13,4,FALSE),"")</f>
        <v/>
      </c>
      <c r="I6">
        <f>IF(G6="Retirado",IF(F6="",Parametros!$B$3-H6,F6-H6),Parametros!$B$3-E6)</f>
        <v/>
      </c>
      <c r="J6">
        <f>IF(G6="Retirado",IF(F6="",IF(D6="Administrador","Crítica: administrador activo tras el retiro","Activa tras el retiro"),IF(I6&gt;Parametros!$B$4,"Baja tardía","Baja a tiempo")),IF(F6&lt;&gt;"","Baja con la persona activa",IF(I6&gt;Parametros!$B$5,"Inactiva","Vigente")))</f>
        <v/>
      </c>
    </row>
    <row r="7">
      <c r="A7" s="5" t="inlineStr">
        <is>
          <t>C06</t>
        </is>
      </c>
      <c r="B7" s="5" t="inlineStr">
        <is>
          <t>P03</t>
        </is>
      </c>
      <c r="C7" s="5" t="inlineStr">
        <is>
          <t>Aula virtual</t>
        </is>
      </c>
      <c r="D7" s="5" t="inlineStr">
        <is>
          <t>Usuario</t>
        </is>
      </c>
      <c r="E7" s="4" t="n">
        <v>46438</v>
      </c>
      <c r="F7" s="5" t="n"/>
      <c r="G7">
        <f>VLOOKUP(B7,Personas!$A$2:$D$13,3,FALSE)</f>
        <v/>
      </c>
      <c r="H7" s="7">
        <f>IF(G7="Retirado",VLOOKUP(B7,Personas!$A$2:$D$13,4,FALSE),"")</f>
        <v/>
      </c>
      <c r="I7">
        <f>IF(G7="Retirado",IF(F7="",Parametros!$B$3-H7,F7-H7),Parametros!$B$3-E7)</f>
        <v/>
      </c>
      <c r="J7">
        <f>IF(G7="Retirado",IF(F7="",IF(D7="Administrador","Crítica: administrador activo tras el retiro","Activa tras el retiro"),IF(I7&gt;Parametros!$B$4,"Baja tardía","Baja a tiempo")),IF(F7&lt;&gt;"","Baja con la persona activa",IF(I7&gt;Parametros!$B$5,"Inactiva","Vigente")))</f>
        <v/>
      </c>
    </row>
    <row r="8">
      <c r="A8" s="5" t="inlineStr">
        <is>
          <t>C07</t>
        </is>
      </c>
      <c r="B8" s="5" t="inlineStr">
        <is>
          <t>P04</t>
        </is>
      </c>
      <c r="C8" s="5" t="inlineStr">
        <is>
          <t>Correo</t>
        </is>
      </c>
      <c r="D8" s="5" t="inlineStr">
        <is>
          <t>Usuario</t>
        </is>
      </c>
      <c r="E8" s="4" t="n">
        <v>46401</v>
      </c>
      <c r="F8" s="4" t="n">
        <v>46417</v>
      </c>
      <c r="G8">
        <f>VLOOKUP(B8,Personas!$A$2:$D$13,3,FALSE)</f>
        <v/>
      </c>
      <c r="H8" s="7">
        <f>IF(G8="Retirado",VLOOKUP(B8,Personas!$A$2:$D$13,4,FALSE),"")</f>
        <v/>
      </c>
      <c r="I8">
        <f>IF(G8="Retirado",IF(F8="",Parametros!$B$3-H8,F8-H8),Parametros!$B$3-E8)</f>
        <v/>
      </c>
      <c r="J8">
        <f>IF(G8="Retirado",IF(F8="",IF(D8="Administrador","Crítica: administrador activo tras el retiro","Activa tras el retiro"),IF(I8&gt;Parametros!$B$4,"Baja tardía","Baja a tiempo")),IF(F8&lt;&gt;"","Baja con la persona activa",IF(I8&gt;Parametros!$B$5,"Inactiva","Vigente")))</f>
        <v/>
      </c>
    </row>
    <row r="9">
      <c r="A9" s="5" t="inlineStr">
        <is>
          <t>C08</t>
        </is>
      </c>
      <c r="B9" s="5" t="inlineStr">
        <is>
          <t>P04</t>
        </is>
      </c>
      <c r="C9" s="5" t="inlineStr">
        <is>
          <t>Financiero</t>
        </is>
      </c>
      <c r="D9" s="5" t="inlineStr">
        <is>
          <t>Administrador</t>
        </is>
      </c>
      <c r="E9" s="4" t="n">
        <v>46402</v>
      </c>
      <c r="F9" s="5" t="n"/>
      <c r="G9">
        <f>VLOOKUP(B9,Personas!$A$2:$D$13,3,FALSE)</f>
        <v/>
      </c>
      <c r="H9" s="7">
        <f>IF(G9="Retirado",VLOOKUP(B9,Personas!$A$2:$D$13,4,FALSE),"")</f>
        <v/>
      </c>
      <c r="I9">
        <f>IF(G9="Retirado",IF(F9="",Parametros!$B$3-H9,F9-H9),Parametros!$B$3-E9)</f>
        <v/>
      </c>
      <c r="J9">
        <f>IF(G9="Retirado",IF(F9="",IF(D9="Administrador","Crítica: administrador activo tras el retiro","Activa tras el retiro"),IF(I9&gt;Parametros!$B$4,"Baja tardía","Baja a tiempo")),IF(F9&lt;&gt;"","Baja con la persona activa",IF(I9&gt;Parametros!$B$5,"Inactiva","Vigente")))</f>
        <v/>
      </c>
    </row>
    <row r="10">
      <c r="A10" s="5" t="inlineStr">
        <is>
          <t>C09</t>
        </is>
      </c>
      <c r="B10" s="5" t="inlineStr">
        <is>
          <t>P05</t>
        </is>
      </c>
      <c r="C10" s="5" t="inlineStr">
        <is>
          <t>Plataforma académica</t>
        </is>
      </c>
      <c r="D10" s="5" t="inlineStr">
        <is>
          <t>Administrador</t>
        </is>
      </c>
      <c r="E10" s="4" t="n">
        <v>46446</v>
      </c>
      <c r="F10" s="5" t="n"/>
      <c r="G10">
        <f>VLOOKUP(B10,Personas!$A$2:$D$13,3,FALSE)</f>
        <v/>
      </c>
      <c r="H10" s="7">
        <f>IF(G10="Retirado",VLOOKUP(B10,Personas!$A$2:$D$13,4,FALSE),"")</f>
        <v/>
      </c>
      <c r="I10">
        <f>IF(G10="Retirado",IF(F10="",Parametros!$B$3-H10,F10-H10),Parametros!$B$3-E10)</f>
        <v/>
      </c>
      <c r="J10">
        <f>IF(G10="Retirado",IF(F10="",IF(D10="Administrador","Crítica: administrador activo tras el retiro","Activa tras el retiro"),IF(I10&gt;Parametros!$B$4,"Baja tardía","Baja a tiempo")),IF(F10&lt;&gt;"","Baja con la persona activa",IF(I10&gt;Parametros!$B$5,"Inactiva","Vigente")))</f>
        <v/>
      </c>
    </row>
    <row r="11">
      <c r="A11" s="5" t="inlineStr">
        <is>
          <t>C10</t>
        </is>
      </c>
      <c r="B11" s="5" t="inlineStr">
        <is>
          <t>P05</t>
        </is>
      </c>
      <c r="C11" s="5" t="inlineStr">
        <is>
          <t>Financiero</t>
        </is>
      </c>
      <c r="D11" s="5" t="inlineStr">
        <is>
          <t>Administrador</t>
        </is>
      </c>
      <c r="E11" s="4" t="n">
        <v>46428</v>
      </c>
      <c r="F11" s="5" t="n"/>
      <c r="G11">
        <f>VLOOKUP(B11,Personas!$A$2:$D$13,3,FALSE)</f>
        <v/>
      </c>
      <c r="H11" s="7">
        <f>IF(G11="Retirado",VLOOKUP(B11,Personas!$A$2:$D$13,4,FALSE),"")</f>
        <v/>
      </c>
      <c r="I11">
        <f>IF(G11="Retirado",IF(F11="",Parametros!$B$3-H11,F11-H11),Parametros!$B$3-E11)</f>
        <v/>
      </c>
      <c r="J11">
        <f>IF(G11="Retirado",IF(F11="",IF(D11="Administrador","Crítica: administrador activo tras el retiro","Activa tras el retiro"),IF(I11&gt;Parametros!$B$4,"Baja tardía","Baja a tiempo")),IF(F11&lt;&gt;"","Baja con la persona activa",IF(I11&gt;Parametros!$B$5,"Inactiva","Vigente")))</f>
        <v/>
      </c>
    </row>
    <row r="12">
      <c r="A12" s="5" t="inlineStr">
        <is>
          <t>C11</t>
        </is>
      </c>
      <c r="B12" s="5" t="inlineStr">
        <is>
          <t>P06</t>
        </is>
      </c>
      <c r="C12" s="5" t="inlineStr">
        <is>
          <t>Wi-Fi</t>
        </is>
      </c>
      <c r="D12" s="5" t="inlineStr">
        <is>
          <t>Usuario</t>
        </is>
      </c>
      <c r="E12" s="4" t="n">
        <v>46365</v>
      </c>
      <c r="F12" s="4" t="n">
        <v>46366</v>
      </c>
      <c r="G12">
        <f>VLOOKUP(B12,Personas!$A$2:$D$13,3,FALSE)</f>
        <v/>
      </c>
      <c r="H12" s="7">
        <f>IF(G12="Retirado",VLOOKUP(B12,Personas!$A$2:$D$13,4,FALSE),"")</f>
        <v/>
      </c>
      <c r="I12">
        <f>IF(G12="Retirado",IF(F12="",Parametros!$B$3-H12,F12-H12),Parametros!$B$3-E12)</f>
        <v/>
      </c>
      <c r="J12">
        <f>IF(G12="Retirado",IF(F12="",IF(D12="Administrador","Crítica: administrador activo tras el retiro","Activa tras el retiro"),IF(I12&gt;Parametros!$B$4,"Baja tardía","Baja a tiempo")),IF(F12&lt;&gt;"","Baja con la persona activa",IF(I12&gt;Parametros!$B$5,"Inactiva","Vigente")))</f>
        <v/>
      </c>
    </row>
    <row r="13">
      <c r="A13" s="5" t="inlineStr">
        <is>
          <t>C12</t>
        </is>
      </c>
      <c r="B13" s="5" t="inlineStr">
        <is>
          <t>P06</t>
        </is>
      </c>
      <c r="C13" s="5" t="inlineStr">
        <is>
          <t>Plataforma académica</t>
        </is>
      </c>
      <c r="D13" s="5" t="inlineStr">
        <is>
          <t>Usuario</t>
        </is>
      </c>
      <c r="E13" s="4" t="n">
        <v>46364</v>
      </c>
      <c r="F13" s="5" t="n"/>
      <c r="G13">
        <f>VLOOKUP(B13,Personas!$A$2:$D$13,3,FALSE)</f>
        <v/>
      </c>
      <c r="H13" s="7">
        <f>IF(G13="Retirado",VLOOKUP(B13,Personas!$A$2:$D$13,4,FALSE),"")</f>
        <v/>
      </c>
      <c r="I13">
        <f>IF(G13="Retirado",IF(F13="",Parametros!$B$3-H13,F13-H13),Parametros!$B$3-E13)</f>
        <v/>
      </c>
      <c r="J13">
        <f>IF(G13="Retirado",IF(F13="",IF(D13="Administrador","Crítica: administrador activo tras el retiro","Activa tras el retiro"),IF(I13&gt;Parametros!$B$4,"Baja tardía","Baja a tiempo")),IF(F13&lt;&gt;"","Baja con la persona activa",IF(I13&gt;Parametros!$B$5,"Inactiva","Vigente")))</f>
        <v/>
      </c>
    </row>
    <row r="14">
      <c r="A14" s="5" t="inlineStr">
        <is>
          <t>C13</t>
        </is>
      </c>
      <c r="B14" s="5" t="inlineStr">
        <is>
          <t>P07</t>
        </is>
      </c>
      <c r="C14" s="5" t="inlineStr">
        <is>
          <t>Correo</t>
        </is>
      </c>
      <c r="D14" s="5" t="inlineStr">
        <is>
          <t>Usuario</t>
        </is>
      </c>
      <c r="E14" s="4" t="n">
        <v>46445</v>
      </c>
      <c r="F14" s="5" t="n"/>
      <c r="G14">
        <f>VLOOKUP(B14,Personas!$A$2:$D$13,3,FALSE)</f>
        <v/>
      </c>
      <c r="H14" s="7">
        <f>IF(G14="Retirado",VLOOKUP(B14,Personas!$A$2:$D$13,4,FALSE),"")</f>
        <v/>
      </c>
      <c r="I14">
        <f>IF(G14="Retirado",IF(F14="",Parametros!$B$3-H14,F14-H14),Parametros!$B$3-E14)</f>
        <v/>
      </c>
      <c r="J14">
        <f>IF(G14="Retirado",IF(F14="",IF(D14="Administrador","Crítica: administrador activo tras el retiro","Activa tras el retiro"),IF(I14&gt;Parametros!$B$4,"Baja tardía","Baja a tiempo")),IF(F14&lt;&gt;"","Baja con la persona activa",IF(I14&gt;Parametros!$B$5,"Inactiva","Vigente")))</f>
        <v/>
      </c>
    </row>
    <row r="15">
      <c r="A15" s="5" t="inlineStr">
        <is>
          <t>C14</t>
        </is>
      </c>
      <c r="B15" s="5" t="inlineStr">
        <is>
          <t>P08</t>
        </is>
      </c>
      <c r="C15" s="5" t="inlineStr">
        <is>
          <t>Correo</t>
        </is>
      </c>
      <c r="D15" s="5" t="inlineStr">
        <is>
          <t>Usuario</t>
        </is>
      </c>
      <c r="E15" s="4" t="n">
        <v>46437</v>
      </c>
      <c r="F15" s="4" t="n">
        <v>46439</v>
      </c>
      <c r="G15">
        <f>VLOOKUP(B15,Personas!$A$2:$D$13,3,FALSE)</f>
        <v/>
      </c>
      <c r="H15" s="7">
        <f>IF(G15="Retirado",VLOOKUP(B15,Personas!$A$2:$D$13,4,FALSE),"")</f>
        <v/>
      </c>
      <c r="I15">
        <f>IF(G15="Retirado",IF(F15="",Parametros!$B$3-H15,F15-H15),Parametros!$B$3-E15)</f>
        <v/>
      </c>
      <c r="J15">
        <f>IF(G15="Retirado",IF(F15="",IF(D15="Administrador","Crítica: administrador activo tras el retiro","Activa tras el retiro"),IF(I15&gt;Parametros!$B$4,"Baja tardía","Baja a tiempo")),IF(F15&lt;&gt;"","Baja con la persona activa",IF(I15&gt;Parametros!$B$5,"Inactiva","Vigente")))</f>
        <v/>
      </c>
    </row>
    <row r="16">
      <c r="A16" s="5" t="inlineStr">
        <is>
          <t>C15</t>
        </is>
      </c>
      <c r="B16" s="5" t="inlineStr">
        <is>
          <t>P08</t>
        </is>
      </c>
      <c r="C16" s="5" t="inlineStr">
        <is>
          <t>Aula virtual</t>
        </is>
      </c>
      <c r="D16" s="5" t="inlineStr">
        <is>
          <t>Usuario</t>
        </is>
      </c>
      <c r="E16" s="4" t="n">
        <v>46436</v>
      </c>
      <c r="F16" s="5" t="n"/>
      <c r="G16">
        <f>VLOOKUP(B16,Personas!$A$2:$D$13,3,FALSE)</f>
        <v/>
      </c>
      <c r="H16" s="7">
        <f>IF(G16="Retirado",VLOOKUP(B16,Personas!$A$2:$D$13,4,FALSE),"")</f>
        <v/>
      </c>
      <c r="I16">
        <f>IF(G16="Retirado",IF(F16="",Parametros!$B$3-H16,F16-H16),Parametros!$B$3-E16)</f>
        <v/>
      </c>
      <c r="J16">
        <f>IF(G16="Retirado",IF(F16="",IF(D16="Administrador","Crítica: administrador activo tras el retiro","Activa tras el retiro"),IF(I16&gt;Parametros!$B$4,"Baja tardía","Baja a tiempo")),IF(F16&lt;&gt;"","Baja con la persona activa",IF(I16&gt;Parametros!$B$5,"Inactiva","Vigente")))</f>
        <v/>
      </c>
    </row>
    <row r="17">
      <c r="A17" s="5" t="inlineStr">
        <is>
          <t>C16</t>
        </is>
      </c>
      <c r="B17" s="5" t="inlineStr">
        <is>
          <t>P09</t>
        </is>
      </c>
      <c r="C17" s="5" t="inlineStr">
        <is>
          <t>Financiero</t>
        </is>
      </c>
      <c r="D17" s="5" t="inlineStr">
        <is>
          <t>Usuario</t>
        </is>
      </c>
      <c r="E17" s="4" t="n">
        <v>46444</v>
      </c>
      <c r="F17" s="5" t="n"/>
      <c r="G17">
        <f>VLOOKUP(B17,Personas!$A$2:$D$13,3,FALSE)</f>
        <v/>
      </c>
      <c r="H17" s="7">
        <f>IF(G17="Retirado",VLOOKUP(B17,Personas!$A$2:$D$13,4,FALSE),"")</f>
        <v/>
      </c>
      <c r="I17">
        <f>IF(G17="Retirado",IF(F17="",Parametros!$B$3-H17,F17-H17),Parametros!$B$3-E17)</f>
        <v/>
      </c>
      <c r="J17">
        <f>IF(G17="Retirado",IF(F17="",IF(D17="Administrador","Crítica: administrador activo tras el retiro","Activa tras el retiro"),IF(I17&gt;Parametros!$B$4,"Baja tardía","Baja a tiempo")),IF(F17&lt;&gt;"","Baja con la persona activa",IF(I17&gt;Parametros!$B$5,"Inactiva","Vigente")))</f>
        <v/>
      </c>
    </row>
    <row r="18">
      <c r="A18" s="5" t="inlineStr">
        <is>
          <t>C17</t>
        </is>
      </c>
      <c r="B18" s="5" t="inlineStr">
        <is>
          <t>P09</t>
        </is>
      </c>
      <c r="C18" s="5" t="inlineStr">
        <is>
          <t>Correo</t>
        </is>
      </c>
      <c r="D18" s="5" t="inlineStr">
        <is>
          <t>Usuario</t>
        </is>
      </c>
      <c r="E18" s="4" t="n">
        <v>46300</v>
      </c>
      <c r="F18" s="5" t="n"/>
      <c r="G18">
        <f>VLOOKUP(B18,Personas!$A$2:$D$13,3,FALSE)</f>
        <v/>
      </c>
      <c r="H18" s="7">
        <f>IF(G18="Retirado",VLOOKUP(B18,Personas!$A$2:$D$13,4,FALSE),"")</f>
        <v/>
      </c>
      <c r="I18">
        <f>IF(G18="Retirado",IF(F18="",Parametros!$B$3-H18,F18-H18),Parametros!$B$3-E18)</f>
        <v/>
      </c>
      <c r="J18">
        <f>IF(G18="Retirado",IF(F18="",IF(D18="Administrador","Crítica: administrador activo tras el retiro","Activa tras el retiro"),IF(I18&gt;Parametros!$B$4,"Baja tardía","Baja a tiempo")),IF(F18&lt;&gt;"","Baja con la persona activa",IF(I18&gt;Parametros!$B$5,"Inactiva","Vigente")))</f>
        <v/>
      </c>
    </row>
    <row r="19">
      <c r="A19" s="5" t="inlineStr">
        <is>
          <t>C18</t>
        </is>
      </c>
      <c r="B19" s="5" t="inlineStr">
        <is>
          <t>P10</t>
        </is>
      </c>
      <c r="C19" s="5" t="inlineStr">
        <is>
          <t>Correo</t>
        </is>
      </c>
      <c r="D19" s="5" t="inlineStr">
        <is>
          <t>Usuario</t>
        </is>
      </c>
      <c r="E19" s="4" t="n">
        <v>46202</v>
      </c>
      <c r="F19" s="4" t="n">
        <v>46280</v>
      </c>
      <c r="G19">
        <f>VLOOKUP(B19,Personas!$A$2:$D$13,3,FALSE)</f>
        <v/>
      </c>
      <c r="H19" s="7">
        <f>IF(G19="Retirado",VLOOKUP(B19,Personas!$A$2:$D$13,4,FALSE),"")</f>
        <v/>
      </c>
      <c r="I19">
        <f>IF(G19="Retirado",IF(F19="",Parametros!$B$3-H19,F19-H19),Parametros!$B$3-E19)</f>
        <v/>
      </c>
      <c r="J19">
        <f>IF(G19="Retirado",IF(F19="",IF(D19="Administrador","Crítica: administrador activo tras el retiro","Activa tras el retiro"),IF(I19&gt;Parametros!$B$4,"Baja tardía","Baja a tiempo")),IF(F19&lt;&gt;"","Baja con la persona activa",IF(I19&gt;Parametros!$B$5,"Inactiva","Vigente")))</f>
        <v/>
      </c>
    </row>
    <row r="20">
      <c r="A20" s="5" t="inlineStr">
        <is>
          <t>C19</t>
        </is>
      </c>
      <c r="B20" s="5" t="inlineStr">
        <is>
          <t>P10</t>
        </is>
      </c>
      <c r="C20" s="5" t="inlineStr">
        <is>
          <t>Plataforma académica</t>
        </is>
      </c>
      <c r="D20" s="5" t="inlineStr">
        <is>
          <t>Usuario</t>
        </is>
      </c>
      <c r="E20" s="4" t="n">
        <v>46201</v>
      </c>
      <c r="F20" s="4" t="n">
        <v>46203</v>
      </c>
      <c r="G20">
        <f>VLOOKUP(B20,Personas!$A$2:$D$13,3,FALSE)</f>
        <v/>
      </c>
      <c r="H20" s="7">
        <f>IF(G20="Retirado",VLOOKUP(B20,Personas!$A$2:$D$13,4,FALSE),"")</f>
        <v/>
      </c>
      <c r="I20">
        <f>IF(G20="Retirado",IF(F20="",Parametros!$B$3-H20,F20-H20),Parametros!$B$3-E20)</f>
        <v/>
      </c>
      <c r="J20">
        <f>IF(G20="Retirado",IF(F20="",IF(D20="Administrador","Crítica: administrador activo tras el retiro","Activa tras el retiro"),IF(I20&gt;Parametros!$B$4,"Baja tardía","Baja a tiempo")),IF(F20&lt;&gt;"","Baja con la persona activa",IF(I20&gt;Parametros!$B$5,"Inactiva","Vigente")))</f>
        <v/>
      </c>
    </row>
    <row r="21">
      <c r="A21" s="5" t="inlineStr">
        <is>
          <t>C20</t>
        </is>
      </c>
      <c r="B21" s="5" t="inlineStr">
        <is>
          <t>P11</t>
        </is>
      </c>
      <c r="C21" s="5" t="inlineStr">
        <is>
          <t>Plataforma académica</t>
        </is>
      </c>
      <c r="D21" s="5" t="inlineStr">
        <is>
          <t>Usuario</t>
        </is>
      </c>
      <c r="E21" s="4" t="n">
        <v>46446</v>
      </c>
      <c r="F21" s="5" t="n"/>
      <c r="G21">
        <f>VLOOKUP(B21,Personas!$A$2:$D$13,3,FALSE)</f>
        <v/>
      </c>
      <c r="H21" s="7">
        <f>IF(G21="Retirado",VLOOKUP(B21,Personas!$A$2:$D$13,4,FALSE),"")</f>
        <v/>
      </c>
      <c r="I21">
        <f>IF(G21="Retirado",IF(F21="",Parametros!$B$3-H21,F21-H21),Parametros!$B$3-E21)</f>
        <v/>
      </c>
      <c r="J21">
        <f>IF(G21="Retirado",IF(F21="",IF(D21="Administrador","Crítica: administrador activo tras el retiro","Activa tras el retiro"),IF(I21&gt;Parametros!$B$4,"Baja tardía","Baja a tiempo")),IF(F21&lt;&gt;"","Baja con la persona activa",IF(I21&gt;Parametros!$B$5,"Inactiva","Vigente")))</f>
        <v/>
      </c>
    </row>
    <row r="22">
      <c r="A22" s="5" t="inlineStr">
        <is>
          <t>C21</t>
        </is>
      </c>
      <c r="B22" s="5" t="inlineStr">
        <is>
          <t>P11</t>
        </is>
      </c>
      <c r="C22" s="5" t="inlineStr">
        <is>
          <t>Aula virtual</t>
        </is>
      </c>
      <c r="D22" s="5" t="inlineStr">
        <is>
          <t>Usuario</t>
        </is>
      </c>
      <c r="E22" s="4" t="n">
        <v>46341</v>
      </c>
      <c r="F22" s="5" t="n"/>
      <c r="G22">
        <f>VLOOKUP(B22,Personas!$A$2:$D$13,3,FALSE)</f>
        <v/>
      </c>
      <c r="H22" s="7">
        <f>IF(G22="Retirado",VLOOKUP(B22,Personas!$A$2:$D$13,4,FALSE),"")</f>
        <v/>
      </c>
      <c r="I22">
        <f>IF(G22="Retirado",IF(F22="",Parametros!$B$3-H22,F22-H22),Parametros!$B$3-E22)</f>
        <v/>
      </c>
      <c r="J22">
        <f>IF(G22="Retirado",IF(F22="",IF(D22="Administrador","Crítica: administrador activo tras el retiro","Activa tras el retiro"),IF(I22&gt;Parametros!$B$4,"Baja tardía","Baja a tiempo")),IF(F22&lt;&gt;"","Baja con la persona activa",IF(I22&gt;Parametros!$B$5,"Inactiva","Vigente")))</f>
        <v/>
      </c>
    </row>
    <row r="23">
      <c r="A23" s="5" t="inlineStr">
        <is>
          <t>C22</t>
        </is>
      </c>
      <c r="B23" s="5" t="inlineStr">
        <is>
          <t>P12</t>
        </is>
      </c>
      <c r="C23" s="5" t="inlineStr">
        <is>
          <t>Wi-Fi</t>
        </is>
      </c>
      <c r="D23" s="5" t="inlineStr">
        <is>
          <t>Usuario</t>
        </is>
      </c>
      <c r="E23" s="4" t="n">
        <v>46430</v>
      </c>
      <c r="F23" s="5" t="n"/>
      <c r="G23">
        <f>VLOOKUP(B23,Personas!$A$2:$D$13,3,FALSE)</f>
        <v/>
      </c>
      <c r="H23" s="7">
        <f>IF(G23="Retirado",VLOOKUP(B23,Personas!$A$2:$D$13,4,FALSE),"")</f>
        <v/>
      </c>
      <c r="I23">
        <f>IF(G23="Retirado",IF(F23="",Parametros!$B$3-H23,F23-H23),Parametros!$B$3-E23)</f>
        <v/>
      </c>
      <c r="J23">
        <f>IF(G23="Retirado",IF(F23="",IF(D23="Administrador","Crítica: administrador activo tras el retiro","Activa tras el retiro"),IF(I23&gt;Parametros!$B$4,"Baja tardía","Baja a tiempo")),IF(F23&lt;&gt;"","Baja con la persona activa",IF(I23&gt;Parametros!$B$5,"Inactiva","Vigente")))</f>
        <v/>
      </c>
    </row>
    <row r="24">
      <c r="A24" s="5" t="inlineStr">
        <is>
          <t>C23</t>
        </is>
      </c>
      <c r="B24" s="5" t="inlineStr">
        <is>
          <t>P12</t>
        </is>
      </c>
      <c r="C24" s="5" t="inlineStr">
        <is>
          <t>Plataforma académica</t>
        </is>
      </c>
      <c r="D24" s="5" t="inlineStr">
        <is>
          <t>Administrador</t>
        </is>
      </c>
      <c r="E24" s="4" t="n">
        <v>46266</v>
      </c>
      <c r="F24" s="5" t="n"/>
      <c r="G24">
        <f>VLOOKUP(B24,Personas!$A$2:$D$13,3,FALSE)</f>
        <v/>
      </c>
      <c r="H24" s="7">
        <f>IF(G24="Retirado",VLOOKUP(B24,Personas!$A$2:$D$13,4,FALSE),"")</f>
        <v/>
      </c>
      <c r="I24">
        <f>IF(G24="Retirado",IF(F24="",Parametros!$B$3-H24,F24-H24),Parametros!$B$3-E24)</f>
        <v/>
      </c>
      <c r="J24">
        <f>IF(G24="Retirado",IF(F24="",IF(D24="Administrador","Crítica: administrador activo tras el retiro","Activa tras el retiro"),IF(I24&gt;Parametros!$B$4,"Baja tardía","Baja a tiempo")),IF(F24&lt;&gt;"","Baja con la persona activa",IF(I24&gt;Parametros!$B$5,"Inactiva","Vigente")))</f>
        <v/>
      </c>
    </row>
    <row r="25">
      <c r="A25" s="5" t="inlineStr">
        <is>
          <t>C24</t>
        </is>
      </c>
      <c r="B25" s="5" t="inlineStr">
        <is>
          <t>P02</t>
        </is>
      </c>
      <c r="C25" s="5" t="inlineStr">
        <is>
          <t>Aula virtual</t>
        </is>
      </c>
      <c r="D25" s="5" t="inlineStr">
        <is>
          <t>Usuario</t>
        </is>
      </c>
      <c r="E25" s="4" t="n">
        <v>46346</v>
      </c>
      <c r="F25" s="5" t="n"/>
      <c r="G25">
        <f>VLOOKUP(B25,Personas!$A$2:$D$13,3,FALSE)</f>
        <v/>
      </c>
      <c r="H25" s="7">
        <f>IF(G25="Retirado",VLOOKUP(B25,Personas!$A$2:$D$13,4,FALSE),"")</f>
        <v/>
      </c>
      <c r="I25">
        <f>IF(G25="Retirado",IF(F25="",Parametros!$B$3-H25,F25-H25),Parametros!$B$3-E25)</f>
        <v/>
      </c>
      <c r="J25">
        <f>IF(G25="Retirado",IF(F25="",IF(D25="Administrador","Crítica: administrador activo tras el retiro","Activa tras el retiro"),IF(I25&gt;Parametros!$B$4,"Baja tardía","Baja a tiempo")),IF(F25&lt;&gt;"","Baja con la persona activa",IF(I25&gt;Parametros!$B$5,"Inactiva","Vigente")))</f>
        <v/>
      </c>
    </row>
  </sheetData>
  <conditionalFormatting sqref="J2:J25">
    <cfRule type="expression" priority="1" dxfId="0">
      <formula>OR(LEFT(J2,7)="Crítica",J2="Activa tras el retiro")</formula>
    </cfRule>
    <cfRule type="expression" priority="2" dxfId="1">
      <formula>OR(J2="Baja tardía",J2="Inactiva")</formula>
    </cfRule>
  </conditionalFormatting>
  <dataValidations count="1">
    <dataValidation sqref="D2:D45" showDropDown="0" showInputMessage="0" showErrorMessage="0" allowBlank="0" type="list">
      <formula1>"Usuario,Administrador"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2026-10-10T18:22:58Z</dcterms:created>
  <dcterms:modified xmlns:dcterms="http://purl.org/dc/terms/" xmlns:xsi="http://www.w3.org/2001/XMLSchema-instance" xsi:type="dcterms:W3CDTF">2026-10-10T18:22:58Z</dcterms:modified>
</cp:coreProperties>
</file>