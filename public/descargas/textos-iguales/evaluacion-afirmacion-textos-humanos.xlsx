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Pa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EE2E2"/>
          <bgColor rgb="00FEE2E2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2" customWidth="1" min="1" max="1"/>
    <col width="24" customWidth="1" min="2" max="2"/>
  </cols>
  <sheetData>
    <row r="1">
      <c r="A1" s="1" t="inlineStr">
        <is>
          <t>RESUMEN</t>
        </is>
      </c>
    </row>
    <row r="3">
      <c r="A3" t="inlineStr">
        <is>
          <t>Partes de la afirmación</t>
        </is>
      </c>
      <c r="B3" s="2">
        <f>COUNTA(Partes!A4:A8)</f>
        <v/>
      </c>
    </row>
    <row r="4">
      <c r="A4" t="inlineStr">
        <is>
          <t>Confianza media ponderada (%)</t>
        </is>
      </c>
      <c r="B4" s="3">
        <f>SUMPRODUCT(Partes!E4:E8,Partes!F4:F8)/SUM(Partes!F4:F8)</f>
        <v/>
      </c>
    </row>
    <row r="5">
      <c r="A5" t="inlineStr">
        <is>
          <t>Lectura de la afirmación completa</t>
        </is>
      </c>
      <c r="B5" s="4">
        <f>IF(B4&gt;=Parametros!B3,"Probable",IF(B4&gt;=Parametros!B4,"Parcialmente cierta","Poco respaldada"))</f>
        <v/>
      </c>
    </row>
    <row r="6">
      <c r="A6" t="inlineStr">
        <is>
          <t>Probabilidad conjunta si las partes fueran independientes (%)</t>
        </is>
      </c>
      <c r="B6" s="3">
        <f>PRODUCT(Partes!E4:E8)/100^COUNT(Partes!E4:E8)*100</f>
        <v/>
      </c>
    </row>
    <row r="7">
      <c r="A7" t="inlineStr">
        <is>
          <t>Parte más débil</t>
        </is>
      </c>
      <c r="B7" s="4">
        <f>INDEX(Partes!B4:B8,MATCH(MIN(Partes!E4:E8),Partes!E4:E8,0))</f>
        <v/>
      </c>
    </row>
    <row r="8">
      <c r="A8" t="inlineStr">
        <is>
          <t>Confianza en la parte más débil (%)</t>
        </is>
      </c>
      <c r="B8" s="2">
        <f>MIN(Partes!E4:E8)</f>
        <v/>
      </c>
    </row>
    <row r="9">
      <c r="A9" t="inlineStr">
        <is>
          <t>Partes "Probable"</t>
        </is>
      </c>
      <c r="B9" s="2">
        <f>COUNTIF(Partes!G4:G8,"Probable")</f>
        <v/>
      </c>
    </row>
    <row r="10">
      <c r="A10" t="inlineStr">
        <is>
          <t>Partes "Parcialmente cierta"</t>
        </is>
      </c>
      <c r="B10" s="2">
        <f>COUNTIF(Partes!G4:G8,"Parcialmente*")</f>
        <v/>
      </c>
    </row>
    <row r="11">
      <c r="A11" t="inlineStr">
        <is>
          <t>Partes "Poco respaldada"</t>
        </is>
      </c>
      <c r="B11" s="2">
        <f>COUNTIF(Partes!G4:G8,"Poco*")</f>
        <v/>
      </c>
    </row>
    <row r="12">
      <c r="A12" t="inlineStr">
        <is>
          <t>Nivel de evidencia medio (1 a 5)</t>
        </is>
      </c>
      <c r="B12" s="3">
        <f>AVERAGE(Partes!D4:D8)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  <col width="10" customWidth="1" min="2" max="2"/>
  </cols>
  <sheetData>
    <row r="1">
      <c r="A1" s="1" t="inlineStr">
        <is>
          <t>PARÁMETROS (editables)</t>
        </is>
      </c>
    </row>
    <row r="3">
      <c r="A3" t="inlineStr">
        <is>
          <t>Confianza mínima (%) para "Probable"</t>
        </is>
      </c>
      <c r="B3" s="5" t="n">
        <v>70</v>
      </c>
    </row>
    <row r="4">
      <c r="A4" t="inlineStr">
        <is>
          <t>Confianza mínima (%) para "Parcialmente cierta"</t>
        </is>
      </c>
      <c r="B4" s="5" t="n">
        <v>40</v>
      </c>
    </row>
    <row r="6">
      <c r="A6" t="inlineStr">
        <is>
          <t>Las confianzas de la hoja Partes son mi juicio sobre la evidencia citada en el artículo, no datos publicados. Cámbialas y mira cómo cambia la conclusión.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66" customWidth="1" min="3" max="3"/>
    <col width="12" customWidth="1" min="4" max="4"/>
    <col width="12" customWidth="1" min="5" max="5"/>
    <col width="8" customWidth="1" min="6" max="6"/>
    <col width="22" customWidth="1" min="7" max="7"/>
  </cols>
  <sheetData>
    <row r="1">
      <c r="A1" s="1" t="inlineStr">
        <is>
          <t>LA AFIRMACIÓN DESCOMPUESTA: "Cuando todos los textos sean iguales, los escritos por humanos volverán a cotizarse al alza"</t>
        </is>
      </c>
    </row>
    <row r="3" ht="36" customHeight="1">
      <c r="A3" s="6" t="inlineStr">
        <is>
          <t>ID</t>
        </is>
      </c>
      <c r="B3" s="6" t="inlineStr">
        <is>
          <t>Parte de la afirmación</t>
        </is>
      </c>
      <c r="C3" s="6" t="inlineStr">
        <is>
          <t>Evidencia más sólida citada</t>
        </is>
      </c>
      <c r="D3" s="6" t="inlineStr">
        <is>
          <t>Nivel de evidencia (1 a 5)</t>
        </is>
      </c>
      <c r="E3" s="6" t="inlineStr">
        <is>
          <t>Confianza (%)</t>
        </is>
      </c>
      <c r="F3" s="6" t="inlineStr">
        <is>
          <t>Peso</t>
        </is>
      </c>
      <c r="G3" s="6" t="inlineStr">
        <is>
          <t>Lectura</t>
        </is>
      </c>
    </row>
    <row r="4">
      <c r="A4" t="inlineStr">
        <is>
          <t>P1</t>
        </is>
      </c>
      <c r="B4" s="7" t="inlineStr">
        <is>
          <t>Los textos de IA tienden a parecerse entre sí</t>
        </is>
      </c>
      <c r="C4" s="7" t="inlineStr">
        <is>
          <t>Experimento de Doshi y Hauser (2024) con 293 escritores: textos con ideas de IA, más parecidos entre sí</t>
        </is>
      </c>
      <c r="D4" s="5" t="n">
        <v>3</v>
      </c>
      <c r="E4" s="5" t="n">
        <v>60</v>
      </c>
      <c r="F4" s="5" t="n">
        <v>1</v>
      </c>
      <c r="G4">
        <f>IF(E4&gt;=Parametros!$B$3,"Probable",IF(E4&gt;=Parametros!$B$4,"Parcialmente cierta","Poco respaldada"))</f>
        <v/>
      </c>
    </row>
    <row r="5">
      <c r="A5" t="inlineStr">
        <is>
          <t>P2</t>
        </is>
      </c>
      <c r="B5" s="7" t="inlineStr">
        <is>
          <t>Los lectores no pueden distinguir un texto humano de uno de IA</t>
        </is>
      </c>
      <c r="C5" s="7" t="inlineStr">
        <is>
          <t>Jakesch, Hancock y Naaman (2023): 50 a 52 % de acierto en autopresentaciones</t>
        </is>
      </c>
      <c r="D5" s="5" t="n">
        <v>3</v>
      </c>
      <c r="E5" s="5" t="n">
        <v>80</v>
      </c>
      <c r="F5" s="5" t="n">
        <v>1</v>
      </c>
      <c r="G5">
        <f>IF(E5&gt;=Parametros!$B$3,"Probable",IF(E5&gt;=Parametros!$B$4,"Parcialmente cierta","Poco respaldada"))</f>
        <v/>
      </c>
    </row>
    <row r="6">
      <c r="A6" t="inlineStr">
        <is>
          <t>P3</t>
        </is>
      </c>
      <c r="B6" s="7" t="inlineStr">
        <is>
          <t>La gente valora más lo que sabe que es humano</t>
        </is>
      </c>
      <c r="C6" s="7" t="inlineStr">
        <is>
          <t>Bellaiche et al. (2023), arte etiquetado; Schilke y Reimann (2025), confianza al declarar IA</t>
        </is>
      </c>
      <c r="D6" s="5" t="n">
        <v>3</v>
      </c>
      <c r="E6" s="5" t="n">
        <v>65</v>
      </c>
      <c r="F6" s="5" t="n">
        <v>1</v>
      </c>
      <c r="G6">
        <f>IF(E6&gt;=Parametros!$B$3,"Probable",IF(E6&gt;=Parametros!$B$4,"Parcialmente cierta","Poco respaldada"))</f>
        <v/>
      </c>
    </row>
    <row r="7">
      <c r="A7" t="inlineStr">
        <is>
          <t>P4</t>
        </is>
      </c>
      <c r="B7" s="7" t="inlineStr">
        <is>
          <t>Ese valor se traduce en precios más altos</t>
        </is>
      </c>
      <c r="C7" s="7" t="inlineStr">
        <is>
          <t>Hui, Reshef y Zhou (2024): caen el empleo y los ingresos en ocupaciones expuestas; sin evidencia de primas</t>
        </is>
      </c>
      <c r="D7" s="5" t="n">
        <v>2</v>
      </c>
      <c r="E7" s="5" t="n">
        <v>25</v>
      </c>
      <c r="F7" s="5" t="n">
        <v>2</v>
      </c>
      <c r="G7">
        <f>IF(E7&gt;=Parametros!$B$3,"Probable",IF(E7&gt;=Parametros!$B$4,"Parcialmente cierta","Poco respaldada"))</f>
        <v/>
      </c>
    </row>
    <row r="8">
      <c r="A8" t="inlineStr">
        <is>
          <t>P5</t>
        </is>
      </c>
      <c r="B8" s="7" t="inlineStr">
        <is>
          <t>Volverá a pasar lo que ocurrió con otros bienes industrializados</t>
        </is>
      </c>
      <c r="C8" s="7" t="inlineStr">
        <is>
          <t>Analogía histórica; no hay estudio sobre texto</t>
        </is>
      </c>
      <c r="D8" s="5" t="n">
        <v>1</v>
      </c>
      <c r="E8" s="5" t="n">
        <v>40</v>
      </c>
      <c r="F8" s="5" t="n">
        <v>1</v>
      </c>
      <c r="G8">
        <f>IF(E8&gt;=Parametros!$B$3,"Probable",IF(E8&gt;=Parametros!$B$4,"Parcialmente cierta","Poco respaldada"))</f>
        <v/>
      </c>
    </row>
  </sheetData>
  <conditionalFormatting sqref="G4:G8">
    <cfRule type="expression" priority="1" dxfId="0">
      <formula>G4="Poco respaldada"</formula>
    </cfRule>
    <cfRule type="expression" priority="2" dxfId="1">
      <formula>G4="Parcialmente cierta"</formula>
    </cfRule>
    <cfRule type="expression" priority="3" dxfId="2">
      <formula>G4="Probable"</formula>
    </cfRule>
  </conditionalFormatting>
  <dataValidations count="1">
    <dataValidation sqref="E4:E13" showDropDown="0" showInputMessage="0" showErrorMessage="0" allowBlank="0" type="whole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2026-10-11T21:04:55Z</dcterms:created>
  <dcterms:modified xmlns:dcterms="http://purl.org/dc/terms/" xmlns:xsi="http://www.w3.org/2001/XMLSchema-instance" xsi:type="dcterms:W3CDTF">2026-10-11T21:04:55Z</dcterms:modified>
</cp:coreProperties>
</file>