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  <sheet xmlns:r="http://schemas.openxmlformats.org/officeDocument/2006/relationships" name="Analisi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"/>
    <numFmt numFmtId="166" formatCode="0.0%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  <sz val="12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2" fillId="2" borderId="0" pivotButton="0" quotePrefix="0" xfId="0"/>
    <xf numFmtId="0" fontId="0" fillId="3" borderId="0" applyAlignment="1" pivotButton="0" quotePrefix="0" xfId="0">
      <alignment horizontal="center"/>
    </xf>
    <xf numFmtId="0" fontId="3" fillId="0" borderId="0" pivotButton="0" quotePrefix="0" xfId="0"/>
    <xf numFmtId="9" fontId="0" fillId="3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E0F2FE"/>
          <bgColor rgb="00E0F2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9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1">
      <c r="A1" s="1" t="inlineStr">
        <is>
          <t>REGISTRO DE ASISTENCIA (ejemplo ficticio: 20 estudiantes identificados con código, 4 semanas). P presente · A ausente sin justificar · J ausente justificado · T tardanza (cuenta como presente)</t>
        </is>
      </c>
    </row>
    <row r="2">
      <c r="A2" s="2" t="inlineStr">
        <is>
          <t>Fecha</t>
        </is>
      </c>
      <c r="B2" s="3" t="n">
        <v>46412</v>
      </c>
      <c r="C2" s="3" t="n">
        <v>46413</v>
      </c>
      <c r="D2" s="3" t="n">
        <v>46414</v>
      </c>
      <c r="E2" s="3" t="n">
        <v>46415</v>
      </c>
      <c r="F2" s="3" t="n">
        <v>46416</v>
      </c>
      <c r="G2" s="3" t="n">
        <v>46419</v>
      </c>
      <c r="H2" s="3" t="n">
        <v>46420</v>
      </c>
      <c r="I2" s="3" t="n">
        <v>46421</v>
      </c>
      <c r="J2" s="3" t="n">
        <v>46422</v>
      </c>
      <c r="K2" s="3" t="n">
        <v>46423</v>
      </c>
      <c r="L2" s="3" t="n">
        <v>46426</v>
      </c>
      <c r="M2" s="3" t="n">
        <v>46427</v>
      </c>
      <c r="N2" s="3" t="n">
        <v>46428</v>
      </c>
      <c r="O2" s="3" t="n">
        <v>46429</v>
      </c>
      <c r="P2" s="3" t="n">
        <v>46430</v>
      </c>
      <c r="Q2" s="3" t="n">
        <v>46433</v>
      </c>
      <c r="R2" s="3" t="n">
        <v>46434</v>
      </c>
      <c r="S2" s="3" t="n">
        <v>46435</v>
      </c>
      <c r="T2" s="3" t="n">
        <v>46436</v>
      </c>
      <c r="U2" s="3" t="n">
        <v>46437</v>
      </c>
    </row>
    <row r="3">
      <c r="A3" s="2" t="inlineStr">
        <is>
          <t>Código</t>
        </is>
      </c>
      <c r="B3" s="2">
        <f>CHOOSE(WEEKDAY(B2,2),"L","M","X","J","V","S","D")</f>
        <v/>
      </c>
      <c r="C3" s="2">
        <f>CHOOSE(WEEKDAY(C2,2),"L","M","X","J","V","S","D")</f>
        <v/>
      </c>
      <c r="D3" s="2">
        <f>CHOOSE(WEEKDAY(D2,2),"L","M","X","J","V","S","D")</f>
        <v/>
      </c>
      <c r="E3" s="2">
        <f>CHOOSE(WEEKDAY(E2,2),"L","M","X","J","V","S","D")</f>
        <v/>
      </c>
      <c r="F3" s="2">
        <f>CHOOSE(WEEKDAY(F2,2),"L","M","X","J","V","S","D")</f>
        <v/>
      </c>
      <c r="G3" s="2">
        <f>CHOOSE(WEEKDAY(G2,2),"L","M","X","J","V","S","D")</f>
        <v/>
      </c>
      <c r="H3" s="2">
        <f>CHOOSE(WEEKDAY(H2,2),"L","M","X","J","V","S","D")</f>
        <v/>
      </c>
      <c r="I3" s="2">
        <f>CHOOSE(WEEKDAY(I2,2),"L","M","X","J","V","S","D")</f>
        <v/>
      </c>
      <c r="J3" s="2">
        <f>CHOOSE(WEEKDAY(J2,2),"L","M","X","J","V","S","D")</f>
        <v/>
      </c>
      <c r="K3" s="2">
        <f>CHOOSE(WEEKDAY(K2,2),"L","M","X","J","V","S","D")</f>
        <v/>
      </c>
      <c r="L3" s="2">
        <f>CHOOSE(WEEKDAY(L2,2),"L","M","X","J","V","S","D")</f>
        <v/>
      </c>
      <c r="M3" s="2">
        <f>CHOOSE(WEEKDAY(M2,2),"L","M","X","J","V","S","D")</f>
        <v/>
      </c>
      <c r="N3" s="2">
        <f>CHOOSE(WEEKDAY(N2,2),"L","M","X","J","V","S","D")</f>
        <v/>
      </c>
      <c r="O3" s="2">
        <f>CHOOSE(WEEKDAY(O2,2),"L","M","X","J","V","S","D")</f>
        <v/>
      </c>
      <c r="P3" s="2">
        <f>CHOOSE(WEEKDAY(P2,2),"L","M","X","J","V","S","D")</f>
        <v/>
      </c>
      <c r="Q3" s="2">
        <f>CHOOSE(WEEKDAY(Q2,2),"L","M","X","J","V","S","D")</f>
        <v/>
      </c>
      <c r="R3" s="2">
        <f>CHOOSE(WEEKDAY(R2,2),"L","M","X","J","V","S","D")</f>
        <v/>
      </c>
      <c r="S3" s="2">
        <f>CHOOSE(WEEKDAY(S2,2),"L","M","X","J","V","S","D")</f>
        <v/>
      </c>
      <c r="T3" s="2">
        <f>CHOOSE(WEEKDAY(T2,2),"L","M","X","J","V","S","D")</f>
        <v/>
      </c>
      <c r="U3" s="2">
        <f>CHOOSE(WEEKDAY(U2,2),"L","M","X","J","V","S","D")</f>
        <v/>
      </c>
    </row>
    <row r="4">
      <c r="A4" t="inlineStr">
        <is>
          <t>E01</t>
        </is>
      </c>
      <c r="B4" s="4" t="inlineStr">
        <is>
          <t>P</t>
        </is>
      </c>
      <c r="C4" s="4" t="inlineStr">
        <is>
          <t>P</t>
        </is>
      </c>
      <c r="D4" s="4" t="inlineStr">
        <is>
          <t>P</t>
        </is>
      </c>
      <c r="E4" s="4" t="inlineStr">
        <is>
          <t>P</t>
        </is>
      </c>
      <c r="F4" s="4" t="inlineStr">
        <is>
          <t>P</t>
        </is>
      </c>
      <c r="G4" s="4" t="inlineStr">
        <is>
          <t>P</t>
        </is>
      </c>
      <c r="H4" s="4" t="inlineStr">
        <is>
          <t>P</t>
        </is>
      </c>
      <c r="I4" s="4" t="inlineStr">
        <is>
          <t>P</t>
        </is>
      </c>
      <c r="J4" s="4" t="inlineStr">
        <is>
          <t>P</t>
        </is>
      </c>
      <c r="K4" s="4" t="inlineStr">
        <is>
          <t>P</t>
        </is>
      </c>
      <c r="L4" s="4" t="inlineStr">
        <is>
          <t>P</t>
        </is>
      </c>
      <c r="M4" s="4" t="inlineStr">
        <is>
          <t>P</t>
        </is>
      </c>
      <c r="N4" s="4" t="inlineStr">
        <is>
          <t>P</t>
        </is>
      </c>
      <c r="O4" s="4" t="inlineStr">
        <is>
          <t>P</t>
        </is>
      </c>
      <c r="P4" s="4" t="inlineStr">
        <is>
          <t>P</t>
        </is>
      </c>
      <c r="Q4" s="4" t="inlineStr">
        <is>
          <t>P</t>
        </is>
      </c>
      <c r="R4" s="4" t="inlineStr">
        <is>
          <t>P</t>
        </is>
      </c>
      <c r="S4" s="4" t="inlineStr">
        <is>
          <t>P</t>
        </is>
      </c>
      <c r="T4" s="4" t="inlineStr">
        <is>
          <t>P</t>
        </is>
      </c>
      <c r="U4" s="4" t="inlineStr">
        <is>
          <t>P</t>
        </is>
      </c>
    </row>
    <row r="5">
      <c r="A5" t="inlineStr">
        <is>
          <t>E02</t>
        </is>
      </c>
      <c r="B5" s="4" t="inlineStr">
        <is>
          <t>P</t>
        </is>
      </c>
      <c r="C5" s="4" t="inlineStr">
        <is>
          <t>P</t>
        </is>
      </c>
      <c r="D5" s="4" t="inlineStr">
        <is>
          <t>P</t>
        </is>
      </c>
      <c r="E5" s="4" t="inlineStr">
        <is>
          <t>P</t>
        </is>
      </c>
      <c r="F5" s="4" t="inlineStr">
        <is>
          <t>P</t>
        </is>
      </c>
      <c r="G5" s="4" t="inlineStr">
        <is>
          <t>P</t>
        </is>
      </c>
      <c r="H5" s="4" t="inlineStr">
        <is>
          <t>P</t>
        </is>
      </c>
      <c r="I5" s="4" t="inlineStr">
        <is>
          <t>P</t>
        </is>
      </c>
      <c r="J5" s="4" t="inlineStr">
        <is>
          <t>P</t>
        </is>
      </c>
      <c r="K5" s="4" t="inlineStr">
        <is>
          <t>P</t>
        </is>
      </c>
      <c r="L5" s="4" t="inlineStr">
        <is>
          <t>P</t>
        </is>
      </c>
      <c r="M5" s="4" t="inlineStr">
        <is>
          <t>P</t>
        </is>
      </c>
      <c r="N5" s="4" t="inlineStr">
        <is>
          <t>A</t>
        </is>
      </c>
      <c r="O5" s="4" t="inlineStr">
        <is>
          <t>P</t>
        </is>
      </c>
      <c r="P5" s="4" t="inlineStr">
        <is>
          <t>P</t>
        </is>
      </c>
      <c r="Q5" s="4" t="inlineStr">
        <is>
          <t>P</t>
        </is>
      </c>
      <c r="R5" s="4" t="inlineStr">
        <is>
          <t>P</t>
        </is>
      </c>
      <c r="S5" s="4" t="inlineStr">
        <is>
          <t>P</t>
        </is>
      </c>
      <c r="T5" s="4" t="inlineStr">
        <is>
          <t>P</t>
        </is>
      </c>
      <c r="U5" s="4" t="inlineStr">
        <is>
          <t>P</t>
        </is>
      </c>
    </row>
    <row r="6">
      <c r="A6" t="inlineStr">
        <is>
          <t>E03</t>
        </is>
      </c>
      <c r="B6" s="4" t="inlineStr">
        <is>
          <t>A</t>
        </is>
      </c>
      <c r="C6" s="4" t="inlineStr">
        <is>
          <t>P</t>
        </is>
      </c>
      <c r="D6" s="4" t="inlineStr">
        <is>
          <t>P</t>
        </is>
      </c>
      <c r="E6" s="4" t="inlineStr">
        <is>
          <t>P</t>
        </is>
      </c>
      <c r="F6" s="4" t="inlineStr">
        <is>
          <t>P</t>
        </is>
      </c>
      <c r="G6" s="4" t="inlineStr">
        <is>
          <t>A</t>
        </is>
      </c>
      <c r="H6" s="4" t="inlineStr">
        <is>
          <t>P</t>
        </is>
      </c>
      <c r="I6" s="4" t="inlineStr">
        <is>
          <t>P</t>
        </is>
      </c>
      <c r="J6" s="4" t="inlineStr">
        <is>
          <t>P</t>
        </is>
      </c>
      <c r="K6" s="4" t="inlineStr">
        <is>
          <t>P</t>
        </is>
      </c>
      <c r="L6" s="4" t="inlineStr">
        <is>
          <t>A</t>
        </is>
      </c>
      <c r="M6" s="4" t="inlineStr">
        <is>
          <t>P</t>
        </is>
      </c>
      <c r="N6" s="4" t="inlineStr">
        <is>
          <t>P</t>
        </is>
      </c>
      <c r="O6" s="4" t="inlineStr">
        <is>
          <t>P</t>
        </is>
      </c>
      <c r="P6" s="4" t="inlineStr">
        <is>
          <t>P</t>
        </is>
      </c>
      <c r="Q6" s="4" t="inlineStr">
        <is>
          <t>A</t>
        </is>
      </c>
      <c r="R6" s="4" t="inlineStr">
        <is>
          <t>P</t>
        </is>
      </c>
      <c r="S6" s="4" t="inlineStr">
        <is>
          <t>P</t>
        </is>
      </c>
      <c r="T6" s="4" t="inlineStr">
        <is>
          <t>P</t>
        </is>
      </c>
      <c r="U6" s="4" t="inlineStr">
        <is>
          <t>P</t>
        </is>
      </c>
    </row>
    <row r="7">
      <c r="A7" t="inlineStr">
        <is>
          <t>E04</t>
        </is>
      </c>
      <c r="B7" s="4" t="inlineStr">
        <is>
          <t>P</t>
        </is>
      </c>
      <c r="C7" s="4" t="inlineStr">
        <is>
          <t>P</t>
        </is>
      </c>
      <c r="D7" s="4" t="inlineStr">
        <is>
          <t>P</t>
        </is>
      </c>
      <c r="E7" s="4" t="inlineStr">
        <is>
          <t>P</t>
        </is>
      </c>
      <c r="F7" s="4" t="inlineStr">
        <is>
          <t>P</t>
        </is>
      </c>
      <c r="G7" s="4" t="inlineStr">
        <is>
          <t>P</t>
        </is>
      </c>
      <c r="H7" s="4" t="inlineStr">
        <is>
          <t>P</t>
        </is>
      </c>
      <c r="I7" s="4" t="inlineStr">
        <is>
          <t>P</t>
        </is>
      </c>
      <c r="J7" s="4" t="inlineStr">
        <is>
          <t>P</t>
        </is>
      </c>
      <c r="K7" s="4" t="inlineStr">
        <is>
          <t>P</t>
        </is>
      </c>
      <c r="L7" s="4" t="inlineStr">
        <is>
          <t>P</t>
        </is>
      </c>
      <c r="M7" s="4" t="inlineStr">
        <is>
          <t>P</t>
        </is>
      </c>
      <c r="N7" s="4" t="inlineStr">
        <is>
          <t>P</t>
        </is>
      </c>
      <c r="O7" s="4" t="inlineStr">
        <is>
          <t>P</t>
        </is>
      </c>
      <c r="P7" s="4" t="inlineStr">
        <is>
          <t>P</t>
        </is>
      </c>
      <c r="Q7" s="4" t="inlineStr">
        <is>
          <t>P</t>
        </is>
      </c>
      <c r="R7" s="4" t="inlineStr">
        <is>
          <t>P</t>
        </is>
      </c>
      <c r="S7" s="4" t="inlineStr">
        <is>
          <t>P</t>
        </is>
      </c>
      <c r="T7" s="4" t="inlineStr">
        <is>
          <t>P</t>
        </is>
      </c>
      <c r="U7" s="4" t="inlineStr">
        <is>
          <t>P</t>
        </is>
      </c>
    </row>
    <row r="8">
      <c r="A8" t="inlineStr">
        <is>
          <t>E05</t>
        </is>
      </c>
      <c r="B8" s="4" t="inlineStr">
        <is>
          <t>P</t>
        </is>
      </c>
      <c r="C8" s="4" t="inlineStr">
        <is>
          <t>P</t>
        </is>
      </c>
      <c r="D8" s="4" t="inlineStr">
        <is>
          <t>P</t>
        </is>
      </c>
      <c r="E8" s="4" t="inlineStr">
        <is>
          <t>J</t>
        </is>
      </c>
      <c r="F8" s="4" t="inlineStr">
        <is>
          <t>P</t>
        </is>
      </c>
      <c r="G8" s="4" t="inlineStr">
        <is>
          <t>P</t>
        </is>
      </c>
      <c r="H8" s="4" t="inlineStr">
        <is>
          <t>P</t>
        </is>
      </c>
      <c r="I8" s="4" t="inlineStr">
        <is>
          <t>P</t>
        </is>
      </c>
      <c r="J8" s="4" t="inlineStr">
        <is>
          <t>P</t>
        </is>
      </c>
      <c r="K8" s="4" t="inlineStr">
        <is>
          <t>P</t>
        </is>
      </c>
      <c r="L8" s="4" t="inlineStr">
        <is>
          <t>P</t>
        </is>
      </c>
      <c r="M8" s="4" t="inlineStr">
        <is>
          <t>P</t>
        </is>
      </c>
      <c r="N8" s="4" t="inlineStr">
        <is>
          <t>P</t>
        </is>
      </c>
      <c r="O8" s="4" t="inlineStr">
        <is>
          <t>P</t>
        </is>
      </c>
      <c r="P8" s="4" t="inlineStr">
        <is>
          <t>P</t>
        </is>
      </c>
      <c r="Q8" s="4" t="inlineStr">
        <is>
          <t>P</t>
        </is>
      </c>
      <c r="R8" s="4" t="inlineStr">
        <is>
          <t>P</t>
        </is>
      </c>
      <c r="S8" s="4" t="inlineStr">
        <is>
          <t>P</t>
        </is>
      </c>
      <c r="T8" s="4" t="inlineStr">
        <is>
          <t>P</t>
        </is>
      </c>
      <c r="U8" s="4" t="inlineStr">
        <is>
          <t>P</t>
        </is>
      </c>
    </row>
    <row r="9">
      <c r="A9" t="inlineStr">
        <is>
          <t>E06</t>
        </is>
      </c>
      <c r="B9" s="4" t="inlineStr">
        <is>
          <t>P</t>
        </is>
      </c>
      <c r="C9" s="4" t="inlineStr">
        <is>
          <t>P</t>
        </is>
      </c>
      <c r="D9" s="4" t="inlineStr">
        <is>
          <t>P</t>
        </is>
      </c>
      <c r="E9" s="4" t="inlineStr">
        <is>
          <t>P</t>
        </is>
      </c>
      <c r="F9" s="4" t="inlineStr">
        <is>
          <t>P</t>
        </is>
      </c>
      <c r="G9" s="4" t="inlineStr">
        <is>
          <t>P</t>
        </is>
      </c>
      <c r="H9" s="4" t="inlineStr">
        <is>
          <t>P</t>
        </is>
      </c>
      <c r="I9" s="4" t="inlineStr">
        <is>
          <t>P</t>
        </is>
      </c>
      <c r="J9" s="4" t="inlineStr">
        <is>
          <t>P</t>
        </is>
      </c>
      <c r="K9" s="4" t="inlineStr">
        <is>
          <t>P</t>
        </is>
      </c>
      <c r="L9" s="4" t="inlineStr">
        <is>
          <t>P</t>
        </is>
      </c>
      <c r="M9" s="4" t="inlineStr">
        <is>
          <t>P</t>
        </is>
      </c>
      <c r="N9" s="4" t="inlineStr">
        <is>
          <t>P</t>
        </is>
      </c>
      <c r="O9" s="4" t="inlineStr">
        <is>
          <t>P</t>
        </is>
      </c>
      <c r="P9" s="4" t="inlineStr">
        <is>
          <t>P</t>
        </is>
      </c>
      <c r="Q9" s="4" t="inlineStr">
        <is>
          <t>P</t>
        </is>
      </c>
      <c r="R9" s="4" t="inlineStr">
        <is>
          <t>P</t>
        </is>
      </c>
      <c r="S9" s="4" t="inlineStr">
        <is>
          <t>P</t>
        </is>
      </c>
      <c r="T9" s="4" t="inlineStr">
        <is>
          <t>P</t>
        </is>
      </c>
      <c r="U9" s="4" t="inlineStr">
        <is>
          <t>P</t>
        </is>
      </c>
    </row>
    <row r="10">
      <c r="A10" t="inlineStr">
        <is>
          <t>E07</t>
        </is>
      </c>
      <c r="B10" s="4" t="inlineStr">
        <is>
          <t>P</t>
        </is>
      </c>
      <c r="C10" s="4" t="inlineStr">
        <is>
          <t>P</t>
        </is>
      </c>
      <c r="D10" s="4" t="inlineStr">
        <is>
          <t>P</t>
        </is>
      </c>
      <c r="E10" s="4" t="inlineStr">
        <is>
          <t>P</t>
        </is>
      </c>
      <c r="F10" s="4" t="inlineStr">
        <is>
          <t>P</t>
        </is>
      </c>
      <c r="G10" s="4" t="inlineStr">
        <is>
          <t>J</t>
        </is>
      </c>
      <c r="H10" s="4" t="inlineStr">
        <is>
          <t>J</t>
        </is>
      </c>
      <c r="I10" s="4" t="inlineStr">
        <is>
          <t>J</t>
        </is>
      </c>
      <c r="J10" s="4" t="inlineStr">
        <is>
          <t>J</t>
        </is>
      </c>
      <c r="K10" s="4" t="inlineStr">
        <is>
          <t>J</t>
        </is>
      </c>
      <c r="L10" s="4" t="inlineStr">
        <is>
          <t>P</t>
        </is>
      </c>
      <c r="M10" s="4" t="inlineStr">
        <is>
          <t>P</t>
        </is>
      </c>
      <c r="N10" s="4" t="inlineStr">
        <is>
          <t>P</t>
        </is>
      </c>
      <c r="O10" s="4" t="inlineStr">
        <is>
          <t>P</t>
        </is>
      </c>
      <c r="P10" s="4" t="inlineStr">
        <is>
          <t>P</t>
        </is>
      </c>
      <c r="Q10" s="4" t="inlineStr">
        <is>
          <t>P</t>
        </is>
      </c>
      <c r="R10" s="4" t="inlineStr">
        <is>
          <t>P</t>
        </is>
      </c>
      <c r="S10" s="4" t="inlineStr">
        <is>
          <t>P</t>
        </is>
      </c>
      <c r="T10" s="4" t="inlineStr">
        <is>
          <t>P</t>
        </is>
      </c>
      <c r="U10" s="4" t="inlineStr">
        <is>
          <t>P</t>
        </is>
      </c>
    </row>
    <row r="11">
      <c r="A11" t="inlineStr">
        <is>
          <t>E08</t>
        </is>
      </c>
      <c r="B11" s="4" t="inlineStr">
        <is>
          <t>P</t>
        </is>
      </c>
      <c r="C11" s="4" t="inlineStr">
        <is>
          <t>P</t>
        </is>
      </c>
      <c r="D11" s="4" t="inlineStr">
        <is>
          <t>P</t>
        </is>
      </c>
      <c r="E11" s="4" t="inlineStr">
        <is>
          <t>P</t>
        </is>
      </c>
      <c r="F11" s="4" t="inlineStr">
        <is>
          <t>P</t>
        </is>
      </c>
      <c r="G11" s="4" t="inlineStr">
        <is>
          <t>P</t>
        </is>
      </c>
      <c r="H11" s="4" t="inlineStr">
        <is>
          <t>P</t>
        </is>
      </c>
      <c r="I11" s="4" t="inlineStr">
        <is>
          <t>P</t>
        </is>
      </c>
      <c r="J11" s="4" t="inlineStr">
        <is>
          <t>P</t>
        </is>
      </c>
      <c r="K11" s="4" t="inlineStr">
        <is>
          <t>P</t>
        </is>
      </c>
      <c r="L11" s="4" t="inlineStr">
        <is>
          <t>P</t>
        </is>
      </c>
      <c r="M11" s="4" t="inlineStr">
        <is>
          <t>P</t>
        </is>
      </c>
      <c r="N11" s="4" t="inlineStr">
        <is>
          <t>P</t>
        </is>
      </c>
      <c r="O11" s="4" t="inlineStr">
        <is>
          <t>P</t>
        </is>
      </c>
      <c r="P11" s="4" t="inlineStr">
        <is>
          <t>P</t>
        </is>
      </c>
      <c r="Q11" s="4" t="inlineStr">
        <is>
          <t>P</t>
        </is>
      </c>
      <c r="R11" s="4" t="inlineStr">
        <is>
          <t>P</t>
        </is>
      </c>
      <c r="S11" s="4" t="inlineStr">
        <is>
          <t>P</t>
        </is>
      </c>
      <c r="T11" s="4" t="inlineStr">
        <is>
          <t>P</t>
        </is>
      </c>
      <c r="U11" s="4" t="inlineStr">
        <is>
          <t>P</t>
        </is>
      </c>
    </row>
    <row r="12">
      <c r="A12" t="inlineStr">
        <is>
          <t>E09</t>
        </is>
      </c>
      <c r="B12" s="4" t="inlineStr">
        <is>
          <t>P</t>
        </is>
      </c>
      <c r="C12" s="4" t="inlineStr">
        <is>
          <t>P</t>
        </is>
      </c>
      <c r="D12" s="4" t="inlineStr">
        <is>
          <t>P</t>
        </is>
      </c>
      <c r="E12" s="4" t="inlineStr">
        <is>
          <t>P</t>
        </is>
      </c>
      <c r="F12" s="4" t="inlineStr">
        <is>
          <t>P</t>
        </is>
      </c>
      <c r="G12" s="4" t="inlineStr">
        <is>
          <t>P</t>
        </is>
      </c>
      <c r="H12" s="4" t="inlineStr">
        <is>
          <t>P</t>
        </is>
      </c>
      <c r="I12" s="4" t="inlineStr">
        <is>
          <t>P</t>
        </is>
      </c>
      <c r="J12" s="4" t="inlineStr">
        <is>
          <t>P</t>
        </is>
      </c>
      <c r="K12" s="4" t="inlineStr">
        <is>
          <t>P</t>
        </is>
      </c>
      <c r="L12" s="4" t="inlineStr">
        <is>
          <t>P</t>
        </is>
      </c>
      <c r="M12" s="4" t="inlineStr">
        <is>
          <t>P</t>
        </is>
      </c>
      <c r="N12" s="4" t="inlineStr">
        <is>
          <t>P</t>
        </is>
      </c>
      <c r="O12" s="4" t="inlineStr">
        <is>
          <t>P</t>
        </is>
      </c>
      <c r="P12" s="4" t="inlineStr">
        <is>
          <t>P</t>
        </is>
      </c>
      <c r="Q12" s="4" t="inlineStr">
        <is>
          <t>P</t>
        </is>
      </c>
      <c r="R12" s="4" t="inlineStr">
        <is>
          <t>P</t>
        </is>
      </c>
      <c r="S12" s="4" t="inlineStr">
        <is>
          <t>A</t>
        </is>
      </c>
      <c r="T12" s="4" t="inlineStr">
        <is>
          <t>P</t>
        </is>
      </c>
      <c r="U12" s="4" t="inlineStr">
        <is>
          <t>P</t>
        </is>
      </c>
    </row>
    <row r="13">
      <c r="A13" t="inlineStr">
        <is>
          <t>E10</t>
        </is>
      </c>
      <c r="B13" s="4" t="inlineStr">
        <is>
          <t>P</t>
        </is>
      </c>
      <c r="C13" s="4" t="inlineStr">
        <is>
          <t>P</t>
        </is>
      </c>
      <c r="D13" s="4" t="inlineStr">
        <is>
          <t>P</t>
        </is>
      </c>
      <c r="E13" s="4" t="inlineStr">
        <is>
          <t>P</t>
        </is>
      </c>
      <c r="F13" s="4" t="inlineStr">
        <is>
          <t>P</t>
        </is>
      </c>
      <c r="G13" s="4" t="inlineStr">
        <is>
          <t>P</t>
        </is>
      </c>
      <c r="H13" s="4" t="inlineStr">
        <is>
          <t>P</t>
        </is>
      </c>
      <c r="I13" s="4" t="inlineStr">
        <is>
          <t>P</t>
        </is>
      </c>
      <c r="J13" s="4" t="inlineStr">
        <is>
          <t>P</t>
        </is>
      </c>
      <c r="K13" s="4" t="inlineStr">
        <is>
          <t>P</t>
        </is>
      </c>
      <c r="L13" s="4" t="inlineStr">
        <is>
          <t>P</t>
        </is>
      </c>
      <c r="M13" s="4" t="inlineStr">
        <is>
          <t>P</t>
        </is>
      </c>
      <c r="N13" s="4" t="inlineStr">
        <is>
          <t>P</t>
        </is>
      </c>
      <c r="O13" s="4" t="inlineStr">
        <is>
          <t>P</t>
        </is>
      </c>
      <c r="P13" s="4" t="inlineStr">
        <is>
          <t>P</t>
        </is>
      </c>
      <c r="Q13" s="4" t="inlineStr">
        <is>
          <t>P</t>
        </is>
      </c>
      <c r="R13" s="4" t="inlineStr">
        <is>
          <t>P</t>
        </is>
      </c>
      <c r="S13" s="4" t="inlineStr">
        <is>
          <t>P</t>
        </is>
      </c>
      <c r="T13" s="4" t="inlineStr">
        <is>
          <t>P</t>
        </is>
      </c>
      <c r="U13" s="4" t="inlineStr">
        <is>
          <t>P</t>
        </is>
      </c>
    </row>
    <row r="14">
      <c r="A14" t="inlineStr">
        <is>
          <t>E11</t>
        </is>
      </c>
      <c r="B14" s="4" t="inlineStr">
        <is>
          <t>P</t>
        </is>
      </c>
      <c r="C14" s="4" t="inlineStr">
        <is>
          <t>P</t>
        </is>
      </c>
      <c r="D14" s="4" t="inlineStr">
        <is>
          <t>P</t>
        </is>
      </c>
      <c r="E14" s="4" t="inlineStr">
        <is>
          <t>P</t>
        </is>
      </c>
      <c r="F14" s="4" t="inlineStr">
        <is>
          <t>A</t>
        </is>
      </c>
      <c r="G14" s="4" t="inlineStr">
        <is>
          <t>P</t>
        </is>
      </c>
      <c r="H14" s="4" t="inlineStr">
        <is>
          <t>P</t>
        </is>
      </c>
      <c r="I14" s="4" t="inlineStr">
        <is>
          <t>P</t>
        </is>
      </c>
      <c r="J14" s="4" t="inlineStr">
        <is>
          <t>P</t>
        </is>
      </c>
      <c r="K14" s="4" t="inlineStr">
        <is>
          <t>P</t>
        </is>
      </c>
      <c r="L14" s="4" t="inlineStr">
        <is>
          <t>P</t>
        </is>
      </c>
      <c r="M14" s="4" t="inlineStr">
        <is>
          <t>P</t>
        </is>
      </c>
      <c r="N14" s="4" t="inlineStr">
        <is>
          <t>P</t>
        </is>
      </c>
      <c r="O14" s="4" t="inlineStr">
        <is>
          <t>A</t>
        </is>
      </c>
      <c r="P14" s="4" t="inlineStr">
        <is>
          <t>P</t>
        </is>
      </c>
      <c r="Q14" s="4" t="inlineStr">
        <is>
          <t>P</t>
        </is>
      </c>
      <c r="R14" s="4" t="inlineStr">
        <is>
          <t>P</t>
        </is>
      </c>
      <c r="S14" s="4" t="inlineStr">
        <is>
          <t>P</t>
        </is>
      </c>
      <c r="T14" s="4" t="inlineStr">
        <is>
          <t>P</t>
        </is>
      </c>
      <c r="U14" s="4" t="inlineStr">
        <is>
          <t>P</t>
        </is>
      </c>
    </row>
    <row r="15">
      <c r="A15" t="inlineStr">
        <is>
          <t>E12</t>
        </is>
      </c>
      <c r="B15" s="4" t="inlineStr">
        <is>
          <t>P</t>
        </is>
      </c>
      <c r="C15" s="4" t="inlineStr">
        <is>
          <t>P</t>
        </is>
      </c>
      <c r="D15" s="4" t="inlineStr">
        <is>
          <t>P</t>
        </is>
      </c>
      <c r="E15" s="4" t="inlineStr">
        <is>
          <t>P</t>
        </is>
      </c>
      <c r="F15" s="4" t="inlineStr">
        <is>
          <t>P</t>
        </is>
      </c>
      <c r="G15" s="4" t="inlineStr">
        <is>
          <t>P</t>
        </is>
      </c>
      <c r="H15" s="4" t="inlineStr">
        <is>
          <t>P</t>
        </is>
      </c>
      <c r="I15" s="4" t="inlineStr">
        <is>
          <t>P</t>
        </is>
      </c>
      <c r="J15" s="4" t="inlineStr">
        <is>
          <t>J</t>
        </is>
      </c>
      <c r="K15" s="4" t="inlineStr">
        <is>
          <t>P</t>
        </is>
      </c>
      <c r="L15" s="4" t="inlineStr">
        <is>
          <t>P</t>
        </is>
      </c>
      <c r="M15" s="4" t="inlineStr">
        <is>
          <t>P</t>
        </is>
      </c>
      <c r="N15" s="4" t="inlineStr">
        <is>
          <t>P</t>
        </is>
      </c>
      <c r="O15" s="4" t="inlineStr">
        <is>
          <t>P</t>
        </is>
      </c>
      <c r="P15" s="4" t="inlineStr">
        <is>
          <t>P</t>
        </is>
      </c>
      <c r="Q15" s="4" t="inlineStr">
        <is>
          <t>P</t>
        </is>
      </c>
      <c r="R15" s="4" t="inlineStr">
        <is>
          <t>P</t>
        </is>
      </c>
      <c r="S15" s="4" t="inlineStr">
        <is>
          <t>P</t>
        </is>
      </c>
      <c r="T15" s="4" t="inlineStr">
        <is>
          <t>P</t>
        </is>
      </c>
      <c r="U15" s="4" t="inlineStr">
        <is>
          <t>P</t>
        </is>
      </c>
    </row>
    <row r="16">
      <c r="A16" t="inlineStr">
        <is>
          <t>E13</t>
        </is>
      </c>
      <c r="B16" s="4" t="inlineStr">
        <is>
          <t>P</t>
        </is>
      </c>
      <c r="C16" s="4" t="inlineStr">
        <is>
          <t>P</t>
        </is>
      </c>
      <c r="D16" s="4" t="inlineStr">
        <is>
          <t>P</t>
        </is>
      </c>
      <c r="E16" s="4" t="inlineStr">
        <is>
          <t>P</t>
        </is>
      </c>
      <c r="F16" s="4" t="inlineStr">
        <is>
          <t>P</t>
        </is>
      </c>
      <c r="G16" s="4" t="inlineStr">
        <is>
          <t>P</t>
        </is>
      </c>
      <c r="H16" s="4" t="inlineStr">
        <is>
          <t>P</t>
        </is>
      </c>
      <c r="I16" s="4" t="inlineStr">
        <is>
          <t>P</t>
        </is>
      </c>
      <c r="J16" s="4" t="inlineStr">
        <is>
          <t>P</t>
        </is>
      </c>
      <c r="K16" s="4" t="inlineStr">
        <is>
          <t>P</t>
        </is>
      </c>
      <c r="L16" s="4" t="inlineStr">
        <is>
          <t>P</t>
        </is>
      </c>
      <c r="M16" s="4" t="inlineStr">
        <is>
          <t>P</t>
        </is>
      </c>
      <c r="N16" s="4" t="inlineStr">
        <is>
          <t>P</t>
        </is>
      </c>
      <c r="O16" s="4" t="inlineStr">
        <is>
          <t>P</t>
        </is>
      </c>
      <c r="P16" s="4" t="inlineStr">
        <is>
          <t>P</t>
        </is>
      </c>
      <c r="Q16" s="4" t="inlineStr">
        <is>
          <t>P</t>
        </is>
      </c>
      <c r="R16" s="4" t="inlineStr">
        <is>
          <t>P</t>
        </is>
      </c>
      <c r="S16" s="4" t="inlineStr">
        <is>
          <t>P</t>
        </is>
      </c>
      <c r="T16" s="4" t="inlineStr">
        <is>
          <t>P</t>
        </is>
      </c>
      <c r="U16" s="4" t="inlineStr">
        <is>
          <t>P</t>
        </is>
      </c>
    </row>
    <row r="17">
      <c r="A17" t="inlineStr">
        <is>
          <t>E14</t>
        </is>
      </c>
      <c r="B17" s="4" t="inlineStr">
        <is>
          <t>P</t>
        </is>
      </c>
      <c r="C17" s="4" t="inlineStr">
        <is>
          <t>P</t>
        </is>
      </c>
      <c r="D17" s="4" t="inlineStr">
        <is>
          <t>P</t>
        </is>
      </c>
      <c r="E17" s="4" t="inlineStr">
        <is>
          <t>P</t>
        </is>
      </c>
      <c r="F17" s="4" t="inlineStr">
        <is>
          <t>P</t>
        </is>
      </c>
      <c r="G17" s="4" t="inlineStr">
        <is>
          <t>P</t>
        </is>
      </c>
      <c r="H17" s="4" t="inlineStr">
        <is>
          <t>P</t>
        </is>
      </c>
      <c r="I17" s="4" t="inlineStr">
        <is>
          <t>P</t>
        </is>
      </c>
      <c r="J17" s="4" t="inlineStr">
        <is>
          <t>P</t>
        </is>
      </c>
      <c r="K17" s="4" t="inlineStr">
        <is>
          <t>J</t>
        </is>
      </c>
      <c r="L17" s="4" t="inlineStr">
        <is>
          <t>P</t>
        </is>
      </c>
      <c r="M17" s="4" t="inlineStr">
        <is>
          <t>P</t>
        </is>
      </c>
      <c r="N17" s="4" t="inlineStr">
        <is>
          <t>P</t>
        </is>
      </c>
      <c r="O17" s="4" t="inlineStr">
        <is>
          <t>P</t>
        </is>
      </c>
      <c r="P17" s="4" t="inlineStr">
        <is>
          <t>P</t>
        </is>
      </c>
      <c r="Q17" s="4" t="inlineStr">
        <is>
          <t>P</t>
        </is>
      </c>
      <c r="R17" s="4" t="inlineStr">
        <is>
          <t>P</t>
        </is>
      </c>
      <c r="S17" s="4" t="inlineStr">
        <is>
          <t>P</t>
        </is>
      </c>
      <c r="T17" s="4" t="inlineStr">
        <is>
          <t>P</t>
        </is>
      </c>
      <c r="U17" s="4" t="inlineStr">
        <is>
          <t>P</t>
        </is>
      </c>
    </row>
    <row r="18">
      <c r="A18" t="inlineStr">
        <is>
          <t>E15</t>
        </is>
      </c>
      <c r="B18" s="4" t="inlineStr">
        <is>
          <t>P</t>
        </is>
      </c>
      <c r="C18" s="4" t="inlineStr">
        <is>
          <t>P</t>
        </is>
      </c>
      <c r="D18" s="4" t="inlineStr">
        <is>
          <t>P</t>
        </is>
      </c>
      <c r="E18" s="4" t="inlineStr">
        <is>
          <t>P</t>
        </is>
      </c>
      <c r="F18" s="4" t="inlineStr">
        <is>
          <t>P</t>
        </is>
      </c>
      <c r="G18" s="4" t="inlineStr">
        <is>
          <t>P</t>
        </is>
      </c>
      <c r="H18" s="4" t="inlineStr">
        <is>
          <t>P</t>
        </is>
      </c>
      <c r="I18" s="4" t="inlineStr">
        <is>
          <t>P</t>
        </is>
      </c>
      <c r="J18" s="4" t="inlineStr">
        <is>
          <t>P</t>
        </is>
      </c>
      <c r="K18" s="4" t="inlineStr">
        <is>
          <t>P</t>
        </is>
      </c>
      <c r="L18" s="4" t="inlineStr">
        <is>
          <t>P</t>
        </is>
      </c>
      <c r="M18" s="4" t="inlineStr">
        <is>
          <t>P</t>
        </is>
      </c>
      <c r="N18" s="4" t="inlineStr">
        <is>
          <t>P</t>
        </is>
      </c>
      <c r="O18" s="4" t="inlineStr">
        <is>
          <t>P</t>
        </is>
      </c>
      <c r="P18" s="4" t="inlineStr">
        <is>
          <t>P</t>
        </is>
      </c>
      <c r="Q18" s="4" t="inlineStr">
        <is>
          <t>P</t>
        </is>
      </c>
      <c r="R18" s="4" t="inlineStr">
        <is>
          <t>P</t>
        </is>
      </c>
      <c r="S18" s="4" t="inlineStr">
        <is>
          <t>P</t>
        </is>
      </c>
      <c r="T18" s="4" t="inlineStr">
        <is>
          <t>P</t>
        </is>
      </c>
      <c r="U18" s="4" t="inlineStr">
        <is>
          <t>P</t>
        </is>
      </c>
    </row>
    <row r="19">
      <c r="A19" t="inlineStr">
        <is>
          <t>E16</t>
        </is>
      </c>
      <c r="B19" s="4" t="inlineStr">
        <is>
          <t>P</t>
        </is>
      </c>
      <c r="C19" s="4" t="inlineStr">
        <is>
          <t>P</t>
        </is>
      </c>
      <c r="D19" s="4" t="inlineStr">
        <is>
          <t>P</t>
        </is>
      </c>
      <c r="E19" s="4" t="inlineStr">
        <is>
          <t>P</t>
        </is>
      </c>
      <c r="F19" s="4" t="inlineStr">
        <is>
          <t>A</t>
        </is>
      </c>
      <c r="G19" s="4" t="inlineStr">
        <is>
          <t>P</t>
        </is>
      </c>
      <c r="H19" s="4" t="inlineStr">
        <is>
          <t>P</t>
        </is>
      </c>
      <c r="I19" s="4" t="inlineStr">
        <is>
          <t>P</t>
        </is>
      </c>
      <c r="J19" s="4" t="inlineStr">
        <is>
          <t>P</t>
        </is>
      </c>
      <c r="K19" s="4" t="inlineStr">
        <is>
          <t>A</t>
        </is>
      </c>
      <c r="L19" s="4" t="inlineStr">
        <is>
          <t>P</t>
        </is>
      </c>
      <c r="M19" s="4" t="inlineStr">
        <is>
          <t>P</t>
        </is>
      </c>
      <c r="N19" s="4" t="inlineStr">
        <is>
          <t>P</t>
        </is>
      </c>
      <c r="O19" s="4" t="inlineStr">
        <is>
          <t>P</t>
        </is>
      </c>
      <c r="P19" s="4" t="inlineStr">
        <is>
          <t>A</t>
        </is>
      </c>
      <c r="Q19" s="4" t="inlineStr">
        <is>
          <t>P</t>
        </is>
      </c>
      <c r="R19" s="4" t="inlineStr">
        <is>
          <t>P</t>
        </is>
      </c>
      <c r="S19" s="4" t="inlineStr">
        <is>
          <t>P</t>
        </is>
      </c>
      <c r="T19" s="4" t="inlineStr">
        <is>
          <t>P</t>
        </is>
      </c>
      <c r="U19" s="4" t="inlineStr">
        <is>
          <t>P</t>
        </is>
      </c>
    </row>
    <row r="20">
      <c r="A20" t="inlineStr">
        <is>
          <t>E17</t>
        </is>
      </c>
      <c r="B20" s="4" t="inlineStr">
        <is>
          <t>P</t>
        </is>
      </c>
      <c r="C20" s="4" t="inlineStr">
        <is>
          <t>P</t>
        </is>
      </c>
      <c r="D20" s="4" t="inlineStr">
        <is>
          <t>P</t>
        </is>
      </c>
      <c r="E20" s="4" t="inlineStr">
        <is>
          <t>P</t>
        </is>
      </c>
      <c r="F20" s="4" t="inlineStr">
        <is>
          <t>P</t>
        </is>
      </c>
      <c r="G20" s="4" t="inlineStr">
        <is>
          <t>P</t>
        </is>
      </c>
      <c r="H20" s="4" t="inlineStr">
        <is>
          <t>P</t>
        </is>
      </c>
      <c r="I20" s="4" t="inlineStr">
        <is>
          <t>P</t>
        </is>
      </c>
      <c r="J20" s="4" t="inlineStr">
        <is>
          <t>P</t>
        </is>
      </c>
      <c r="K20" s="4" t="inlineStr">
        <is>
          <t>P</t>
        </is>
      </c>
      <c r="L20" s="4" t="inlineStr">
        <is>
          <t>P</t>
        </is>
      </c>
      <c r="M20" s="4" t="inlineStr">
        <is>
          <t>P</t>
        </is>
      </c>
      <c r="N20" s="4" t="inlineStr">
        <is>
          <t>P</t>
        </is>
      </c>
      <c r="O20" s="4" t="inlineStr">
        <is>
          <t>P</t>
        </is>
      </c>
      <c r="P20" s="4" t="inlineStr">
        <is>
          <t>P</t>
        </is>
      </c>
      <c r="Q20" s="4" t="inlineStr">
        <is>
          <t>P</t>
        </is>
      </c>
      <c r="R20" s="4" t="inlineStr">
        <is>
          <t>P</t>
        </is>
      </c>
      <c r="S20" s="4" t="inlineStr">
        <is>
          <t>P</t>
        </is>
      </c>
      <c r="T20" s="4" t="inlineStr">
        <is>
          <t>P</t>
        </is>
      </c>
      <c r="U20" s="4" t="inlineStr">
        <is>
          <t>P</t>
        </is>
      </c>
    </row>
    <row r="21">
      <c r="A21" t="inlineStr">
        <is>
          <t>E18</t>
        </is>
      </c>
      <c r="B21" s="4" t="inlineStr">
        <is>
          <t>P</t>
        </is>
      </c>
      <c r="C21" s="4" t="inlineStr">
        <is>
          <t>T</t>
        </is>
      </c>
      <c r="D21" s="4" t="inlineStr">
        <is>
          <t>P</t>
        </is>
      </c>
      <c r="E21" s="4" t="inlineStr">
        <is>
          <t>P</t>
        </is>
      </c>
      <c r="F21" s="4" t="inlineStr">
        <is>
          <t>P</t>
        </is>
      </c>
      <c r="G21" s="4" t="inlineStr">
        <is>
          <t>P</t>
        </is>
      </c>
      <c r="H21" s="4" t="inlineStr">
        <is>
          <t>T</t>
        </is>
      </c>
      <c r="I21" s="4" t="inlineStr">
        <is>
          <t>P</t>
        </is>
      </c>
      <c r="J21" s="4" t="inlineStr">
        <is>
          <t>P</t>
        </is>
      </c>
      <c r="K21" s="4" t="inlineStr">
        <is>
          <t>P</t>
        </is>
      </c>
      <c r="L21" s="4" t="inlineStr">
        <is>
          <t>P</t>
        </is>
      </c>
      <c r="M21" s="4" t="inlineStr">
        <is>
          <t>T</t>
        </is>
      </c>
      <c r="N21" s="4" t="inlineStr">
        <is>
          <t>P</t>
        </is>
      </c>
      <c r="O21" s="4" t="inlineStr">
        <is>
          <t>P</t>
        </is>
      </c>
      <c r="P21" s="4" t="inlineStr">
        <is>
          <t>P</t>
        </is>
      </c>
      <c r="Q21" s="4" t="inlineStr">
        <is>
          <t>P</t>
        </is>
      </c>
      <c r="R21" s="4" t="inlineStr">
        <is>
          <t>T</t>
        </is>
      </c>
      <c r="S21" s="4" t="inlineStr">
        <is>
          <t>P</t>
        </is>
      </c>
      <c r="T21" s="4" t="inlineStr">
        <is>
          <t>P</t>
        </is>
      </c>
      <c r="U21" s="4" t="inlineStr">
        <is>
          <t>P</t>
        </is>
      </c>
    </row>
    <row r="22">
      <c r="A22" t="inlineStr">
        <is>
          <t>E19</t>
        </is>
      </c>
      <c r="B22" s="4" t="inlineStr">
        <is>
          <t>P</t>
        </is>
      </c>
      <c r="C22" s="4" t="inlineStr">
        <is>
          <t>P</t>
        </is>
      </c>
      <c r="D22" s="4" t="inlineStr">
        <is>
          <t>P</t>
        </is>
      </c>
      <c r="E22" s="4" t="inlineStr">
        <is>
          <t>P</t>
        </is>
      </c>
      <c r="F22" s="4" t="inlineStr">
        <is>
          <t>P</t>
        </is>
      </c>
      <c r="G22" s="4" t="inlineStr">
        <is>
          <t>P</t>
        </is>
      </c>
      <c r="H22" s="4" t="inlineStr">
        <is>
          <t>P</t>
        </is>
      </c>
      <c r="I22" s="4" t="inlineStr">
        <is>
          <t>P</t>
        </is>
      </c>
      <c r="J22" s="4" t="inlineStr">
        <is>
          <t>P</t>
        </is>
      </c>
      <c r="K22" s="4" t="inlineStr">
        <is>
          <t>P</t>
        </is>
      </c>
      <c r="L22" s="4" t="inlineStr">
        <is>
          <t>P</t>
        </is>
      </c>
      <c r="M22" s="4" t="inlineStr">
        <is>
          <t>P</t>
        </is>
      </c>
      <c r="N22" s="4" t="inlineStr">
        <is>
          <t>P</t>
        </is>
      </c>
      <c r="O22" s="4" t="inlineStr">
        <is>
          <t>P</t>
        </is>
      </c>
      <c r="P22" s="4" t="inlineStr">
        <is>
          <t>P</t>
        </is>
      </c>
      <c r="Q22" s="4" t="inlineStr">
        <is>
          <t>P</t>
        </is>
      </c>
      <c r="R22" s="4" t="inlineStr">
        <is>
          <t>P</t>
        </is>
      </c>
      <c r="S22" s="4" t="inlineStr">
        <is>
          <t>P</t>
        </is>
      </c>
      <c r="T22" s="4" t="inlineStr">
        <is>
          <t>P</t>
        </is>
      </c>
      <c r="U22" s="4" t="inlineStr">
        <is>
          <t>A</t>
        </is>
      </c>
    </row>
    <row r="23">
      <c r="A23" t="inlineStr">
        <is>
          <t>E20</t>
        </is>
      </c>
      <c r="B23" s="4" t="inlineStr">
        <is>
          <t>P</t>
        </is>
      </c>
      <c r="C23" s="4" t="inlineStr">
        <is>
          <t>P</t>
        </is>
      </c>
      <c r="D23" s="4" t="inlineStr">
        <is>
          <t>J</t>
        </is>
      </c>
      <c r="E23" s="4" t="inlineStr">
        <is>
          <t>J</t>
        </is>
      </c>
      <c r="F23" s="4" t="inlineStr">
        <is>
          <t>P</t>
        </is>
      </c>
      <c r="G23" s="4" t="inlineStr">
        <is>
          <t>P</t>
        </is>
      </c>
      <c r="H23" s="4" t="inlineStr">
        <is>
          <t>P</t>
        </is>
      </c>
      <c r="I23" s="4" t="inlineStr">
        <is>
          <t>P</t>
        </is>
      </c>
      <c r="J23" s="4" t="inlineStr">
        <is>
          <t>P</t>
        </is>
      </c>
      <c r="K23" s="4" t="inlineStr">
        <is>
          <t>P</t>
        </is>
      </c>
      <c r="L23" s="4" t="inlineStr">
        <is>
          <t>P</t>
        </is>
      </c>
      <c r="M23" s="4" t="inlineStr">
        <is>
          <t>P</t>
        </is>
      </c>
      <c r="N23" s="4" t="inlineStr">
        <is>
          <t>P</t>
        </is>
      </c>
      <c r="O23" s="4" t="inlineStr">
        <is>
          <t>P</t>
        </is>
      </c>
      <c r="P23" s="4" t="inlineStr">
        <is>
          <t>P</t>
        </is>
      </c>
      <c r="Q23" s="4" t="inlineStr">
        <is>
          <t>P</t>
        </is>
      </c>
      <c r="R23" s="4" t="inlineStr">
        <is>
          <t>P</t>
        </is>
      </c>
      <c r="S23" s="4" t="inlineStr">
        <is>
          <t>P</t>
        </is>
      </c>
      <c r="T23" s="4" t="inlineStr">
        <is>
          <t>P</t>
        </is>
      </c>
      <c r="U23" s="4" t="inlineStr">
        <is>
          <t>P</t>
        </is>
      </c>
    </row>
  </sheetData>
  <conditionalFormatting sqref="B4:U23">
    <cfRule type="cellIs" priority="1" operator="equal" dxfId="0">
      <formula>"A"</formula>
    </cfRule>
    <cfRule type="cellIs" priority="2" operator="equal" dxfId="1">
      <formula>"J"</formula>
    </cfRule>
    <cfRule type="cellIs" priority="3" operator="equal" dxfId="2">
      <formula>"T"</formula>
    </cfRule>
  </conditionalFormatting>
  <dataValidations count="1">
    <dataValidation sqref="B4:U23" showDropDown="0" showInputMessage="0" showErrorMessage="0" allowBlank="0" type="list">
      <formula1>"P,A,J,T"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2" customWidth="1" min="4" max="4"/>
    <col width="11" customWidth="1" min="5" max="5"/>
    <col width="11" customWidth="1" min="6" max="6"/>
    <col width="10" customWidth="1" min="7" max="7"/>
    <col width="12" customWidth="1" min="8" max="8"/>
    <col width="12" customWidth="1" min="9" max="9"/>
    <col width="16" customWidth="1" min="10" max="10"/>
  </cols>
  <sheetData>
    <row r="1">
      <c r="A1" s="5" t="inlineStr">
        <is>
          <t>ANÁLISIS POR ESTUDIANTE (umbral de ausentismo crónico editable)</t>
        </is>
      </c>
    </row>
    <row r="2">
      <c r="A2" t="inlineStr">
        <is>
          <t>Umbral de ausentismo crónico (proporción de días de ausencia)</t>
        </is>
      </c>
      <c r="E2" s="6" t="n">
        <v>0.1</v>
      </c>
    </row>
    <row r="4" ht="52" customHeight="1">
      <c r="A4" s="7" t="inlineStr">
        <is>
          <t>Código</t>
        </is>
      </c>
      <c r="B4" s="7" t="inlineStr">
        <is>
          <t>Días registrados</t>
        </is>
      </c>
      <c r="C4" s="7" t="inlineStr">
        <is>
          <t>Ausencias sin justificar</t>
        </is>
      </c>
      <c r="D4" s="7" t="inlineStr">
        <is>
          <t>Ausencias justificadas</t>
        </is>
      </c>
      <c r="E4" s="7" t="inlineStr">
        <is>
          <t>Ausencias totales</t>
        </is>
      </c>
      <c r="F4" s="7" t="inlineStr">
        <is>
          <t>% de asistencia</t>
        </is>
      </c>
      <c r="G4" s="7" t="inlineStr">
        <is>
          <t>Tardanzas</t>
        </is>
      </c>
      <c r="H4" s="7" t="inlineStr">
        <is>
          <t>Racha máxima de ausencias</t>
        </is>
      </c>
      <c r="I4" s="7" t="inlineStr">
        <is>
          <t>Ausentismo crónico</t>
        </is>
      </c>
      <c r="J4" s="7" t="inlineStr">
        <is>
          <t>Lunes+viernes entre sus ausencias</t>
        </is>
      </c>
      <c r="L4" s="8" t="inlineStr">
        <is>
          <t>r1</t>
        </is>
      </c>
      <c r="M4" s="8" t="inlineStr">
        <is>
          <t>r2</t>
        </is>
      </c>
      <c r="N4" s="8" t="inlineStr">
        <is>
          <t>r3</t>
        </is>
      </c>
      <c r="O4" s="8" t="inlineStr">
        <is>
          <t>r4</t>
        </is>
      </c>
      <c r="P4" s="8" t="inlineStr">
        <is>
          <t>r5</t>
        </is>
      </c>
      <c r="Q4" s="8" t="inlineStr">
        <is>
          <t>r6</t>
        </is>
      </c>
      <c r="R4" s="8" t="inlineStr">
        <is>
          <t>r7</t>
        </is>
      </c>
      <c r="S4" s="8" t="inlineStr">
        <is>
          <t>r8</t>
        </is>
      </c>
      <c r="T4" s="8" t="inlineStr">
        <is>
          <t>r9</t>
        </is>
      </c>
      <c r="U4" s="8" t="inlineStr">
        <is>
          <t>r10</t>
        </is>
      </c>
      <c r="V4" s="8" t="inlineStr">
        <is>
          <t>r11</t>
        </is>
      </c>
      <c r="W4" s="8" t="inlineStr">
        <is>
          <t>r12</t>
        </is>
      </c>
      <c r="X4" s="8" t="inlineStr">
        <is>
          <t>r13</t>
        </is>
      </c>
      <c r="Y4" s="8" t="inlineStr">
        <is>
          <t>r14</t>
        </is>
      </c>
      <c r="Z4" s="8" t="inlineStr">
        <is>
          <t>r15</t>
        </is>
      </c>
      <c r="AA4" s="8" t="inlineStr">
        <is>
          <t>r16</t>
        </is>
      </c>
      <c r="AB4" s="8" t="inlineStr">
        <is>
          <t>r17</t>
        </is>
      </c>
      <c r="AC4" s="8" t="inlineStr">
        <is>
          <t>r18</t>
        </is>
      </c>
      <c r="AD4" s="8" t="inlineStr">
        <is>
          <t>r19</t>
        </is>
      </c>
      <c r="AE4" s="8" t="inlineStr">
        <is>
          <t>r20</t>
        </is>
      </c>
    </row>
    <row r="5">
      <c r="A5">
        <f>Asistencia!A4</f>
        <v/>
      </c>
      <c r="B5">
        <f>COUNTA(Asistencia!$B4:$U4)</f>
        <v/>
      </c>
      <c r="C5">
        <f>COUNTIF(Asistencia!$B4:$U4,"A")</f>
        <v/>
      </c>
      <c r="D5">
        <f>COUNTIF(Asistencia!$B4:$U4,"J")</f>
        <v/>
      </c>
      <c r="E5">
        <f>C5+D5</f>
        <v/>
      </c>
      <c r="F5" s="9">
        <f>IF(B5=0,"",(B5-E5)/B5)</f>
        <v/>
      </c>
      <c r="G5">
        <f>COUNTIF(Asistencia!$B4:$U4,"T")</f>
        <v/>
      </c>
      <c r="H5">
        <f>MAX(L5:AE5)</f>
        <v/>
      </c>
      <c r="I5">
        <f>IF(B5=0,"",IF(E5/B5&gt;=$E$2,"Sí","No"))</f>
        <v/>
      </c>
      <c r="J5">
        <f>SUMPRODUCT((Asistencia!$B$3:$U$3="L")*((Asistencia!$B4:$U4="A")+(Asistencia!$B4:$U4="J"))) + SUMPRODUCT((Asistencia!$B$3:$U$3="V")*((Asistencia!$B4:$U4="A")+(Asistencia!$B4:$U4="J")))</f>
        <v/>
      </c>
      <c r="L5" s="8">
        <f>IF(OR(Asistencia!B4="A",Asistencia!B4="J"),1,0)</f>
        <v/>
      </c>
      <c r="M5" s="8">
        <f>IF(OR(Asistencia!C4="A",Asistencia!C4="J"),L5+1,0)</f>
        <v/>
      </c>
      <c r="N5" s="8">
        <f>IF(OR(Asistencia!D4="A",Asistencia!D4="J"),M5+1,0)</f>
        <v/>
      </c>
      <c r="O5" s="8">
        <f>IF(OR(Asistencia!E4="A",Asistencia!E4="J"),N5+1,0)</f>
        <v/>
      </c>
      <c r="P5" s="8">
        <f>IF(OR(Asistencia!F4="A",Asistencia!F4="J"),O5+1,0)</f>
        <v/>
      </c>
      <c r="Q5" s="8">
        <f>IF(OR(Asistencia!G4="A",Asistencia!G4="J"),P5+1,0)</f>
        <v/>
      </c>
      <c r="R5" s="8">
        <f>IF(OR(Asistencia!H4="A",Asistencia!H4="J"),Q5+1,0)</f>
        <v/>
      </c>
      <c r="S5" s="8">
        <f>IF(OR(Asistencia!I4="A",Asistencia!I4="J"),R5+1,0)</f>
        <v/>
      </c>
      <c r="T5" s="8">
        <f>IF(OR(Asistencia!J4="A",Asistencia!J4="J"),S5+1,0)</f>
        <v/>
      </c>
      <c r="U5" s="8">
        <f>IF(OR(Asistencia!K4="A",Asistencia!K4="J"),T5+1,0)</f>
        <v/>
      </c>
      <c r="V5" s="8">
        <f>IF(OR(Asistencia!L4="A",Asistencia!L4="J"),U5+1,0)</f>
        <v/>
      </c>
      <c r="W5" s="8">
        <f>IF(OR(Asistencia!M4="A",Asistencia!M4="J"),V5+1,0)</f>
        <v/>
      </c>
      <c r="X5" s="8">
        <f>IF(OR(Asistencia!N4="A",Asistencia!N4="J"),W5+1,0)</f>
        <v/>
      </c>
      <c r="Y5" s="8">
        <f>IF(OR(Asistencia!O4="A",Asistencia!O4="J"),X5+1,0)</f>
        <v/>
      </c>
      <c r="Z5" s="8">
        <f>IF(OR(Asistencia!P4="A",Asistencia!P4="J"),Y5+1,0)</f>
        <v/>
      </c>
      <c r="AA5" s="8">
        <f>IF(OR(Asistencia!Q4="A",Asistencia!Q4="J"),Z5+1,0)</f>
        <v/>
      </c>
      <c r="AB5" s="8">
        <f>IF(OR(Asistencia!R4="A",Asistencia!R4="J"),AA5+1,0)</f>
        <v/>
      </c>
      <c r="AC5" s="8">
        <f>IF(OR(Asistencia!S4="A",Asistencia!S4="J"),AB5+1,0)</f>
        <v/>
      </c>
      <c r="AD5" s="8">
        <f>IF(OR(Asistencia!T4="A",Asistencia!T4="J"),AC5+1,0)</f>
        <v/>
      </c>
      <c r="AE5" s="8">
        <f>IF(OR(Asistencia!U4="A",Asistencia!U4="J"),AD5+1,0)</f>
        <v/>
      </c>
    </row>
    <row r="6">
      <c r="A6">
        <f>Asistencia!A5</f>
        <v/>
      </c>
      <c r="B6">
        <f>COUNTA(Asistencia!$B5:$U5)</f>
        <v/>
      </c>
      <c r="C6">
        <f>COUNTIF(Asistencia!$B5:$U5,"A")</f>
        <v/>
      </c>
      <c r="D6">
        <f>COUNTIF(Asistencia!$B5:$U5,"J")</f>
        <v/>
      </c>
      <c r="E6">
        <f>C6+D6</f>
        <v/>
      </c>
      <c r="F6" s="9">
        <f>IF(B6=0,"",(B6-E6)/B6)</f>
        <v/>
      </c>
      <c r="G6">
        <f>COUNTIF(Asistencia!$B5:$U5,"T")</f>
        <v/>
      </c>
      <c r="H6">
        <f>MAX(L6:AE6)</f>
        <v/>
      </c>
      <c r="I6">
        <f>IF(B6=0,"",IF(E6/B6&gt;=$E$2,"Sí","No"))</f>
        <v/>
      </c>
      <c r="J6">
        <f>SUMPRODUCT((Asistencia!$B$3:$U$3="L")*((Asistencia!$B5:$U5="A")+(Asistencia!$B5:$U5="J"))) + SUMPRODUCT((Asistencia!$B$3:$U$3="V")*((Asistencia!$B5:$U5="A")+(Asistencia!$B5:$U5="J")))</f>
        <v/>
      </c>
      <c r="L6" s="8">
        <f>IF(OR(Asistencia!B5="A",Asistencia!B5="J"),1,0)</f>
        <v/>
      </c>
      <c r="M6" s="8">
        <f>IF(OR(Asistencia!C5="A",Asistencia!C5="J"),L6+1,0)</f>
        <v/>
      </c>
      <c r="N6" s="8">
        <f>IF(OR(Asistencia!D5="A",Asistencia!D5="J"),M6+1,0)</f>
        <v/>
      </c>
      <c r="O6" s="8">
        <f>IF(OR(Asistencia!E5="A",Asistencia!E5="J"),N6+1,0)</f>
        <v/>
      </c>
      <c r="P6" s="8">
        <f>IF(OR(Asistencia!F5="A",Asistencia!F5="J"),O6+1,0)</f>
        <v/>
      </c>
      <c r="Q6" s="8">
        <f>IF(OR(Asistencia!G5="A",Asistencia!G5="J"),P6+1,0)</f>
        <v/>
      </c>
      <c r="R6" s="8">
        <f>IF(OR(Asistencia!H5="A",Asistencia!H5="J"),Q6+1,0)</f>
        <v/>
      </c>
      <c r="S6" s="8">
        <f>IF(OR(Asistencia!I5="A",Asistencia!I5="J"),R6+1,0)</f>
        <v/>
      </c>
      <c r="T6" s="8">
        <f>IF(OR(Asistencia!J5="A",Asistencia!J5="J"),S6+1,0)</f>
        <v/>
      </c>
      <c r="U6" s="8">
        <f>IF(OR(Asistencia!K5="A",Asistencia!K5="J"),T6+1,0)</f>
        <v/>
      </c>
      <c r="V6" s="8">
        <f>IF(OR(Asistencia!L5="A",Asistencia!L5="J"),U6+1,0)</f>
        <v/>
      </c>
      <c r="W6" s="8">
        <f>IF(OR(Asistencia!M5="A",Asistencia!M5="J"),V6+1,0)</f>
        <v/>
      </c>
      <c r="X6" s="8">
        <f>IF(OR(Asistencia!N5="A",Asistencia!N5="J"),W6+1,0)</f>
        <v/>
      </c>
      <c r="Y6" s="8">
        <f>IF(OR(Asistencia!O5="A",Asistencia!O5="J"),X6+1,0)</f>
        <v/>
      </c>
      <c r="Z6" s="8">
        <f>IF(OR(Asistencia!P5="A",Asistencia!P5="J"),Y6+1,0)</f>
        <v/>
      </c>
      <c r="AA6" s="8">
        <f>IF(OR(Asistencia!Q5="A",Asistencia!Q5="J"),Z6+1,0)</f>
        <v/>
      </c>
      <c r="AB6" s="8">
        <f>IF(OR(Asistencia!R5="A",Asistencia!R5="J"),AA6+1,0)</f>
        <v/>
      </c>
      <c r="AC6" s="8">
        <f>IF(OR(Asistencia!S5="A",Asistencia!S5="J"),AB6+1,0)</f>
        <v/>
      </c>
      <c r="AD6" s="8">
        <f>IF(OR(Asistencia!T5="A",Asistencia!T5="J"),AC6+1,0)</f>
        <v/>
      </c>
      <c r="AE6" s="8">
        <f>IF(OR(Asistencia!U5="A",Asistencia!U5="J"),AD6+1,0)</f>
        <v/>
      </c>
    </row>
    <row r="7">
      <c r="A7">
        <f>Asistencia!A6</f>
        <v/>
      </c>
      <c r="B7">
        <f>COUNTA(Asistencia!$B6:$U6)</f>
        <v/>
      </c>
      <c r="C7">
        <f>COUNTIF(Asistencia!$B6:$U6,"A")</f>
        <v/>
      </c>
      <c r="D7">
        <f>COUNTIF(Asistencia!$B6:$U6,"J")</f>
        <v/>
      </c>
      <c r="E7">
        <f>C7+D7</f>
        <v/>
      </c>
      <c r="F7" s="9">
        <f>IF(B7=0,"",(B7-E7)/B7)</f>
        <v/>
      </c>
      <c r="G7">
        <f>COUNTIF(Asistencia!$B6:$U6,"T")</f>
        <v/>
      </c>
      <c r="H7">
        <f>MAX(L7:AE7)</f>
        <v/>
      </c>
      <c r="I7">
        <f>IF(B7=0,"",IF(E7/B7&gt;=$E$2,"Sí","No"))</f>
        <v/>
      </c>
      <c r="J7">
        <f>SUMPRODUCT((Asistencia!$B$3:$U$3="L")*((Asistencia!$B6:$U6="A")+(Asistencia!$B6:$U6="J"))) + SUMPRODUCT((Asistencia!$B$3:$U$3="V")*((Asistencia!$B6:$U6="A")+(Asistencia!$B6:$U6="J")))</f>
        <v/>
      </c>
      <c r="L7" s="8">
        <f>IF(OR(Asistencia!B6="A",Asistencia!B6="J"),1,0)</f>
        <v/>
      </c>
      <c r="M7" s="8">
        <f>IF(OR(Asistencia!C6="A",Asistencia!C6="J"),L7+1,0)</f>
        <v/>
      </c>
      <c r="N7" s="8">
        <f>IF(OR(Asistencia!D6="A",Asistencia!D6="J"),M7+1,0)</f>
        <v/>
      </c>
      <c r="O7" s="8">
        <f>IF(OR(Asistencia!E6="A",Asistencia!E6="J"),N7+1,0)</f>
        <v/>
      </c>
      <c r="P7" s="8">
        <f>IF(OR(Asistencia!F6="A",Asistencia!F6="J"),O7+1,0)</f>
        <v/>
      </c>
      <c r="Q7" s="8">
        <f>IF(OR(Asistencia!G6="A",Asistencia!G6="J"),P7+1,0)</f>
        <v/>
      </c>
      <c r="R7" s="8">
        <f>IF(OR(Asistencia!H6="A",Asistencia!H6="J"),Q7+1,0)</f>
        <v/>
      </c>
      <c r="S7" s="8">
        <f>IF(OR(Asistencia!I6="A",Asistencia!I6="J"),R7+1,0)</f>
        <v/>
      </c>
      <c r="T7" s="8">
        <f>IF(OR(Asistencia!J6="A",Asistencia!J6="J"),S7+1,0)</f>
        <v/>
      </c>
      <c r="U7" s="8">
        <f>IF(OR(Asistencia!K6="A",Asistencia!K6="J"),T7+1,0)</f>
        <v/>
      </c>
      <c r="V7" s="8">
        <f>IF(OR(Asistencia!L6="A",Asistencia!L6="J"),U7+1,0)</f>
        <v/>
      </c>
      <c r="W7" s="8">
        <f>IF(OR(Asistencia!M6="A",Asistencia!M6="J"),V7+1,0)</f>
        <v/>
      </c>
      <c r="X7" s="8">
        <f>IF(OR(Asistencia!N6="A",Asistencia!N6="J"),W7+1,0)</f>
        <v/>
      </c>
      <c r="Y7" s="8">
        <f>IF(OR(Asistencia!O6="A",Asistencia!O6="J"),X7+1,0)</f>
        <v/>
      </c>
      <c r="Z7" s="8">
        <f>IF(OR(Asistencia!P6="A",Asistencia!P6="J"),Y7+1,0)</f>
        <v/>
      </c>
      <c r="AA7" s="8">
        <f>IF(OR(Asistencia!Q6="A",Asistencia!Q6="J"),Z7+1,0)</f>
        <v/>
      </c>
      <c r="AB7" s="8">
        <f>IF(OR(Asistencia!R6="A",Asistencia!R6="J"),AA7+1,0)</f>
        <v/>
      </c>
      <c r="AC7" s="8">
        <f>IF(OR(Asistencia!S6="A",Asistencia!S6="J"),AB7+1,0)</f>
        <v/>
      </c>
      <c r="AD7" s="8">
        <f>IF(OR(Asistencia!T6="A",Asistencia!T6="J"),AC7+1,0)</f>
        <v/>
      </c>
      <c r="AE7" s="8">
        <f>IF(OR(Asistencia!U6="A",Asistencia!U6="J"),AD7+1,0)</f>
        <v/>
      </c>
    </row>
    <row r="8">
      <c r="A8">
        <f>Asistencia!A7</f>
        <v/>
      </c>
      <c r="B8">
        <f>COUNTA(Asistencia!$B7:$U7)</f>
        <v/>
      </c>
      <c r="C8">
        <f>COUNTIF(Asistencia!$B7:$U7,"A")</f>
        <v/>
      </c>
      <c r="D8">
        <f>COUNTIF(Asistencia!$B7:$U7,"J")</f>
        <v/>
      </c>
      <c r="E8">
        <f>C8+D8</f>
        <v/>
      </c>
      <c r="F8" s="9">
        <f>IF(B8=0,"",(B8-E8)/B8)</f>
        <v/>
      </c>
      <c r="G8">
        <f>COUNTIF(Asistencia!$B7:$U7,"T")</f>
        <v/>
      </c>
      <c r="H8">
        <f>MAX(L8:AE8)</f>
        <v/>
      </c>
      <c r="I8">
        <f>IF(B8=0,"",IF(E8/B8&gt;=$E$2,"Sí","No"))</f>
        <v/>
      </c>
      <c r="J8">
        <f>SUMPRODUCT((Asistencia!$B$3:$U$3="L")*((Asistencia!$B7:$U7="A")+(Asistencia!$B7:$U7="J"))) + SUMPRODUCT((Asistencia!$B$3:$U$3="V")*((Asistencia!$B7:$U7="A")+(Asistencia!$B7:$U7="J")))</f>
        <v/>
      </c>
      <c r="L8" s="8">
        <f>IF(OR(Asistencia!B7="A",Asistencia!B7="J"),1,0)</f>
        <v/>
      </c>
      <c r="M8" s="8">
        <f>IF(OR(Asistencia!C7="A",Asistencia!C7="J"),L8+1,0)</f>
        <v/>
      </c>
      <c r="N8" s="8">
        <f>IF(OR(Asistencia!D7="A",Asistencia!D7="J"),M8+1,0)</f>
        <v/>
      </c>
      <c r="O8" s="8">
        <f>IF(OR(Asistencia!E7="A",Asistencia!E7="J"),N8+1,0)</f>
        <v/>
      </c>
      <c r="P8" s="8">
        <f>IF(OR(Asistencia!F7="A",Asistencia!F7="J"),O8+1,0)</f>
        <v/>
      </c>
      <c r="Q8" s="8">
        <f>IF(OR(Asistencia!G7="A",Asistencia!G7="J"),P8+1,0)</f>
        <v/>
      </c>
      <c r="R8" s="8">
        <f>IF(OR(Asistencia!H7="A",Asistencia!H7="J"),Q8+1,0)</f>
        <v/>
      </c>
      <c r="S8" s="8">
        <f>IF(OR(Asistencia!I7="A",Asistencia!I7="J"),R8+1,0)</f>
        <v/>
      </c>
      <c r="T8" s="8">
        <f>IF(OR(Asistencia!J7="A",Asistencia!J7="J"),S8+1,0)</f>
        <v/>
      </c>
      <c r="U8" s="8">
        <f>IF(OR(Asistencia!K7="A",Asistencia!K7="J"),T8+1,0)</f>
        <v/>
      </c>
      <c r="V8" s="8">
        <f>IF(OR(Asistencia!L7="A",Asistencia!L7="J"),U8+1,0)</f>
        <v/>
      </c>
      <c r="W8" s="8">
        <f>IF(OR(Asistencia!M7="A",Asistencia!M7="J"),V8+1,0)</f>
        <v/>
      </c>
      <c r="X8" s="8">
        <f>IF(OR(Asistencia!N7="A",Asistencia!N7="J"),W8+1,0)</f>
        <v/>
      </c>
      <c r="Y8" s="8">
        <f>IF(OR(Asistencia!O7="A",Asistencia!O7="J"),X8+1,0)</f>
        <v/>
      </c>
      <c r="Z8" s="8">
        <f>IF(OR(Asistencia!P7="A",Asistencia!P7="J"),Y8+1,0)</f>
        <v/>
      </c>
      <c r="AA8" s="8">
        <f>IF(OR(Asistencia!Q7="A",Asistencia!Q7="J"),Z8+1,0)</f>
        <v/>
      </c>
      <c r="AB8" s="8">
        <f>IF(OR(Asistencia!R7="A",Asistencia!R7="J"),AA8+1,0)</f>
        <v/>
      </c>
      <c r="AC8" s="8">
        <f>IF(OR(Asistencia!S7="A",Asistencia!S7="J"),AB8+1,0)</f>
        <v/>
      </c>
      <c r="AD8" s="8">
        <f>IF(OR(Asistencia!T7="A",Asistencia!T7="J"),AC8+1,0)</f>
        <v/>
      </c>
      <c r="AE8" s="8">
        <f>IF(OR(Asistencia!U7="A",Asistencia!U7="J"),AD8+1,0)</f>
        <v/>
      </c>
    </row>
    <row r="9">
      <c r="A9">
        <f>Asistencia!A8</f>
        <v/>
      </c>
      <c r="B9">
        <f>COUNTA(Asistencia!$B8:$U8)</f>
        <v/>
      </c>
      <c r="C9">
        <f>COUNTIF(Asistencia!$B8:$U8,"A")</f>
        <v/>
      </c>
      <c r="D9">
        <f>COUNTIF(Asistencia!$B8:$U8,"J")</f>
        <v/>
      </c>
      <c r="E9">
        <f>C9+D9</f>
        <v/>
      </c>
      <c r="F9" s="9">
        <f>IF(B9=0,"",(B9-E9)/B9)</f>
        <v/>
      </c>
      <c r="G9">
        <f>COUNTIF(Asistencia!$B8:$U8,"T")</f>
        <v/>
      </c>
      <c r="H9">
        <f>MAX(L9:AE9)</f>
        <v/>
      </c>
      <c r="I9">
        <f>IF(B9=0,"",IF(E9/B9&gt;=$E$2,"Sí","No"))</f>
        <v/>
      </c>
      <c r="J9">
        <f>SUMPRODUCT((Asistencia!$B$3:$U$3="L")*((Asistencia!$B8:$U8="A")+(Asistencia!$B8:$U8="J"))) + SUMPRODUCT((Asistencia!$B$3:$U$3="V")*((Asistencia!$B8:$U8="A")+(Asistencia!$B8:$U8="J")))</f>
        <v/>
      </c>
      <c r="L9" s="8">
        <f>IF(OR(Asistencia!B8="A",Asistencia!B8="J"),1,0)</f>
        <v/>
      </c>
      <c r="M9" s="8">
        <f>IF(OR(Asistencia!C8="A",Asistencia!C8="J"),L9+1,0)</f>
        <v/>
      </c>
      <c r="N9" s="8">
        <f>IF(OR(Asistencia!D8="A",Asistencia!D8="J"),M9+1,0)</f>
        <v/>
      </c>
      <c r="O9" s="8">
        <f>IF(OR(Asistencia!E8="A",Asistencia!E8="J"),N9+1,0)</f>
        <v/>
      </c>
      <c r="P9" s="8">
        <f>IF(OR(Asistencia!F8="A",Asistencia!F8="J"),O9+1,0)</f>
        <v/>
      </c>
      <c r="Q9" s="8">
        <f>IF(OR(Asistencia!G8="A",Asistencia!G8="J"),P9+1,0)</f>
        <v/>
      </c>
      <c r="R9" s="8">
        <f>IF(OR(Asistencia!H8="A",Asistencia!H8="J"),Q9+1,0)</f>
        <v/>
      </c>
      <c r="S9" s="8">
        <f>IF(OR(Asistencia!I8="A",Asistencia!I8="J"),R9+1,0)</f>
        <v/>
      </c>
      <c r="T9" s="8">
        <f>IF(OR(Asistencia!J8="A",Asistencia!J8="J"),S9+1,0)</f>
        <v/>
      </c>
      <c r="U9" s="8">
        <f>IF(OR(Asistencia!K8="A",Asistencia!K8="J"),T9+1,0)</f>
        <v/>
      </c>
      <c r="V9" s="8">
        <f>IF(OR(Asistencia!L8="A",Asistencia!L8="J"),U9+1,0)</f>
        <v/>
      </c>
      <c r="W9" s="8">
        <f>IF(OR(Asistencia!M8="A",Asistencia!M8="J"),V9+1,0)</f>
        <v/>
      </c>
      <c r="X9" s="8">
        <f>IF(OR(Asistencia!N8="A",Asistencia!N8="J"),W9+1,0)</f>
        <v/>
      </c>
      <c r="Y9" s="8">
        <f>IF(OR(Asistencia!O8="A",Asistencia!O8="J"),X9+1,0)</f>
        <v/>
      </c>
      <c r="Z9" s="8">
        <f>IF(OR(Asistencia!P8="A",Asistencia!P8="J"),Y9+1,0)</f>
        <v/>
      </c>
      <c r="AA9" s="8">
        <f>IF(OR(Asistencia!Q8="A",Asistencia!Q8="J"),Z9+1,0)</f>
        <v/>
      </c>
      <c r="AB9" s="8">
        <f>IF(OR(Asistencia!R8="A",Asistencia!R8="J"),AA9+1,0)</f>
        <v/>
      </c>
      <c r="AC9" s="8">
        <f>IF(OR(Asistencia!S8="A",Asistencia!S8="J"),AB9+1,0)</f>
        <v/>
      </c>
      <c r="AD9" s="8">
        <f>IF(OR(Asistencia!T8="A",Asistencia!T8="J"),AC9+1,0)</f>
        <v/>
      </c>
      <c r="AE9" s="8">
        <f>IF(OR(Asistencia!U8="A",Asistencia!U8="J"),AD9+1,0)</f>
        <v/>
      </c>
    </row>
    <row r="10">
      <c r="A10">
        <f>Asistencia!A9</f>
        <v/>
      </c>
      <c r="B10">
        <f>COUNTA(Asistencia!$B9:$U9)</f>
        <v/>
      </c>
      <c r="C10">
        <f>COUNTIF(Asistencia!$B9:$U9,"A")</f>
        <v/>
      </c>
      <c r="D10">
        <f>COUNTIF(Asistencia!$B9:$U9,"J")</f>
        <v/>
      </c>
      <c r="E10">
        <f>C10+D10</f>
        <v/>
      </c>
      <c r="F10" s="9">
        <f>IF(B10=0,"",(B10-E10)/B10)</f>
        <v/>
      </c>
      <c r="G10">
        <f>COUNTIF(Asistencia!$B9:$U9,"T")</f>
        <v/>
      </c>
      <c r="H10">
        <f>MAX(L10:AE10)</f>
        <v/>
      </c>
      <c r="I10">
        <f>IF(B10=0,"",IF(E10/B10&gt;=$E$2,"Sí","No"))</f>
        <v/>
      </c>
      <c r="J10">
        <f>SUMPRODUCT((Asistencia!$B$3:$U$3="L")*((Asistencia!$B9:$U9="A")+(Asistencia!$B9:$U9="J"))) + SUMPRODUCT((Asistencia!$B$3:$U$3="V")*((Asistencia!$B9:$U9="A")+(Asistencia!$B9:$U9="J")))</f>
        <v/>
      </c>
      <c r="L10" s="8">
        <f>IF(OR(Asistencia!B9="A",Asistencia!B9="J"),1,0)</f>
        <v/>
      </c>
      <c r="M10" s="8">
        <f>IF(OR(Asistencia!C9="A",Asistencia!C9="J"),L10+1,0)</f>
        <v/>
      </c>
      <c r="N10" s="8">
        <f>IF(OR(Asistencia!D9="A",Asistencia!D9="J"),M10+1,0)</f>
        <v/>
      </c>
      <c r="O10" s="8">
        <f>IF(OR(Asistencia!E9="A",Asistencia!E9="J"),N10+1,0)</f>
        <v/>
      </c>
      <c r="P10" s="8">
        <f>IF(OR(Asistencia!F9="A",Asistencia!F9="J"),O10+1,0)</f>
        <v/>
      </c>
      <c r="Q10" s="8">
        <f>IF(OR(Asistencia!G9="A",Asistencia!G9="J"),P10+1,0)</f>
        <v/>
      </c>
      <c r="R10" s="8">
        <f>IF(OR(Asistencia!H9="A",Asistencia!H9="J"),Q10+1,0)</f>
        <v/>
      </c>
      <c r="S10" s="8">
        <f>IF(OR(Asistencia!I9="A",Asistencia!I9="J"),R10+1,0)</f>
        <v/>
      </c>
      <c r="T10" s="8">
        <f>IF(OR(Asistencia!J9="A",Asistencia!J9="J"),S10+1,0)</f>
        <v/>
      </c>
      <c r="U10" s="8">
        <f>IF(OR(Asistencia!K9="A",Asistencia!K9="J"),T10+1,0)</f>
        <v/>
      </c>
      <c r="V10" s="8">
        <f>IF(OR(Asistencia!L9="A",Asistencia!L9="J"),U10+1,0)</f>
        <v/>
      </c>
      <c r="W10" s="8">
        <f>IF(OR(Asistencia!M9="A",Asistencia!M9="J"),V10+1,0)</f>
        <v/>
      </c>
      <c r="X10" s="8">
        <f>IF(OR(Asistencia!N9="A",Asistencia!N9="J"),W10+1,0)</f>
        <v/>
      </c>
      <c r="Y10" s="8">
        <f>IF(OR(Asistencia!O9="A",Asistencia!O9="J"),X10+1,0)</f>
        <v/>
      </c>
      <c r="Z10" s="8">
        <f>IF(OR(Asistencia!P9="A",Asistencia!P9="J"),Y10+1,0)</f>
        <v/>
      </c>
      <c r="AA10" s="8">
        <f>IF(OR(Asistencia!Q9="A",Asistencia!Q9="J"),Z10+1,0)</f>
        <v/>
      </c>
      <c r="AB10" s="8">
        <f>IF(OR(Asistencia!R9="A",Asistencia!R9="J"),AA10+1,0)</f>
        <v/>
      </c>
      <c r="AC10" s="8">
        <f>IF(OR(Asistencia!S9="A",Asistencia!S9="J"),AB10+1,0)</f>
        <v/>
      </c>
      <c r="AD10" s="8">
        <f>IF(OR(Asistencia!T9="A",Asistencia!T9="J"),AC10+1,0)</f>
        <v/>
      </c>
      <c r="AE10" s="8">
        <f>IF(OR(Asistencia!U9="A",Asistencia!U9="J"),AD10+1,0)</f>
        <v/>
      </c>
    </row>
    <row r="11">
      <c r="A11">
        <f>Asistencia!A10</f>
        <v/>
      </c>
      <c r="B11">
        <f>COUNTA(Asistencia!$B10:$U10)</f>
        <v/>
      </c>
      <c r="C11">
        <f>COUNTIF(Asistencia!$B10:$U10,"A")</f>
        <v/>
      </c>
      <c r="D11">
        <f>COUNTIF(Asistencia!$B10:$U10,"J")</f>
        <v/>
      </c>
      <c r="E11">
        <f>C11+D11</f>
        <v/>
      </c>
      <c r="F11" s="9">
        <f>IF(B11=0,"",(B11-E11)/B11)</f>
        <v/>
      </c>
      <c r="G11">
        <f>COUNTIF(Asistencia!$B10:$U10,"T")</f>
        <v/>
      </c>
      <c r="H11">
        <f>MAX(L11:AE11)</f>
        <v/>
      </c>
      <c r="I11">
        <f>IF(B11=0,"",IF(E11/B11&gt;=$E$2,"Sí","No"))</f>
        <v/>
      </c>
      <c r="J11">
        <f>SUMPRODUCT((Asistencia!$B$3:$U$3="L")*((Asistencia!$B10:$U10="A")+(Asistencia!$B10:$U10="J"))) + SUMPRODUCT((Asistencia!$B$3:$U$3="V")*((Asistencia!$B10:$U10="A")+(Asistencia!$B10:$U10="J")))</f>
        <v/>
      </c>
      <c r="L11" s="8">
        <f>IF(OR(Asistencia!B10="A",Asistencia!B10="J"),1,0)</f>
        <v/>
      </c>
      <c r="M11" s="8">
        <f>IF(OR(Asistencia!C10="A",Asistencia!C10="J"),L11+1,0)</f>
        <v/>
      </c>
      <c r="N11" s="8">
        <f>IF(OR(Asistencia!D10="A",Asistencia!D10="J"),M11+1,0)</f>
        <v/>
      </c>
      <c r="O11" s="8">
        <f>IF(OR(Asistencia!E10="A",Asistencia!E10="J"),N11+1,0)</f>
        <v/>
      </c>
      <c r="P11" s="8">
        <f>IF(OR(Asistencia!F10="A",Asistencia!F10="J"),O11+1,0)</f>
        <v/>
      </c>
      <c r="Q11" s="8">
        <f>IF(OR(Asistencia!G10="A",Asistencia!G10="J"),P11+1,0)</f>
        <v/>
      </c>
      <c r="R11" s="8">
        <f>IF(OR(Asistencia!H10="A",Asistencia!H10="J"),Q11+1,0)</f>
        <v/>
      </c>
      <c r="S11" s="8">
        <f>IF(OR(Asistencia!I10="A",Asistencia!I10="J"),R11+1,0)</f>
        <v/>
      </c>
      <c r="T11" s="8">
        <f>IF(OR(Asistencia!J10="A",Asistencia!J10="J"),S11+1,0)</f>
        <v/>
      </c>
      <c r="U11" s="8">
        <f>IF(OR(Asistencia!K10="A",Asistencia!K10="J"),T11+1,0)</f>
        <v/>
      </c>
      <c r="V11" s="8">
        <f>IF(OR(Asistencia!L10="A",Asistencia!L10="J"),U11+1,0)</f>
        <v/>
      </c>
      <c r="W11" s="8">
        <f>IF(OR(Asistencia!M10="A",Asistencia!M10="J"),V11+1,0)</f>
        <v/>
      </c>
      <c r="X11" s="8">
        <f>IF(OR(Asistencia!N10="A",Asistencia!N10="J"),W11+1,0)</f>
        <v/>
      </c>
      <c r="Y11" s="8">
        <f>IF(OR(Asistencia!O10="A",Asistencia!O10="J"),X11+1,0)</f>
        <v/>
      </c>
      <c r="Z11" s="8">
        <f>IF(OR(Asistencia!P10="A",Asistencia!P10="J"),Y11+1,0)</f>
        <v/>
      </c>
      <c r="AA11" s="8">
        <f>IF(OR(Asistencia!Q10="A",Asistencia!Q10="J"),Z11+1,0)</f>
        <v/>
      </c>
      <c r="AB11" s="8">
        <f>IF(OR(Asistencia!R10="A",Asistencia!R10="J"),AA11+1,0)</f>
        <v/>
      </c>
      <c r="AC11" s="8">
        <f>IF(OR(Asistencia!S10="A",Asistencia!S10="J"),AB11+1,0)</f>
        <v/>
      </c>
      <c r="AD11" s="8">
        <f>IF(OR(Asistencia!T10="A",Asistencia!T10="J"),AC11+1,0)</f>
        <v/>
      </c>
      <c r="AE11" s="8">
        <f>IF(OR(Asistencia!U10="A",Asistencia!U10="J"),AD11+1,0)</f>
        <v/>
      </c>
    </row>
    <row r="12">
      <c r="A12">
        <f>Asistencia!A11</f>
        <v/>
      </c>
      <c r="B12">
        <f>COUNTA(Asistencia!$B11:$U11)</f>
        <v/>
      </c>
      <c r="C12">
        <f>COUNTIF(Asistencia!$B11:$U11,"A")</f>
        <v/>
      </c>
      <c r="D12">
        <f>COUNTIF(Asistencia!$B11:$U11,"J")</f>
        <v/>
      </c>
      <c r="E12">
        <f>C12+D12</f>
        <v/>
      </c>
      <c r="F12" s="9">
        <f>IF(B12=0,"",(B12-E12)/B12)</f>
        <v/>
      </c>
      <c r="G12">
        <f>COUNTIF(Asistencia!$B11:$U11,"T")</f>
        <v/>
      </c>
      <c r="H12">
        <f>MAX(L12:AE12)</f>
        <v/>
      </c>
      <c r="I12">
        <f>IF(B12=0,"",IF(E12/B12&gt;=$E$2,"Sí","No"))</f>
        <v/>
      </c>
      <c r="J12">
        <f>SUMPRODUCT((Asistencia!$B$3:$U$3="L")*((Asistencia!$B11:$U11="A")+(Asistencia!$B11:$U11="J"))) + SUMPRODUCT((Asistencia!$B$3:$U$3="V")*((Asistencia!$B11:$U11="A")+(Asistencia!$B11:$U11="J")))</f>
        <v/>
      </c>
      <c r="L12" s="8">
        <f>IF(OR(Asistencia!B11="A",Asistencia!B11="J"),1,0)</f>
        <v/>
      </c>
      <c r="M12" s="8">
        <f>IF(OR(Asistencia!C11="A",Asistencia!C11="J"),L12+1,0)</f>
        <v/>
      </c>
      <c r="N12" s="8">
        <f>IF(OR(Asistencia!D11="A",Asistencia!D11="J"),M12+1,0)</f>
        <v/>
      </c>
      <c r="O12" s="8">
        <f>IF(OR(Asistencia!E11="A",Asistencia!E11="J"),N12+1,0)</f>
        <v/>
      </c>
      <c r="P12" s="8">
        <f>IF(OR(Asistencia!F11="A",Asistencia!F11="J"),O12+1,0)</f>
        <v/>
      </c>
      <c r="Q12" s="8">
        <f>IF(OR(Asistencia!G11="A",Asistencia!G11="J"),P12+1,0)</f>
        <v/>
      </c>
      <c r="R12" s="8">
        <f>IF(OR(Asistencia!H11="A",Asistencia!H11="J"),Q12+1,0)</f>
        <v/>
      </c>
      <c r="S12" s="8">
        <f>IF(OR(Asistencia!I11="A",Asistencia!I11="J"),R12+1,0)</f>
        <v/>
      </c>
      <c r="T12" s="8">
        <f>IF(OR(Asistencia!J11="A",Asistencia!J11="J"),S12+1,0)</f>
        <v/>
      </c>
      <c r="U12" s="8">
        <f>IF(OR(Asistencia!K11="A",Asistencia!K11="J"),T12+1,0)</f>
        <v/>
      </c>
      <c r="V12" s="8">
        <f>IF(OR(Asistencia!L11="A",Asistencia!L11="J"),U12+1,0)</f>
        <v/>
      </c>
      <c r="W12" s="8">
        <f>IF(OR(Asistencia!M11="A",Asistencia!M11="J"),V12+1,0)</f>
        <v/>
      </c>
      <c r="X12" s="8">
        <f>IF(OR(Asistencia!N11="A",Asistencia!N11="J"),W12+1,0)</f>
        <v/>
      </c>
      <c r="Y12" s="8">
        <f>IF(OR(Asistencia!O11="A",Asistencia!O11="J"),X12+1,0)</f>
        <v/>
      </c>
      <c r="Z12" s="8">
        <f>IF(OR(Asistencia!P11="A",Asistencia!P11="J"),Y12+1,0)</f>
        <v/>
      </c>
      <c r="AA12" s="8">
        <f>IF(OR(Asistencia!Q11="A",Asistencia!Q11="J"),Z12+1,0)</f>
        <v/>
      </c>
      <c r="AB12" s="8">
        <f>IF(OR(Asistencia!R11="A",Asistencia!R11="J"),AA12+1,0)</f>
        <v/>
      </c>
      <c r="AC12" s="8">
        <f>IF(OR(Asistencia!S11="A",Asistencia!S11="J"),AB12+1,0)</f>
        <v/>
      </c>
      <c r="AD12" s="8">
        <f>IF(OR(Asistencia!T11="A",Asistencia!T11="J"),AC12+1,0)</f>
        <v/>
      </c>
      <c r="AE12" s="8">
        <f>IF(OR(Asistencia!U11="A",Asistencia!U11="J"),AD12+1,0)</f>
        <v/>
      </c>
    </row>
    <row r="13">
      <c r="A13">
        <f>Asistencia!A12</f>
        <v/>
      </c>
      <c r="B13">
        <f>COUNTA(Asistencia!$B12:$U12)</f>
        <v/>
      </c>
      <c r="C13">
        <f>COUNTIF(Asistencia!$B12:$U12,"A")</f>
        <v/>
      </c>
      <c r="D13">
        <f>COUNTIF(Asistencia!$B12:$U12,"J")</f>
        <v/>
      </c>
      <c r="E13">
        <f>C13+D13</f>
        <v/>
      </c>
      <c r="F13" s="9">
        <f>IF(B13=0,"",(B13-E13)/B13)</f>
        <v/>
      </c>
      <c r="G13">
        <f>COUNTIF(Asistencia!$B12:$U12,"T")</f>
        <v/>
      </c>
      <c r="H13">
        <f>MAX(L13:AE13)</f>
        <v/>
      </c>
      <c r="I13">
        <f>IF(B13=0,"",IF(E13/B13&gt;=$E$2,"Sí","No"))</f>
        <v/>
      </c>
      <c r="J13">
        <f>SUMPRODUCT((Asistencia!$B$3:$U$3="L")*((Asistencia!$B12:$U12="A")+(Asistencia!$B12:$U12="J"))) + SUMPRODUCT((Asistencia!$B$3:$U$3="V")*((Asistencia!$B12:$U12="A")+(Asistencia!$B12:$U12="J")))</f>
        <v/>
      </c>
      <c r="L13" s="8">
        <f>IF(OR(Asistencia!B12="A",Asistencia!B12="J"),1,0)</f>
        <v/>
      </c>
      <c r="M13" s="8">
        <f>IF(OR(Asistencia!C12="A",Asistencia!C12="J"),L13+1,0)</f>
        <v/>
      </c>
      <c r="N13" s="8">
        <f>IF(OR(Asistencia!D12="A",Asistencia!D12="J"),M13+1,0)</f>
        <v/>
      </c>
      <c r="O13" s="8">
        <f>IF(OR(Asistencia!E12="A",Asistencia!E12="J"),N13+1,0)</f>
        <v/>
      </c>
      <c r="P13" s="8">
        <f>IF(OR(Asistencia!F12="A",Asistencia!F12="J"),O13+1,0)</f>
        <v/>
      </c>
      <c r="Q13" s="8">
        <f>IF(OR(Asistencia!G12="A",Asistencia!G12="J"),P13+1,0)</f>
        <v/>
      </c>
      <c r="R13" s="8">
        <f>IF(OR(Asistencia!H12="A",Asistencia!H12="J"),Q13+1,0)</f>
        <v/>
      </c>
      <c r="S13" s="8">
        <f>IF(OR(Asistencia!I12="A",Asistencia!I12="J"),R13+1,0)</f>
        <v/>
      </c>
      <c r="T13" s="8">
        <f>IF(OR(Asistencia!J12="A",Asistencia!J12="J"),S13+1,0)</f>
        <v/>
      </c>
      <c r="U13" s="8">
        <f>IF(OR(Asistencia!K12="A",Asistencia!K12="J"),T13+1,0)</f>
        <v/>
      </c>
      <c r="V13" s="8">
        <f>IF(OR(Asistencia!L12="A",Asistencia!L12="J"),U13+1,0)</f>
        <v/>
      </c>
      <c r="W13" s="8">
        <f>IF(OR(Asistencia!M12="A",Asistencia!M12="J"),V13+1,0)</f>
        <v/>
      </c>
      <c r="X13" s="8">
        <f>IF(OR(Asistencia!N12="A",Asistencia!N12="J"),W13+1,0)</f>
        <v/>
      </c>
      <c r="Y13" s="8">
        <f>IF(OR(Asistencia!O12="A",Asistencia!O12="J"),X13+1,0)</f>
        <v/>
      </c>
      <c r="Z13" s="8">
        <f>IF(OR(Asistencia!P12="A",Asistencia!P12="J"),Y13+1,0)</f>
        <v/>
      </c>
      <c r="AA13" s="8">
        <f>IF(OR(Asistencia!Q12="A",Asistencia!Q12="J"),Z13+1,0)</f>
        <v/>
      </c>
      <c r="AB13" s="8">
        <f>IF(OR(Asistencia!R12="A",Asistencia!R12="J"),AA13+1,0)</f>
        <v/>
      </c>
      <c r="AC13" s="8">
        <f>IF(OR(Asistencia!S12="A",Asistencia!S12="J"),AB13+1,0)</f>
        <v/>
      </c>
      <c r="AD13" s="8">
        <f>IF(OR(Asistencia!T12="A",Asistencia!T12="J"),AC13+1,0)</f>
        <v/>
      </c>
      <c r="AE13" s="8">
        <f>IF(OR(Asistencia!U12="A",Asistencia!U12="J"),AD13+1,0)</f>
        <v/>
      </c>
    </row>
    <row r="14">
      <c r="A14">
        <f>Asistencia!A13</f>
        <v/>
      </c>
      <c r="B14">
        <f>COUNTA(Asistencia!$B13:$U13)</f>
        <v/>
      </c>
      <c r="C14">
        <f>COUNTIF(Asistencia!$B13:$U13,"A")</f>
        <v/>
      </c>
      <c r="D14">
        <f>COUNTIF(Asistencia!$B13:$U13,"J")</f>
        <v/>
      </c>
      <c r="E14">
        <f>C14+D14</f>
        <v/>
      </c>
      <c r="F14" s="9">
        <f>IF(B14=0,"",(B14-E14)/B14)</f>
        <v/>
      </c>
      <c r="G14">
        <f>COUNTIF(Asistencia!$B13:$U13,"T")</f>
        <v/>
      </c>
      <c r="H14">
        <f>MAX(L14:AE14)</f>
        <v/>
      </c>
      <c r="I14">
        <f>IF(B14=0,"",IF(E14/B14&gt;=$E$2,"Sí","No"))</f>
        <v/>
      </c>
      <c r="J14">
        <f>SUMPRODUCT((Asistencia!$B$3:$U$3="L")*((Asistencia!$B13:$U13="A")+(Asistencia!$B13:$U13="J"))) + SUMPRODUCT((Asistencia!$B$3:$U$3="V")*((Asistencia!$B13:$U13="A")+(Asistencia!$B13:$U13="J")))</f>
        <v/>
      </c>
      <c r="L14" s="8">
        <f>IF(OR(Asistencia!B13="A",Asistencia!B13="J"),1,0)</f>
        <v/>
      </c>
      <c r="M14" s="8">
        <f>IF(OR(Asistencia!C13="A",Asistencia!C13="J"),L14+1,0)</f>
        <v/>
      </c>
      <c r="N14" s="8">
        <f>IF(OR(Asistencia!D13="A",Asistencia!D13="J"),M14+1,0)</f>
        <v/>
      </c>
      <c r="O14" s="8">
        <f>IF(OR(Asistencia!E13="A",Asistencia!E13="J"),N14+1,0)</f>
        <v/>
      </c>
      <c r="P14" s="8">
        <f>IF(OR(Asistencia!F13="A",Asistencia!F13="J"),O14+1,0)</f>
        <v/>
      </c>
      <c r="Q14" s="8">
        <f>IF(OR(Asistencia!G13="A",Asistencia!G13="J"),P14+1,0)</f>
        <v/>
      </c>
      <c r="R14" s="8">
        <f>IF(OR(Asistencia!H13="A",Asistencia!H13="J"),Q14+1,0)</f>
        <v/>
      </c>
      <c r="S14" s="8">
        <f>IF(OR(Asistencia!I13="A",Asistencia!I13="J"),R14+1,0)</f>
        <v/>
      </c>
      <c r="T14" s="8">
        <f>IF(OR(Asistencia!J13="A",Asistencia!J13="J"),S14+1,0)</f>
        <v/>
      </c>
      <c r="U14" s="8">
        <f>IF(OR(Asistencia!K13="A",Asistencia!K13="J"),T14+1,0)</f>
        <v/>
      </c>
      <c r="V14" s="8">
        <f>IF(OR(Asistencia!L13="A",Asistencia!L13="J"),U14+1,0)</f>
        <v/>
      </c>
      <c r="W14" s="8">
        <f>IF(OR(Asistencia!M13="A",Asistencia!M13="J"),V14+1,0)</f>
        <v/>
      </c>
      <c r="X14" s="8">
        <f>IF(OR(Asistencia!N13="A",Asistencia!N13="J"),W14+1,0)</f>
        <v/>
      </c>
      <c r="Y14" s="8">
        <f>IF(OR(Asistencia!O13="A",Asistencia!O13="J"),X14+1,0)</f>
        <v/>
      </c>
      <c r="Z14" s="8">
        <f>IF(OR(Asistencia!P13="A",Asistencia!P13="J"),Y14+1,0)</f>
        <v/>
      </c>
      <c r="AA14" s="8">
        <f>IF(OR(Asistencia!Q13="A",Asistencia!Q13="J"),Z14+1,0)</f>
        <v/>
      </c>
      <c r="AB14" s="8">
        <f>IF(OR(Asistencia!R13="A",Asistencia!R13="J"),AA14+1,0)</f>
        <v/>
      </c>
      <c r="AC14" s="8">
        <f>IF(OR(Asistencia!S13="A",Asistencia!S13="J"),AB14+1,0)</f>
        <v/>
      </c>
      <c r="AD14" s="8">
        <f>IF(OR(Asistencia!T13="A",Asistencia!T13="J"),AC14+1,0)</f>
        <v/>
      </c>
      <c r="AE14" s="8">
        <f>IF(OR(Asistencia!U13="A",Asistencia!U13="J"),AD14+1,0)</f>
        <v/>
      </c>
    </row>
    <row r="15">
      <c r="A15">
        <f>Asistencia!A14</f>
        <v/>
      </c>
      <c r="B15">
        <f>COUNTA(Asistencia!$B14:$U14)</f>
        <v/>
      </c>
      <c r="C15">
        <f>COUNTIF(Asistencia!$B14:$U14,"A")</f>
        <v/>
      </c>
      <c r="D15">
        <f>COUNTIF(Asistencia!$B14:$U14,"J")</f>
        <v/>
      </c>
      <c r="E15">
        <f>C15+D15</f>
        <v/>
      </c>
      <c r="F15" s="9">
        <f>IF(B15=0,"",(B15-E15)/B15)</f>
        <v/>
      </c>
      <c r="G15">
        <f>COUNTIF(Asistencia!$B14:$U14,"T")</f>
        <v/>
      </c>
      <c r="H15">
        <f>MAX(L15:AE15)</f>
        <v/>
      </c>
      <c r="I15">
        <f>IF(B15=0,"",IF(E15/B15&gt;=$E$2,"Sí","No"))</f>
        <v/>
      </c>
      <c r="J15">
        <f>SUMPRODUCT((Asistencia!$B$3:$U$3="L")*((Asistencia!$B14:$U14="A")+(Asistencia!$B14:$U14="J"))) + SUMPRODUCT((Asistencia!$B$3:$U$3="V")*((Asistencia!$B14:$U14="A")+(Asistencia!$B14:$U14="J")))</f>
        <v/>
      </c>
      <c r="L15" s="8">
        <f>IF(OR(Asistencia!B14="A",Asistencia!B14="J"),1,0)</f>
        <v/>
      </c>
      <c r="M15" s="8">
        <f>IF(OR(Asistencia!C14="A",Asistencia!C14="J"),L15+1,0)</f>
        <v/>
      </c>
      <c r="N15" s="8">
        <f>IF(OR(Asistencia!D14="A",Asistencia!D14="J"),M15+1,0)</f>
        <v/>
      </c>
      <c r="O15" s="8">
        <f>IF(OR(Asistencia!E14="A",Asistencia!E14="J"),N15+1,0)</f>
        <v/>
      </c>
      <c r="P15" s="8">
        <f>IF(OR(Asistencia!F14="A",Asistencia!F14="J"),O15+1,0)</f>
        <v/>
      </c>
      <c r="Q15" s="8">
        <f>IF(OR(Asistencia!G14="A",Asistencia!G14="J"),P15+1,0)</f>
        <v/>
      </c>
      <c r="R15" s="8">
        <f>IF(OR(Asistencia!H14="A",Asistencia!H14="J"),Q15+1,0)</f>
        <v/>
      </c>
      <c r="S15" s="8">
        <f>IF(OR(Asistencia!I14="A",Asistencia!I14="J"),R15+1,0)</f>
        <v/>
      </c>
      <c r="T15" s="8">
        <f>IF(OR(Asistencia!J14="A",Asistencia!J14="J"),S15+1,0)</f>
        <v/>
      </c>
      <c r="U15" s="8">
        <f>IF(OR(Asistencia!K14="A",Asistencia!K14="J"),T15+1,0)</f>
        <v/>
      </c>
      <c r="V15" s="8">
        <f>IF(OR(Asistencia!L14="A",Asistencia!L14="J"),U15+1,0)</f>
        <v/>
      </c>
      <c r="W15" s="8">
        <f>IF(OR(Asistencia!M14="A",Asistencia!M14="J"),V15+1,0)</f>
        <v/>
      </c>
      <c r="X15" s="8">
        <f>IF(OR(Asistencia!N14="A",Asistencia!N14="J"),W15+1,0)</f>
        <v/>
      </c>
      <c r="Y15" s="8">
        <f>IF(OR(Asistencia!O14="A",Asistencia!O14="J"),X15+1,0)</f>
        <v/>
      </c>
      <c r="Z15" s="8">
        <f>IF(OR(Asistencia!P14="A",Asistencia!P14="J"),Y15+1,0)</f>
        <v/>
      </c>
      <c r="AA15" s="8">
        <f>IF(OR(Asistencia!Q14="A",Asistencia!Q14="J"),Z15+1,0)</f>
        <v/>
      </c>
      <c r="AB15" s="8">
        <f>IF(OR(Asistencia!R14="A",Asistencia!R14="J"),AA15+1,0)</f>
        <v/>
      </c>
      <c r="AC15" s="8">
        <f>IF(OR(Asistencia!S14="A",Asistencia!S14="J"),AB15+1,0)</f>
        <v/>
      </c>
      <c r="AD15" s="8">
        <f>IF(OR(Asistencia!T14="A",Asistencia!T14="J"),AC15+1,0)</f>
        <v/>
      </c>
      <c r="AE15" s="8">
        <f>IF(OR(Asistencia!U14="A",Asistencia!U14="J"),AD15+1,0)</f>
        <v/>
      </c>
    </row>
    <row r="16">
      <c r="A16">
        <f>Asistencia!A15</f>
        <v/>
      </c>
      <c r="B16">
        <f>COUNTA(Asistencia!$B15:$U15)</f>
        <v/>
      </c>
      <c r="C16">
        <f>COUNTIF(Asistencia!$B15:$U15,"A")</f>
        <v/>
      </c>
      <c r="D16">
        <f>COUNTIF(Asistencia!$B15:$U15,"J")</f>
        <v/>
      </c>
      <c r="E16">
        <f>C16+D16</f>
        <v/>
      </c>
      <c r="F16" s="9">
        <f>IF(B16=0,"",(B16-E16)/B16)</f>
        <v/>
      </c>
      <c r="G16">
        <f>COUNTIF(Asistencia!$B15:$U15,"T")</f>
        <v/>
      </c>
      <c r="H16">
        <f>MAX(L16:AE16)</f>
        <v/>
      </c>
      <c r="I16">
        <f>IF(B16=0,"",IF(E16/B16&gt;=$E$2,"Sí","No"))</f>
        <v/>
      </c>
      <c r="J16">
        <f>SUMPRODUCT((Asistencia!$B$3:$U$3="L")*((Asistencia!$B15:$U15="A")+(Asistencia!$B15:$U15="J"))) + SUMPRODUCT((Asistencia!$B$3:$U$3="V")*((Asistencia!$B15:$U15="A")+(Asistencia!$B15:$U15="J")))</f>
        <v/>
      </c>
      <c r="L16" s="8">
        <f>IF(OR(Asistencia!B15="A",Asistencia!B15="J"),1,0)</f>
        <v/>
      </c>
      <c r="M16" s="8">
        <f>IF(OR(Asistencia!C15="A",Asistencia!C15="J"),L16+1,0)</f>
        <v/>
      </c>
      <c r="N16" s="8">
        <f>IF(OR(Asistencia!D15="A",Asistencia!D15="J"),M16+1,0)</f>
        <v/>
      </c>
      <c r="O16" s="8">
        <f>IF(OR(Asistencia!E15="A",Asistencia!E15="J"),N16+1,0)</f>
        <v/>
      </c>
      <c r="P16" s="8">
        <f>IF(OR(Asistencia!F15="A",Asistencia!F15="J"),O16+1,0)</f>
        <v/>
      </c>
      <c r="Q16" s="8">
        <f>IF(OR(Asistencia!G15="A",Asistencia!G15="J"),P16+1,0)</f>
        <v/>
      </c>
      <c r="R16" s="8">
        <f>IF(OR(Asistencia!H15="A",Asistencia!H15="J"),Q16+1,0)</f>
        <v/>
      </c>
      <c r="S16" s="8">
        <f>IF(OR(Asistencia!I15="A",Asistencia!I15="J"),R16+1,0)</f>
        <v/>
      </c>
      <c r="T16" s="8">
        <f>IF(OR(Asistencia!J15="A",Asistencia!J15="J"),S16+1,0)</f>
        <v/>
      </c>
      <c r="U16" s="8">
        <f>IF(OR(Asistencia!K15="A",Asistencia!K15="J"),T16+1,0)</f>
        <v/>
      </c>
      <c r="V16" s="8">
        <f>IF(OR(Asistencia!L15="A",Asistencia!L15="J"),U16+1,0)</f>
        <v/>
      </c>
      <c r="W16" s="8">
        <f>IF(OR(Asistencia!M15="A",Asistencia!M15="J"),V16+1,0)</f>
        <v/>
      </c>
      <c r="X16" s="8">
        <f>IF(OR(Asistencia!N15="A",Asistencia!N15="J"),W16+1,0)</f>
        <v/>
      </c>
      <c r="Y16" s="8">
        <f>IF(OR(Asistencia!O15="A",Asistencia!O15="J"),X16+1,0)</f>
        <v/>
      </c>
      <c r="Z16" s="8">
        <f>IF(OR(Asistencia!P15="A",Asistencia!P15="J"),Y16+1,0)</f>
        <v/>
      </c>
      <c r="AA16" s="8">
        <f>IF(OR(Asistencia!Q15="A",Asistencia!Q15="J"),Z16+1,0)</f>
        <v/>
      </c>
      <c r="AB16" s="8">
        <f>IF(OR(Asistencia!R15="A",Asistencia!R15="J"),AA16+1,0)</f>
        <v/>
      </c>
      <c r="AC16" s="8">
        <f>IF(OR(Asistencia!S15="A",Asistencia!S15="J"),AB16+1,0)</f>
        <v/>
      </c>
      <c r="AD16" s="8">
        <f>IF(OR(Asistencia!T15="A",Asistencia!T15="J"),AC16+1,0)</f>
        <v/>
      </c>
      <c r="AE16" s="8">
        <f>IF(OR(Asistencia!U15="A",Asistencia!U15="J"),AD16+1,0)</f>
        <v/>
      </c>
    </row>
    <row r="17">
      <c r="A17">
        <f>Asistencia!A16</f>
        <v/>
      </c>
      <c r="B17">
        <f>COUNTA(Asistencia!$B16:$U16)</f>
        <v/>
      </c>
      <c r="C17">
        <f>COUNTIF(Asistencia!$B16:$U16,"A")</f>
        <v/>
      </c>
      <c r="D17">
        <f>COUNTIF(Asistencia!$B16:$U16,"J")</f>
        <v/>
      </c>
      <c r="E17">
        <f>C17+D17</f>
        <v/>
      </c>
      <c r="F17" s="9">
        <f>IF(B17=0,"",(B17-E17)/B17)</f>
        <v/>
      </c>
      <c r="G17">
        <f>COUNTIF(Asistencia!$B16:$U16,"T")</f>
        <v/>
      </c>
      <c r="H17">
        <f>MAX(L17:AE17)</f>
        <v/>
      </c>
      <c r="I17">
        <f>IF(B17=0,"",IF(E17/B17&gt;=$E$2,"Sí","No"))</f>
        <v/>
      </c>
      <c r="J17">
        <f>SUMPRODUCT((Asistencia!$B$3:$U$3="L")*((Asistencia!$B16:$U16="A")+(Asistencia!$B16:$U16="J"))) + SUMPRODUCT((Asistencia!$B$3:$U$3="V")*((Asistencia!$B16:$U16="A")+(Asistencia!$B16:$U16="J")))</f>
        <v/>
      </c>
      <c r="L17" s="8">
        <f>IF(OR(Asistencia!B16="A",Asistencia!B16="J"),1,0)</f>
        <v/>
      </c>
      <c r="M17" s="8">
        <f>IF(OR(Asistencia!C16="A",Asistencia!C16="J"),L17+1,0)</f>
        <v/>
      </c>
      <c r="N17" s="8">
        <f>IF(OR(Asistencia!D16="A",Asistencia!D16="J"),M17+1,0)</f>
        <v/>
      </c>
      <c r="O17" s="8">
        <f>IF(OR(Asistencia!E16="A",Asistencia!E16="J"),N17+1,0)</f>
        <v/>
      </c>
      <c r="P17" s="8">
        <f>IF(OR(Asistencia!F16="A",Asistencia!F16="J"),O17+1,0)</f>
        <v/>
      </c>
      <c r="Q17" s="8">
        <f>IF(OR(Asistencia!G16="A",Asistencia!G16="J"),P17+1,0)</f>
        <v/>
      </c>
      <c r="R17" s="8">
        <f>IF(OR(Asistencia!H16="A",Asistencia!H16="J"),Q17+1,0)</f>
        <v/>
      </c>
      <c r="S17" s="8">
        <f>IF(OR(Asistencia!I16="A",Asistencia!I16="J"),R17+1,0)</f>
        <v/>
      </c>
      <c r="T17" s="8">
        <f>IF(OR(Asistencia!J16="A",Asistencia!J16="J"),S17+1,0)</f>
        <v/>
      </c>
      <c r="U17" s="8">
        <f>IF(OR(Asistencia!K16="A",Asistencia!K16="J"),T17+1,0)</f>
        <v/>
      </c>
      <c r="V17" s="8">
        <f>IF(OR(Asistencia!L16="A",Asistencia!L16="J"),U17+1,0)</f>
        <v/>
      </c>
      <c r="W17" s="8">
        <f>IF(OR(Asistencia!M16="A",Asistencia!M16="J"),V17+1,0)</f>
        <v/>
      </c>
      <c r="X17" s="8">
        <f>IF(OR(Asistencia!N16="A",Asistencia!N16="J"),W17+1,0)</f>
        <v/>
      </c>
      <c r="Y17" s="8">
        <f>IF(OR(Asistencia!O16="A",Asistencia!O16="J"),X17+1,0)</f>
        <v/>
      </c>
      <c r="Z17" s="8">
        <f>IF(OR(Asistencia!P16="A",Asistencia!P16="J"),Y17+1,0)</f>
        <v/>
      </c>
      <c r="AA17" s="8">
        <f>IF(OR(Asistencia!Q16="A",Asistencia!Q16="J"),Z17+1,0)</f>
        <v/>
      </c>
      <c r="AB17" s="8">
        <f>IF(OR(Asistencia!R16="A",Asistencia!R16="J"),AA17+1,0)</f>
        <v/>
      </c>
      <c r="AC17" s="8">
        <f>IF(OR(Asistencia!S16="A",Asistencia!S16="J"),AB17+1,0)</f>
        <v/>
      </c>
      <c r="AD17" s="8">
        <f>IF(OR(Asistencia!T16="A",Asistencia!T16="J"),AC17+1,0)</f>
        <v/>
      </c>
      <c r="AE17" s="8">
        <f>IF(OR(Asistencia!U16="A",Asistencia!U16="J"),AD17+1,0)</f>
        <v/>
      </c>
    </row>
    <row r="18">
      <c r="A18">
        <f>Asistencia!A17</f>
        <v/>
      </c>
      <c r="B18">
        <f>COUNTA(Asistencia!$B17:$U17)</f>
        <v/>
      </c>
      <c r="C18">
        <f>COUNTIF(Asistencia!$B17:$U17,"A")</f>
        <v/>
      </c>
      <c r="D18">
        <f>COUNTIF(Asistencia!$B17:$U17,"J")</f>
        <v/>
      </c>
      <c r="E18">
        <f>C18+D18</f>
        <v/>
      </c>
      <c r="F18" s="9">
        <f>IF(B18=0,"",(B18-E18)/B18)</f>
        <v/>
      </c>
      <c r="G18">
        <f>COUNTIF(Asistencia!$B17:$U17,"T")</f>
        <v/>
      </c>
      <c r="H18">
        <f>MAX(L18:AE18)</f>
        <v/>
      </c>
      <c r="I18">
        <f>IF(B18=0,"",IF(E18/B18&gt;=$E$2,"Sí","No"))</f>
        <v/>
      </c>
      <c r="J18">
        <f>SUMPRODUCT((Asistencia!$B$3:$U$3="L")*((Asistencia!$B17:$U17="A")+(Asistencia!$B17:$U17="J"))) + SUMPRODUCT((Asistencia!$B$3:$U$3="V")*((Asistencia!$B17:$U17="A")+(Asistencia!$B17:$U17="J")))</f>
        <v/>
      </c>
      <c r="L18" s="8">
        <f>IF(OR(Asistencia!B17="A",Asistencia!B17="J"),1,0)</f>
        <v/>
      </c>
      <c r="M18" s="8">
        <f>IF(OR(Asistencia!C17="A",Asistencia!C17="J"),L18+1,0)</f>
        <v/>
      </c>
      <c r="N18" s="8">
        <f>IF(OR(Asistencia!D17="A",Asistencia!D17="J"),M18+1,0)</f>
        <v/>
      </c>
      <c r="O18" s="8">
        <f>IF(OR(Asistencia!E17="A",Asistencia!E17="J"),N18+1,0)</f>
        <v/>
      </c>
      <c r="P18" s="8">
        <f>IF(OR(Asistencia!F17="A",Asistencia!F17="J"),O18+1,0)</f>
        <v/>
      </c>
      <c r="Q18" s="8">
        <f>IF(OR(Asistencia!G17="A",Asistencia!G17="J"),P18+1,0)</f>
        <v/>
      </c>
      <c r="R18" s="8">
        <f>IF(OR(Asistencia!H17="A",Asistencia!H17="J"),Q18+1,0)</f>
        <v/>
      </c>
      <c r="S18" s="8">
        <f>IF(OR(Asistencia!I17="A",Asistencia!I17="J"),R18+1,0)</f>
        <v/>
      </c>
      <c r="T18" s="8">
        <f>IF(OR(Asistencia!J17="A",Asistencia!J17="J"),S18+1,0)</f>
        <v/>
      </c>
      <c r="U18" s="8">
        <f>IF(OR(Asistencia!K17="A",Asistencia!K17="J"),T18+1,0)</f>
        <v/>
      </c>
      <c r="V18" s="8">
        <f>IF(OR(Asistencia!L17="A",Asistencia!L17="J"),U18+1,0)</f>
        <v/>
      </c>
      <c r="W18" s="8">
        <f>IF(OR(Asistencia!M17="A",Asistencia!M17="J"),V18+1,0)</f>
        <v/>
      </c>
      <c r="X18" s="8">
        <f>IF(OR(Asistencia!N17="A",Asistencia!N17="J"),W18+1,0)</f>
        <v/>
      </c>
      <c r="Y18" s="8">
        <f>IF(OR(Asistencia!O17="A",Asistencia!O17="J"),X18+1,0)</f>
        <v/>
      </c>
      <c r="Z18" s="8">
        <f>IF(OR(Asistencia!P17="A",Asistencia!P17="J"),Y18+1,0)</f>
        <v/>
      </c>
      <c r="AA18" s="8">
        <f>IF(OR(Asistencia!Q17="A",Asistencia!Q17="J"),Z18+1,0)</f>
        <v/>
      </c>
      <c r="AB18" s="8">
        <f>IF(OR(Asistencia!R17="A",Asistencia!R17="J"),AA18+1,0)</f>
        <v/>
      </c>
      <c r="AC18" s="8">
        <f>IF(OR(Asistencia!S17="A",Asistencia!S17="J"),AB18+1,0)</f>
        <v/>
      </c>
      <c r="AD18" s="8">
        <f>IF(OR(Asistencia!T17="A",Asistencia!T17="J"),AC18+1,0)</f>
        <v/>
      </c>
      <c r="AE18" s="8">
        <f>IF(OR(Asistencia!U17="A",Asistencia!U17="J"),AD18+1,0)</f>
        <v/>
      </c>
    </row>
    <row r="19">
      <c r="A19">
        <f>Asistencia!A18</f>
        <v/>
      </c>
      <c r="B19">
        <f>COUNTA(Asistencia!$B18:$U18)</f>
        <v/>
      </c>
      <c r="C19">
        <f>COUNTIF(Asistencia!$B18:$U18,"A")</f>
        <v/>
      </c>
      <c r="D19">
        <f>COUNTIF(Asistencia!$B18:$U18,"J")</f>
        <v/>
      </c>
      <c r="E19">
        <f>C19+D19</f>
        <v/>
      </c>
      <c r="F19" s="9">
        <f>IF(B19=0,"",(B19-E19)/B19)</f>
        <v/>
      </c>
      <c r="G19">
        <f>COUNTIF(Asistencia!$B18:$U18,"T")</f>
        <v/>
      </c>
      <c r="H19">
        <f>MAX(L19:AE19)</f>
        <v/>
      </c>
      <c r="I19">
        <f>IF(B19=0,"",IF(E19/B19&gt;=$E$2,"Sí","No"))</f>
        <v/>
      </c>
      <c r="J19">
        <f>SUMPRODUCT((Asistencia!$B$3:$U$3="L")*((Asistencia!$B18:$U18="A")+(Asistencia!$B18:$U18="J"))) + SUMPRODUCT((Asistencia!$B$3:$U$3="V")*((Asistencia!$B18:$U18="A")+(Asistencia!$B18:$U18="J")))</f>
        <v/>
      </c>
      <c r="L19" s="8">
        <f>IF(OR(Asistencia!B18="A",Asistencia!B18="J"),1,0)</f>
        <v/>
      </c>
      <c r="M19" s="8">
        <f>IF(OR(Asistencia!C18="A",Asistencia!C18="J"),L19+1,0)</f>
        <v/>
      </c>
      <c r="N19" s="8">
        <f>IF(OR(Asistencia!D18="A",Asistencia!D18="J"),M19+1,0)</f>
        <v/>
      </c>
      <c r="O19" s="8">
        <f>IF(OR(Asistencia!E18="A",Asistencia!E18="J"),N19+1,0)</f>
        <v/>
      </c>
      <c r="P19" s="8">
        <f>IF(OR(Asistencia!F18="A",Asistencia!F18="J"),O19+1,0)</f>
        <v/>
      </c>
      <c r="Q19" s="8">
        <f>IF(OR(Asistencia!G18="A",Asistencia!G18="J"),P19+1,0)</f>
        <v/>
      </c>
      <c r="R19" s="8">
        <f>IF(OR(Asistencia!H18="A",Asistencia!H18="J"),Q19+1,0)</f>
        <v/>
      </c>
      <c r="S19" s="8">
        <f>IF(OR(Asistencia!I18="A",Asistencia!I18="J"),R19+1,0)</f>
        <v/>
      </c>
      <c r="T19" s="8">
        <f>IF(OR(Asistencia!J18="A",Asistencia!J18="J"),S19+1,0)</f>
        <v/>
      </c>
      <c r="U19" s="8">
        <f>IF(OR(Asistencia!K18="A",Asistencia!K18="J"),T19+1,0)</f>
        <v/>
      </c>
      <c r="V19" s="8">
        <f>IF(OR(Asistencia!L18="A",Asistencia!L18="J"),U19+1,0)</f>
        <v/>
      </c>
      <c r="W19" s="8">
        <f>IF(OR(Asistencia!M18="A",Asistencia!M18="J"),V19+1,0)</f>
        <v/>
      </c>
      <c r="X19" s="8">
        <f>IF(OR(Asistencia!N18="A",Asistencia!N18="J"),W19+1,0)</f>
        <v/>
      </c>
      <c r="Y19" s="8">
        <f>IF(OR(Asistencia!O18="A",Asistencia!O18="J"),X19+1,0)</f>
        <v/>
      </c>
      <c r="Z19" s="8">
        <f>IF(OR(Asistencia!P18="A",Asistencia!P18="J"),Y19+1,0)</f>
        <v/>
      </c>
      <c r="AA19" s="8">
        <f>IF(OR(Asistencia!Q18="A",Asistencia!Q18="J"),Z19+1,0)</f>
        <v/>
      </c>
      <c r="AB19" s="8">
        <f>IF(OR(Asistencia!R18="A",Asistencia!R18="J"),AA19+1,0)</f>
        <v/>
      </c>
      <c r="AC19" s="8">
        <f>IF(OR(Asistencia!S18="A",Asistencia!S18="J"),AB19+1,0)</f>
        <v/>
      </c>
      <c r="AD19" s="8">
        <f>IF(OR(Asistencia!T18="A",Asistencia!T18="J"),AC19+1,0)</f>
        <v/>
      </c>
      <c r="AE19" s="8">
        <f>IF(OR(Asistencia!U18="A",Asistencia!U18="J"),AD19+1,0)</f>
        <v/>
      </c>
    </row>
    <row r="20">
      <c r="A20">
        <f>Asistencia!A19</f>
        <v/>
      </c>
      <c r="B20">
        <f>COUNTA(Asistencia!$B19:$U19)</f>
        <v/>
      </c>
      <c r="C20">
        <f>COUNTIF(Asistencia!$B19:$U19,"A")</f>
        <v/>
      </c>
      <c r="D20">
        <f>COUNTIF(Asistencia!$B19:$U19,"J")</f>
        <v/>
      </c>
      <c r="E20">
        <f>C20+D20</f>
        <v/>
      </c>
      <c r="F20" s="9">
        <f>IF(B20=0,"",(B20-E20)/B20)</f>
        <v/>
      </c>
      <c r="G20">
        <f>COUNTIF(Asistencia!$B19:$U19,"T")</f>
        <v/>
      </c>
      <c r="H20">
        <f>MAX(L20:AE20)</f>
        <v/>
      </c>
      <c r="I20">
        <f>IF(B20=0,"",IF(E20/B20&gt;=$E$2,"Sí","No"))</f>
        <v/>
      </c>
      <c r="J20">
        <f>SUMPRODUCT((Asistencia!$B$3:$U$3="L")*((Asistencia!$B19:$U19="A")+(Asistencia!$B19:$U19="J"))) + SUMPRODUCT((Asistencia!$B$3:$U$3="V")*((Asistencia!$B19:$U19="A")+(Asistencia!$B19:$U19="J")))</f>
        <v/>
      </c>
      <c r="L20" s="8">
        <f>IF(OR(Asistencia!B19="A",Asistencia!B19="J"),1,0)</f>
        <v/>
      </c>
      <c r="M20" s="8">
        <f>IF(OR(Asistencia!C19="A",Asistencia!C19="J"),L20+1,0)</f>
        <v/>
      </c>
      <c r="N20" s="8">
        <f>IF(OR(Asistencia!D19="A",Asistencia!D19="J"),M20+1,0)</f>
        <v/>
      </c>
      <c r="O20" s="8">
        <f>IF(OR(Asistencia!E19="A",Asistencia!E19="J"),N20+1,0)</f>
        <v/>
      </c>
      <c r="P20" s="8">
        <f>IF(OR(Asistencia!F19="A",Asistencia!F19="J"),O20+1,0)</f>
        <v/>
      </c>
      <c r="Q20" s="8">
        <f>IF(OR(Asistencia!G19="A",Asistencia!G19="J"),P20+1,0)</f>
        <v/>
      </c>
      <c r="R20" s="8">
        <f>IF(OR(Asistencia!H19="A",Asistencia!H19="J"),Q20+1,0)</f>
        <v/>
      </c>
      <c r="S20" s="8">
        <f>IF(OR(Asistencia!I19="A",Asistencia!I19="J"),R20+1,0)</f>
        <v/>
      </c>
      <c r="T20" s="8">
        <f>IF(OR(Asistencia!J19="A",Asistencia!J19="J"),S20+1,0)</f>
        <v/>
      </c>
      <c r="U20" s="8">
        <f>IF(OR(Asistencia!K19="A",Asistencia!K19="J"),T20+1,0)</f>
        <v/>
      </c>
      <c r="V20" s="8">
        <f>IF(OR(Asistencia!L19="A",Asistencia!L19="J"),U20+1,0)</f>
        <v/>
      </c>
      <c r="W20" s="8">
        <f>IF(OR(Asistencia!M19="A",Asistencia!M19="J"),V20+1,0)</f>
        <v/>
      </c>
      <c r="X20" s="8">
        <f>IF(OR(Asistencia!N19="A",Asistencia!N19="J"),W20+1,0)</f>
        <v/>
      </c>
      <c r="Y20" s="8">
        <f>IF(OR(Asistencia!O19="A",Asistencia!O19="J"),X20+1,0)</f>
        <v/>
      </c>
      <c r="Z20" s="8">
        <f>IF(OR(Asistencia!P19="A",Asistencia!P19="J"),Y20+1,0)</f>
        <v/>
      </c>
      <c r="AA20" s="8">
        <f>IF(OR(Asistencia!Q19="A",Asistencia!Q19="J"),Z20+1,0)</f>
        <v/>
      </c>
      <c r="AB20" s="8">
        <f>IF(OR(Asistencia!R19="A",Asistencia!R19="J"),AA20+1,0)</f>
        <v/>
      </c>
      <c r="AC20" s="8">
        <f>IF(OR(Asistencia!S19="A",Asistencia!S19="J"),AB20+1,0)</f>
        <v/>
      </c>
      <c r="AD20" s="8">
        <f>IF(OR(Asistencia!T19="A",Asistencia!T19="J"),AC20+1,0)</f>
        <v/>
      </c>
      <c r="AE20" s="8">
        <f>IF(OR(Asistencia!U19="A",Asistencia!U19="J"),AD20+1,0)</f>
        <v/>
      </c>
    </row>
    <row r="21">
      <c r="A21">
        <f>Asistencia!A20</f>
        <v/>
      </c>
      <c r="B21">
        <f>COUNTA(Asistencia!$B20:$U20)</f>
        <v/>
      </c>
      <c r="C21">
        <f>COUNTIF(Asistencia!$B20:$U20,"A")</f>
        <v/>
      </c>
      <c r="D21">
        <f>COUNTIF(Asistencia!$B20:$U20,"J")</f>
        <v/>
      </c>
      <c r="E21">
        <f>C21+D21</f>
        <v/>
      </c>
      <c r="F21" s="9">
        <f>IF(B21=0,"",(B21-E21)/B21)</f>
        <v/>
      </c>
      <c r="G21">
        <f>COUNTIF(Asistencia!$B20:$U20,"T")</f>
        <v/>
      </c>
      <c r="H21">
        <f>MAX(L21:AE21)</f>
        <v/>
      </c>
      <c r="I21">
        <f>IF(B21=0,"",IF(E21/B21&gt;=$E$2,"Sí","No"))</f>
        <v/>
      </c>
      <c r="J21">
        <f>SUMPRODUCT((Asistencia!$B$3:$U$3="L")*((Asistencia!$B20:$U20="A")+(Asistencia!$B20:$U20="J"))) + SUMPRODUCT((Asistencia!$B$3:$U$3="V")*((Asistencia!$B20:$U20="A")+(Asistencia!$B20:$U20="J")))</f>
        <v/>
      </c>
      <c r="L21" s="8">
        <f>IF(OR(Asistencia!B20="A",Asistencia!B20="J"),1,0)</f>
        <v/>
      </c>
      <c r="M21" s="8">
        <f>IF(OR(Asistencia!C20="A",Asistencia!C20="J"),L21+1,0)</f>
        <v/>
      </c>
      <c r="N21" s="8">
        <f>IF(OR(Asistencia!D20="A",Asistencia!D20="J"),M21+1,0)</f>
        <v/>
      </c>
      <c r="O21" s="8">
        <f>IF(OR(Asistencia!E20="A",Asistencia!E20="J"),N21+1,0)</f>
        <v/>
      </c>
      <c r="P21" s="8">
        <f>IF(OR(Asistencia!F20="A",Asistencia!F20="J"),O21+1,0)</f>
        <v/>
      </c>
      <c r="Q21" s="8">
        <f>IF(OR(Asistencia!G20="A",Asistencia!G20="J"),P21+1,0)</f>
        <v/>
      </c>
      <c r="R21" s="8">
        <f>IF(OR(Asistencia!H20="A",Asistencia!H20="J"),Q21+1,0)</f>
        <v/>
      </c>
      <c r="S21" s="8">
        <f>IF(OR(Asistencia!I20="A",Asistencia!I20="J"),R21+1,0)</f>
        <v/>
      </c>
      <c r="T21" s="8">
        <f>IF(OR(Asistencia!J20="A",Asistencia!J20="J"),S21+1,0)</f>
        <v/>
      </c>
      <c r="U21" s="8">
        <f>IF(OR(Asistencia!K20="A",Asistencia!K20="J"),T21+1,0)</f>
        <v/>
      </c>
      <c r="V21" s="8">
        <f>IF(OR(Asistencia!L20="A",Asistencia!L20="J"),U21+1,0)</f>
        <v/>
      </c>
      <c r="W21" s="8">
        <f>IF(OR(Asistencia!M20="A",Asistencia!M20="J"),V21+1,0)</f>
        <v/>
      </c>
      <c r="X21" s="8">
        <f>IF(OR(Asistencia!N20="A",Asistencia!N20="J"),W21+1,0)</f>
        <v/>
      </c>
      <c r="Y21" s="8">
        <f>IF(OR(Asistencia!O20="A",Asistencia!O20="J"),X21+1,0)</f>
        <v/>
      </c>
      <c r="Z21" s="8">
        <f>IF(OR(Asistencia!P20="A",Asistencia!P20="J"),Y21+1,0)</f>
        <v/>
      </c>
      <c r="AA21" s="8">
        <f>IF(OR(Asistencia!Q20="A",Asistencia!Q20="J"),Z21+1,0)</f>
        <v/>
      </c>
      <c r="AB21" s="8">
        <f>IF(OR(Asistencia!R20="A",Asistencia!R20="J"),AA21+1,0)</f>
        <v/>
      </c>
      <c r="AC21" s="8">
        <f>IF(OR(Asistencia!S20="A",Asistencia!S20="J"),AB21+1,0)</f>
        <v/>
      </c>
      <c r="AD21" s="8">
        <f>IF(OR(Asistencia!T20="A",Asistencia!T20="J"),AC21+1,0)</f>
        <v/>
      </c>
      <c r="AE21" s="8">
        <f>IF(OR(Asistencia!U20="A",Asistencia!U20="J"),AD21+1,0)</f>
        <v/>
      </c>
    </row>
    <row r="22">
      <c r="A22">
        <f>Asistencia!A21</f>
        <v/>
      </c>
      <c r="B22">
        <f>COUNTA(Asistencia!$B21:$U21)</f>
        <v/>
      </c>
      <c r="C22">
        <f>COUNTIF(Asistencia!$B21:$U21,"A")</f>
        <v/>
      </c>
      <c r="D22">
        <f>COUNTIF(Asistencia!$B21:$U21,"J")</f>
        <v/>
      </c>
      <c r="E22">
        <f>C22+D22</f>
        <v/>
      </c>
      <c r="F22" s="9">
        <f>IF(B22=0,"",(B22-E22)/B22)</f>
        <v/>
      </c>
      <c r="G22">
        <f>COUNTIF(Asistencia!$B21:$U21,"T")</f>
        <v/>
      </c>
      <c r="H22">
        <f>MAX(L22:AE22)</f>
        <v/>
      </c>
      <c r="I22">
        <f>IF(B22=0,"",IF(E22/B22&gt;=$E$2,"Sí","No"))</f>
        <v/>
      </c>
      <c r="J22">
        <f>SUMPRODUCT((Asistencia!$B$3:$U$3="L")*((Asistencia!$B21:$U21="A")+(Asistencia!$B21:$U21="J"))) + SUMPRODUCT((Asistencia!$B$3:$U$3="V")*((Asistencia!$B21:$U21="A")+(Asistencia!$B21:$U21="J")))</f>
        <v/>
      </c>
      <c r="L22" s="8">
        <f>IF(OR(Asistencia!B21="A",Asistencia!B21="J"),1,0)</f>
        <v/>
      </c>
      <c r="M22" s="8">
        <f>IF(OR(Asistencia!C21="A",Asistencia!C21="J"),L22+1,0)</f>
        <v/>
      </c>
      <c r="N22" s="8">
        <f>IF(OR(Asistencia!D21="A",Asistencia!D21="J"),M22+1,0)</f>
        <v/>
      </c>
      <c r="O22" s="8">
        <f>IF(OR(Asistencia!E21="A",Asistencia!E21="J"),N22+1,0)</f>
        <v/>
      </c>
      <c r="P22" s="8">
        <f>IF(OR(Asistencia!F21="A",Asistencia!F21="J"),O22+1,0)</f>
        <v/>
      </c>
      <c r="Q22" s="8">
        <f>IF(OR(Asistencia!G21="A",Asistencia!G21="J"),P22+1,0)</f>
        <v/>
      </c>
      <c r="R22" s="8">
        <f>IF(OR(Asistencia!H21="A",Asistencia!H21="J"),Q22+1,0)</f>
        <v/>
      </c>
      <c r="S22" s="8">
        <f>IF(OR(Asistencia!I21="A",Asistencia!I21="J"),R22+1,0)</f>
        <v/>
      </c>
      <c r="T22" s="8">
        <f>IF(OR(Asistencia!J21="A",Asistencia!J21="J"),S22+1,0)</f>
        <v/>
      </c>
      <c r="U22" s="8">
        <f>IF(OR(Asistencia!K21="A",Asistencia!K21="J"),T22+1,0)</f>
        <v/>
      </c>
      <c r="V22" s="8">
        <f>IF(OR(Asistencia!L21="A",Asistencia!L21="J"),U22+1,0)</f>
        <v/>
      </c>
      <c r="W22" s="8">
        <f>IF(OR(Asistencia!M21="A",Asistencia!M21="J"),V22+1,0)</f>
        <v/>
      </c>
      <c r="X22" s="8">
        <f>IF(OR(Asistencia!N21="A",Asistencia!N21="J"),W22+1,0)</f>
        <v/>
      </c>
      <c r="Y22" s="8">
        <f>IF(OR(Asistencia!O21="A",Asistencia!O21="J"),X22+1,0)</f>
        <v/>
      </c>
      <c r="Z22" s="8">
        <f>IF(OR(Asistencia!P21="A",Asistencia!P21="J"),Y22+1,0)</f>
        <v/>
      </c>
      <c r="AA22" s="8">
        <f>IF(OR(Asistencia!Q21="A",Asistencia!Q21="J"),Z22+1,0)</f>
        <v/>
      </c>
      <c r="AB22" s="8">
        <f>IF(OR(Asistencia!R21="A",Asistencia!R21="J"),AA22+1,0)</f>
        <v/>
      </c>
      <c r="AC22" s="8">
        <f>IF(OR(Asistencia!S21="A",Asistencia!S21="J"),AB22+1,0)</f>
        <v/>
      </c>
      <c r="AD22" s="8">
        <f>IF(OR(Asistencia!T21="A",Asistencia!T21="J"),AC22+1,0)</f>
        <v/>
      </c>
      <c r="AE22" s="8">
        <f>IF(OR(Asistencia!U21="A",Asistencia!U21="J"),AD22+1,0)</f>
        <v/>
      </c>
    </row>
    <row r="23">
      <c r="A23">
        <f>Asistencia!A22</f>
        <v/>
      </c>
      <c r="B23">
        <f>COUNTA(Asistencia!$B22:$U22)</f>
        <v/>
      </c>
      <c r="C23">
        <f>COUNTIF(Asistencia!$B22:$U22,"A")</f>
        <v/>
      </c>
      <c r="D23">
        <f>COUNTIF(Asistencia!$B22:$U22,"J")</f>
        <v/>
      </c>
      <c r="E23">
        <f>C23+D23</f>
        <v/>
      </c>
      <c r="F23" s="9">
        <f>IF(B23=0,"",(B23-E23)/B23)</f>
        <v/>
      </c>
      <c r="G23">
        <f>COUNTIF(Asistencia!$B22:$U22,"T")</f>
        <v/>
      </c>
      <c r="H23">
        <f>MAX(L23:AE23)</f>
        <v/>
      </c>
      <c r="I23">
        <f>IF(B23=0,"",IF(E23/B23&gt;=$E$2,"Sí","No"))</f>
        <v/>
      </c>
      <c r="J23">
        <f>SUMPRODUCT((Asistencia!$B$3:$U$3="L")*((Asistencia!$B22:$U22="A")+(Asistencia!$B22:$U22="J"))) + SUMPRODUCT((Asistencia!$B$3:$U$3="V")*((Asistencia!$B22:$U22="A")+(Asistencia!$B22:$U22="J")))</f>
        <v/>
      </c>
      <c r="L23" s="8">
        <f>IF(OR(Asistencia!B22="A",Asistencia!B22="J"),1,0)</f>
        <v/>
      </c>
      <c r="M23" s="8">
        <f>IF(OR(Asistencia!C22="A",Asistencia!C22="J"),L23+1,0)</f>
        <v/>
      </c>
      <c r="N23" s="8">
        <f>IF(OR(Asistencia!D22="A",Asistencia!D22="J"),M23+1,0)</f>
        <v/>
      </c>
      <c r="O23" s="8">
        <f>IF(OR(Asistencia!E22="A",Asistencia!E22="J"),N23+1,0)</f>
        <v/>
      </c>
      <c r="P23" s="8">
        <f>IF(OR(Asistencia!F22="A",Asistencia!F22="J"),O23+1,0)</f>
        <v/>
      </c>
      <c r="Q23" s="8">
        <f>IF(OR(Asistencia!G22="A",Asistencia!G22="J"),P23+1,0)</f>
        <v/>
      </c>
      <c r="R23" s="8">
        <f>IF(OR(Asistencia!H22="A",Asistencia!H22="J"),Q23+1,0)</f>
        <v/>
      </c>
      <c r="S23" s="8">
        <f>IF(OR(Asistencia!I22="A",Asistencia!I22="J"),R23+1,0)</f>
        <v/>
      </c>
      <c r="T23" s="8">
        <f>IF(OR(Asistencia!J22="A",Asistencia!J22="J"),S23+1,0)</f>
        <v/>
      </c>
      <c r="U23" s="8">
        <f>IF(OR(Asistencia!K22="A",Asistencia!K22="J"),T23+1,0)</f>
        <v/>
      </c>
      <c r="V23" s="8">
        <f>IF(OR(Asistencia!L22="A",Asistencia!L22="J"),U23+1,0)</f>
        <v/>
      </c>
      <c r="W23" s="8">
        <f>IF(OR(Asistencia!M22="A",Asistencia!M22="J"),V23+1,0)</f>
        <v/>
      </c>
      <c r="X23" s="8">
        <f>IF(OR(Asistencia!N22="A",Asistencia!N22="J"),W23+1,0)</f>
        <v/>
      </c>
      <c r="Y23" s="8">
        <f>IF(OR(Asistencia!O22="A",Asistencia!O22="J"),X23+1,0)</f>
        <v/>
      </c>
      <c r="Z23" s="8">
        <f>IF(OR(Asistencia!P22="A",Asistencia!P22="J"),Y23+1,0)</f>
        <v/>
      </c>
      <c r="AA23" s="8">
        <f>IF(OR(Asistencia!Q22="A",Asistencia!Q22="J"),Z23+1,0)</f>
        <v/>
      </c>
      <c r="AB23" s="8">
        <f>IF(OR(Asistencia!R22="A",Asistencia!R22="J"),AA23+1,0)</f>
        <v/>
      </c>
      <c r="AC23" s="8">
        <f>IF(OR(Asistencia!S22="A",Asistencia!S22="J"),AB23+1,0)</f>
        <v/>
      </c>
      <c r="AD23" s="8">
        <f>IF(OR(Asistencia!T22="A",Asistencia!T22="J"),AC23+1,0)</f>
        <v/>
      </c>
      <c r="AE23" s="8">
        <f>IF(OR(Asistencia!U22="A",Asistencia!U22="J"),AD23+1,0)</f>
        <v/>
      </c>
    </row>
    <row r="24">
      <c r="A24">
        <f>Asistencia!A23</f>
        <v/>
      </c>
      <c r="B24">
        <f>COUNTA(Asistencia!$B23:$U23)</f>
        <v/>
      </c>
      <c r="C24">
        <f>COUNTIF(Asistencia!$B23:$U23,"A")</f>
        <v/>
      </c>
      <c r="D24">
        <f>COUNTIF(Asistencia!$B23:$U23,"J")</f>
        <v/>
      </c>
      <c r="E24">
        <f>C24+D24</f>
        <v/>
      </c>
      <c r="F24" s="9">
        <f>IF(B24=0,"",(B24-E24)/B24)</f>
        <v/>
      </c>
      <c r="G24">
        <f>COUNTIF(Asistencia!$B23:$U23,"T")</f>
        <v/>
      </c>
      <c r="H24">
        <f>MAX(L24:AE24)</f>
        <v/>
      </c>
      <c r="I24">
        <f>IF(B24=0,"",IF(E24/B24&gt;=$E$2,"Sí","No"))</f>
        <v/>
      </c>
      <c r="J24">
        <f>SUMPRODUCT((Asistencia!$B$3:$U$3="L")*((Asistencia!$B23:$U23="A")+(Asistencia!$B23:$U23="J"))) + SUMPRODUCT((Asistencia!$B$3:$U$3="V")*((Asistencia!$B23:$U23="A")+(Asistencia!$B23:$U23="J")))</f>
        <v/>
      </c>
      <c r="L24" s="8">
        <f>IF(OR(Asistencia!B23="A",Asistencia!B23="J"),1,0)</f>
        <v/>
      </c>
      <c r="M24" s="8">
        <f>IF(OR(Asistencia!C23="A",Asistencia!C23="J"),L24+1,0)</f>
        <v/>
      </c>
      <c r="N24" s="8">
        <f>IF(OR(Asistencia!D23="A",Asistencia!D23="J"),M24+1,0)</f>
        <v/>
      </c>
      <c r="O24" s="8">
        <f>IF(OR(Asistencia!E23="A",Asistencia!E23="J"),N24+1,0)</f>
        <v/>
      </c>
      <c r="P24" s="8">
        <f>IF(OR(Asistencia!F23="A",Asistencia!F23="J"),O24+1,0)</f>
        <v/>
      </c>
      <c r="Q24" s="8">
        <f>IF(OR(Asistencia!G23="A",Asistencia!G23="J"),P24+1,0)</f>
        <v/>
      </c>
      <c r="R24" s="8">
        <f>IF(OR(Asistencia!H23="A",Asistencia!H23="J"),Q24+1,0)</f>
        <v/>
      </c>
      <c r="S24" s="8">
        <f>IF(OR(Asistencia!I23="A",Asistencia!I23="J"),R24+1,0)</f>
        <v/>
      </c>
      <c r="T24" s="8">
        <f>IF(OR(Asistencia!J23="A",Asistencia!J23="J"),S24+1,0)</f>
        <v/>
      </c>
      <c r="U24" s="8">
        <f>IF(OR(Asistencia!K23="A",Asistencia!K23="J"),T24+1,0)</f>
        <v/>
      </c>
      <c r="V24" s="8">
        <f>IF(OR(Asistencia!L23="A",Asistencia!L23="J"),U24+1,0)</f>
        <v/>
      </c>
      <c r="W24" s="8">
        <f>IF(OR(Asistencia!M23="A",Asistencia!M23="J"),V24+1,0)</f>
        <v/>
      </c>
      <c r="X24" s="8">
        <f>IF(OR(Asistencia!N23="A",Asistencia!N23="J"),W24+1,0)</f>
        <v/>
      </c>
      <c r="Y24" s="8">
        <f>IF(OR(Asistencia!O23="A",Asistencia!O23="J"),X24+1,0)</f>
        <v/>
      </c>
      <c r="Z24" s="8">
        <f>IF(OR(Asistencia!P23="A",Asistencia!P23="J"),Y24+1,0)</f>
        <v/>
      </c>
      <c r="AA24" s="8">
        <f>IF(OR(Asistencia!Q23="A",Asistencia!Q23="J"),Z24+1,0)</f>
        <v/>
      </c>
      <c r="AB24" s="8">
        <f>IF(OR(Asistencia!R23="A",Asistencia!R23="J"),AA24+1,0)</f>
        <v/>
      </c>
      <c r="AC24" s="8">
        <f>IF(OR(Asistencia!S23="A",Asistencia!S23="J"),AB24+1,0)</f>
        <v/>
      </c>
      <c r="AD24" s="8">
        <f>IF(OR(Asistencia!T23="A",Asistencia!T23="J"),AC24+1,0)</f>
        <v/>
      </c>
      <c r="AE24" s="8">
        <f>IF(OR(Asistencia!U23="A",Asistencia!U23="J"),AD24+1,0)</f>
        <v/>
      </c>
    </row>
  </sheetData>
  <conditionalFormatting sqref="I5:I24">
    <cfRule type="cellIs" priority="1" operator="equal" dxfId="0">
      <formula>"Sí"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</cols>
  <sheetData>
    <row r="1">
      <c r="A1" s="5" t="inlineStr">
        <is>
          <t>RESUMEN DEL GRUPO</t>
        </is>
      </c>
    </row>
    <row r="3">
      <c r="A3" t="inlineStr">
        <is>
          <t>Estudiantes</t>
        </is>
      </c>
      <c r="B3">
        <f>COUNTA(Analisis!A5:A24)</f>
        <v/>
      </c>
    </row>
    <row r="4">
      <c r="A4" t="inlineStr">
        <is>
          <t>Asistencia del grupo</t>
        </is>
      </c>
      <c r="B4" s="9">
        <f>1-SUM(Analisis!E5:E24)/SUM(Analisis!B5:B24)</f>
        <v/>
      </c>
    </row>
    <row r="5">
      <c r="A5" t="inlineStr">
        <is>
          <t>Estudiantes con ausentismo crónico (umbral de Analisis!E2)</t>
        </is>
      </c>
      <c r="B5">
        <f>COUNTIF(Analisis!I5:I24,"Sí")</f>
        <v/>
      </c>
    </row>
    <row r="6">
      <c r="A6" t="inlineStr">
        <is>
          <t>Porcentaje del grupo con ausentismo crónico</t>
        </is>
      </c>
      <c r="B6" s="9">
        <f>B5/B3</f>
        <v/>
      </c>
    </row>
    <row r="7">
      <c r="A7" t="inlineStr">
        <is>
          <t>Ausencias totales</t>
        </is>
      </c>
      <c r="B7">
        <f>SUM(Analisis!E5:E24)</f>
        <v/>
      </c>
    </row>
    <row r="8">
      <c r="A8" t="inlineStr">
        <is>
          <t>Ausencias sin justificar</t>
        </is>
      </c>
      <c r="B8">
        <f>SUM(Analisis!C5:C24)</f>
        <v/>
      </c>
    </row>
    <row r="9">
      <c r="A9" t="inlineStr">
        <is>
          <t>Ausencias justificadas</t>
        </is>
      </c>
      <c r="B9">
        <f>SUM(Analisis!D5:D24)</f>
        <v/>
      </c>
    </row>
    <row r="10">
      <c r="A10" t="inlineStr">
        <is>
          <t>Estudiantes con ausencia entre 5 y 9 % (en riesgo)</t>
        </is>
      </c>
      <c r="B10">
        <f>COUNTIFS(Analisis!E5:E24,"&gt;0",Analisis!I5:I24,"No",Analisis!F5:F24,"&lt;="&amp;0.95)</f>
        <v/>
      </c>
    </row>
    <row r="11">
      <c r="A11" t="inlineStr">
        <is>
          <t>Racha de ausencias más larga del grupo (días)</t>
        </is>
      </c>
      <c r="B11">
        <f>MAX(Analisis!H5:H24)</f>
        <v/>
      </c>
    </row>
    <row r="13">
      <c r="A13" s="2" t="inlineStr">
        <is>
          <t>Día de la semana</t>
        </is>
      </c>
      <c r="B13" s="2" t="inlineStr">
        <is>
          <t>Ausencias totales</t>
        </is>
      </c>
      <c r="C13" s="2" t="inlineStr">
        <is>
          <t>Porcentaje</t>
        </is>
      </c>
    </row>
    <row r="14">
      <c r="A14" t="inlineStr">
        <is>
          <t>Lunes</t>
        </is>
      </c>
      <c r="B14">
        <f>SUMPRODUCT((Asistencia!$B$3:$U$3="L")*((Asistencia!$B$4:$U$23="A")+(Asistencia!$B$4:$U$23="J")))</f>
        <v/>
      </c>
      <c r="C14" s="9">
        <f>IF($B$7=0,0,B14/$B$7)</f>
        <v/>
      </c>
    </row>
    <row r="15">
      <c r="A15" t="inlineStr">
        <is>
          <t>Martes</t>
        </is>
      </c>
      <c r="B15">
        <f>SUMPRODUCT((Asistencia!$B$3:$U$3="M")*((Asistencia!$B$4:$U$23="A")+(Asistencia!$B$4:$U$23="J")))</f>
        <v/>
      </c>
      <c r="C15" s="9">
        <f>IF($B$7=0,0,B15/$B$7)</f>
        <v/>
      </c>
    </row>
    <row r="16">
      <c r="A16" t="inlineStr">
        <is>
          <t>Miércoles</t>
        </is>
      </c>
      <c r="B16">
        <f>SUMPRODUCT((Asistencia!$B$3:$U$3="X")*((Asistencia!$B$4:$U$23="A")+(Asistencia!$B$4:$U$23="J")))</f>
        <v/>
      </c>
      <c r="C16" s="9">
        <f>IF($B$7=0,0,B16/$B$7)</f>
        <v/>
      </c>
    </row>
    <row r="17">
      <c r="A17" t="inlineStr">
        <is>
          <t>Jueves</t>
        </is>
      </c>
      <c r="B17">
        <f>SUMPRODUCT((Asistencia!$B$3:$U$3="J")*((Asistencia!$B$4:$U$23="A")+(Asistencia!$B$4:$U$23="J")))</f>
        <v/>
      </c>
      <c r="C17" s="9">
        <f>IF($B$7=0,0,B17/$B$7)</f>
        <v/>
      </c>
    </row>
    <row r="18">
      <c r="A18" t="inlineStr">
        <is>
          <t>Viernes</t>
        </is>
      </c>
      <c r="B18">
        <f>SUMPRODUCT((Asistencia!$B$3:$U$3="V")*((Asistencia!$B$4:$U$23="A")+(Asistencia!$B$4:$U$23="J")))</f>
        <v/>
      </c>
      <c r="C18" s="9">
        <f>IF($B$7=0,0,B18/$B$7)</f>
        <v/>
      </c>
    </row>
    <row r="20">
      <c r="A20" s="2" t="inlineStr">
        <is>
          <t>Semana</t>
        </is>
      </c>
      <c r="B20" s="2" t="inlineStr">
        <is>
          <t>Ausencias totales</t>
        </is>
      </c>
    </row>
    <row r="21">
      <c r="A21" t="inlineStr">
        <is>
          <t>Semana 1</t>
        </is>
      </c>
      <c r="B21">
        <f>COUNTIF(Asistencia!B4:F23,"A")+COUNTIF(Asistencia!B4:F23,"J")</f>
        <v/>
      </c>
    </row>
    <row r="22">
      <c r="A22" t="inlineStr">
        <is>
          <t>Semana 2</t>
        </is>
      </c>
      <c r="B22">
        <f>COUNTIF(Asistencia!G4:K23,"A")+COUNTIF(Asistencia!G4:K23,"J")</f>
        <v/>
      </c>
    </row>
    <row r="23">
      <c r="A23" t="inlineStr">
        <is>
          <t>Semana 3</t>
        </is>
      </c>
      <c r="B23">
        <f>COUNTIF(Asistencia!L4:P23,"A")+COUNTIF(Asistencia!L4:P23,"J")</f>
        <v/>
      </c>
    </row>
    <row r="24">
      <c r="A24" t="inlineStr">
        <is>
          <t>Semana 4</t>
        </is>
      </c>
      <c r="B24">
        <f>COUNTIF(Asistencia!Q4:U23,"A")+COUNTIF(Asistencia!Q4:U23,"J")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2026-10-10T13:52:01Z</dcterms:created>
  <dcterms:modified xmlns:dcterms="http://purl.org/dc/terms/" xmlns:xsi="http://www.w3.org/2001/XMLSchema-instance" xsi:type="dcterms:W3CDTF">2026-10-10T13:52:01Z</dcterms:modified>
</cp:coreProperties>
</file>