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dor" sheetId="1" state="visible" r:id="rId1"/>
    <sheet xmlns:r="http://schemas.openxmlformats.org/officeDocument/2006/relationships" name="Amortizacion_A" sheetId="2" state="visible" r:id="rId2"/>
    <sheet xmlns:r="http://schemas.openxmlformats.org/officeDocument/2006/relationships" name="Lista_de_pregu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3" borderId="0" pivotButton="0" quotePrefix="0" xfId="0"/>
    <xf numFmtId="1" fontId="0" fillId="3" borderId="0" pivotButton="0" quotePrefix="0" xfId="0"/>
    <xf numFmtId="1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COMPARADOR DE DOS OFERTAS DE CRÉDITO (ejemplo con datos ficticios; en pesos colombianos)</t>
        </is>
      </c>
    </row>
    <row r="2">
      <c r="A2" t="inlineStr">
        <is>
          <t>Completa las celdas amarillas con lo que dice cada oferta. Usa la tasa efectiva anual (E. A.), no la nominal.</t>
        </is>
      </c>
    </row>
    <row r="4">
      <c r="A4" s="2" t="inlineStr">
        <is>
          <t>Concepto</t>
        </is>
      </c>
      <c r="B4" s="2" t="inlineStr">
        <is>
          <t>Oferta A</t>
        </is>
      </c>
      <c r="C4" s="2" t="inlineStr">
        <is>
          <t>Oferta B</t>
        </is>
      </c>
      <c r="D4" s="2" t="inlineStr">
        <is>
          <t>Diferencia (B − A)</t>
        </is>
      </c>
    </row>
    <row r="5">
      <c r="A5" t="inlineStr">
        <is>
          <t>Monto del crédito</t>
        </is>
      </c>
      <c r="B5" s="3" t="n">
        <v>20000000</v>
      </c>
      <c r="C5" s="3" t="n">
        <v>20000000</v>
      </c>
    </row>
    <row r="6">
      <c r="A6" t="inlineStr">
        <is>
          <t>Plazo (meses)</t>
        </is>
      </c>
      <c r="B6" s="4" t="n">
        <v>36</v>
      </c>
      <c r="C6" s="4" t="n">
        <v>36</v>
      </c>
    </row>
    <row r="7">
      <c r="A7" t="inlineStr">
        <is>
          <t>Tasa efectiva anual (E. A.)</t>
        </is>
      </c>
      <c r="B7" s="5" t="n">
        <v>0.2</v>
      </c>
      <c r="C7" s="5" t="n">
        <v>0.225</v>
      </c>
    </row>
    <row r="8">
      <c r="A8" t="inlineStr">
        <is>
          <t>Seguro y otros cobros mensuales fijos</t>
        </is>
      </c>
      <c r="B8" s="3" t="n">
        <v>45000</v>
      </c>
      <c r="C8" s="3" t="n">
        <v>12000</v>
      </c>
    </row>
    <row r="9">
      <c r="A9" t="inlineStr">
        <is>
          <t>Comisión o costos al inicio (descontados del desembolso)</t>
        </is>
      </c>
      <c r="B9" s="3" t="n">
        <v>400000</v>
      </c>
      <c r="C9" s="3" t="n">
        <v>0</v>
      </c>
    </row>
    <row r="11">
      <c r="A11" s="6" t="inlineStr">
        <is>
          <t>RESULTADOS</t>
        </is>
      </c>
    </row>
    <row r="12">
      <c r="A12" t="inlineStr">
        <is>
          <t>Tasa mensual equivalente</t>
        </is>
      </c>
      <c r="B12" s="7">
        <f>(1+B7)^(1/12)-1</f>
        <v/>
      </c>
      <c r="C12" s="7">
        <f>(1+C7)^(1/12)-1</f>
        <v/>
      </c>
    </row>
    <row r="13">
      <c r="A13" t="inlineStr">
        <is>
          <t>Cuota del crédito (capital e intereses)</t>
        </is>
      </c>
      <c r="B13" s="8">
        <f>PMT(B12,B6,-B5)</f>
        <v/>
      </c>
      <c r="C13" s="8">
        <f>PMT(C12,C6,-C5)</f>
        <v/>
      </c>
    </row>
    <row r="14">
      <c r="A14" t="inlineStr">
        <is>
          <t>Cuota mensual total (con seguro y otros)</t>
        </is>
      </c>
      <c r="B14" s="8">
        <f>B13+B8</f>
        <v/>
      </c>
      <c r="C14" s="8">
        <f>C13+C8</f>
        <v/>
      </c>
      <c r="D14" s="8">
        <f>C14-B14</f>
        <v/>
      </c>
    </row>
    <row r="15">
      <c r="A15" t="inlineStr">
        <is>
          <t>Desembolso neto (lo que recibes)</t>
        </is>
      </c>
      <c r="B15" s="8">
        <f>B5-B9</f>
        <v/>
      </c>
      <c r="C15" s="8">
        <f>C5-C9</f>
        <v/>
      </c>
    </row>
    <row r="16">
      <c r="A16" t="inlineStr">
        <is>
          <t>Total que pagarás</t>
        </is>
      </c>
      <c r="B16" s="8">
        <f>B14*B6+B9</f>
        <v/>
      </c>
      <c r="C16" s="8">
        <f>C14*C6+C9</f>
        <v/>
      </c>
      <c r="D16" s="8">
        <f>C16-B16</f>
        <v/>
      </c>
    </row>
    <row r="17">
      <c r="A17" t="inlineStr">
        <is>
          <t>Costo total del crédito (total − monto)</t>
        </is>
      </c>
      <c r="B17" s="8">
        <f>B16-B5</f>
        <v/>
      </c>
      <c r="C17" s="8">
        <f>C16-C5</f>
        <v/>
      </c>
      <c r="D17" s="8">
        <f>C17-B17</f>
        <v/>
      </c>
    </row>
    <row r="18">
      <c r="A18" t="inlineStr">
        <is>
          <t>Tasa mensual real (incluye seguro y comisión)</t>
        </is>
      </c>
      <c r="B18" s="7">
        <f>RATE(B6,-B14,B15)</f>
        <v/>
      </c>
      <c r="C18" s="7">
        <f>RATE(C6,-C14,C15)</f>
        <v/>
      </c>
    </row>
    <row r="19">
      <c r="A19" t="inlineStr">
        <is>
          <t>Tasa efectiva anual REAL</t>
        </is>
      </c>
      <c r="B19" s="9">
        <f>(1+B18)^12-1</f>
        <v/>
      </c>
      <c r="C19" s="9">
        <f>(1+C18)^12-1</f>
        <v/>
      </c>
      <c r="D19" s="9">
        <f>C19-B19</f>
        <v/>
      </c>
    </row>
    <row r="21">
      <c r="A21" t="inlineStr">
        <is>
          <t>La oferta más barata por costo total es</t>
        </is>
      </c>
      <c r="B21" s="10">
        <f>IF(B16&lt;C16,"Oferta A",IF(C16&lt;B16,"Oferta B","Empate"))</f>
        <v/>
      </c>
    </row>
    <row r="22">
      <c r="A22" t="inlineStr">
        <is>
          <t>La de menor tasa anunciada (E. A.) es</t>
        </is>
      </c>
      <c r="B22">
        <f>IF(B7&lt;C7,"Oferta A",IF(C7&lt;B7,"Oferta B","Empate"))</f>
        <v/>
      </c>
    </row>
    <row r="23">
      <c r="A23" t="inlineStr">
        <is>
          <t>Ahorro de la más barata frente a la otra</t>
        </is>
      </c>
      <c r="B23" s="8">
        <f>ABS(B16-C16)</f>
        <v/>
      </c>
    </row>
    <row r="25">
      <c r="A25" s="6" t="inlineStr">
        <is>
          <t>TOPE DE USURA (referencia): escribe el interés bancario corriente (IBC) que certifica la Superfinanciera para tu modalidad</t>
        </is>
      </c>
    </row>
    <row r="26">
      <c r="A26" t="inlineStr">
        <is>
          <t>IBC vigente (E. A.) — ejemplo; reemplázalo con la certificación del mes</t>
        </is>
      </c>
      <c r="B26" s="5" t="n">
        <v>0.1624</v>
      </c>
    </row>
    <row r="27">
      <c r="A27" t="inlineStr">
        <is>
          <t>Tope máximo (1,5 × IBC)</t>
        </is>
      </c>
      <c r="B27" s="9">
        <f>1.5*B26</f>
        <v/>
      </c>
      <c r="C27" s="9">
        <f>B27</f>
        <v/>
      </c>
    </row>
    <row r="28">
      <c r="A28" t="inlineStr">
        <is>
          <t>Tasa E. A. anunciada de la oferta A / B frente al tope</t>
        </is>
      </c>
      <c r="B28">
        <f>IF(B7&gt;B27,"Supera el tope","Dentro del tope")</f>
        <v/>
      </c>
      <c r="C28">
        <f>IF(C7&gt;C27,"Supera el tope","Dentro del tope")</f>
        <v/>
      </c>
    </row>
    <row r="30">
      <c r="A30" s="11" t="inlineStr">
        <is>
          <t>Nota: el tope de usura aplica al interés pactado; los seguros y comisiones tienen su propia regulación. La tasa real de esta hoja mezcla todo para comparar, no para determinar si hay usura: ante una duda, consulta a la entidad o a la Superintendencia Financiera.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8" customWidth="1" min="5" max="5"/>
    <col width="16" customWidth="1" min="6" max="6"/>
    <col width="20" customWidth="1" min="8" max="8"/>
    <col width="16" customWidth="1" min="9" max="9"/>
  </cols>
  <sheetData>
    <row r="1">
      <c r="A1" s="1" t="inlineStr">
        <is>
          <t>TABLA DE AMORTIZACIÓN DE LA OFERTA A (hasta 60 cuotas; se llena según el plazo)</t>
        </is>
      </c>
    </row>
    <row r="3">
      <c r="A3" s="2" t="inlineStr">
        <is>
          <t>Cuota</t>
        </is>
      </c>
      <c r="B3" s="2" t="inlineStr">
        <is>
          <t>Saldo inicial</t>
        </is>
      </c>
      <c r="C3" s="2" t="inlineStr">
        <is>
          <t>Interés</t>
        </is>
      </c>
      <c r="D3" s="2" t="inlineStr">
        <is>
          <t>Abono a capital</t>
        </is>
      </c>
      <c r="E3" s="2" t="inlineStr">
        <is>
          <t>Cuota del crédito</t>
        </is>
      </c>
      <c r="F3" s="2" t="inlineStr">
        <is>
          <t>Saldo final</t>
        </is>
      </c>
      <c r="H3" t="inlineStr">
        <is>
          <t>Intereses totales</t>
        </is>
      </c>
      <c r="I3" s="8">
        <f>SUM(C4:C63)</f>
        <v/>
      </c>
    </row>
    <row r="4">
      <c r="A4">
        <f>IF(1&lt;=Comparador!$B$6,1,"")</f>
        <v/>
      </c>
      <c r="B4" s="8">
        <f>IF(A4="","",Comparador!$B$5)</f>
        <v/>
      </c>
      <c r="C4" s="8">
        <f>IF(A4="","",B4*Comparador!$B$12)</f>
        <v/>
      </c>
      <c r="D4" s="8">
        <f>IF(A4="","",E4-C4)</f>
        <v/>
      </c>
      <c r="E4" s="8">
        <f>IF(A4="","",Comparador!$B$13)</f>
        <v/>
      </c>
      <c r="F4" s="8">
        <f>IF(A4="","",B4-D4)</f>
        <v/>
      </c>
      <c r="H4" t="inlineStr">
        <is>
          <t>Capital pagado</t>
        </is>
      </c>
      <c r="I4" s="8">
        <f>SUM(D4:D63)</f>
        <v/>
      </c>
    </row>
    <row r="5">
      <c r="A5">
        <f>IF(2&lt;=Comparador!$B$6,2,"")</f>
        <v/>
      </c>
      <c r="B5" s="8">
        <f>IF(A5="","",F4)</f>
        <v/>
      </c>
      <c r="C5" s="8">
        <f>IF(A5="","",B5*Comparador!$B$12)</f>
        <v/>
      </c>
      <c r="D5" s="8">
        <f>IF(A5="","",E5-C5)</f>
        <v/>
      </c>
      <c r="E5" s="8">
        <f>IF(A5="","",Comparador!$B$13)</f>
        <v/>
      </c>
      <c r="F5" s="8">
        <f>IF(A5="","",B5-D5)</f>
        <v/>
      </c>
      <c r="H5" t="inlineStr">
        <is>
          <t>Saldo final</t>
        </is>
      </c>
      <c r="I5" s="8">
        <f>INDEX(F4:F63,Comparador!B6)</f>
        <v/>
      </c>
    </row>
    <row r="6">
      <c r="A6">
        <f>IF(3&lt;=Comparador!$B$6,3,"")</f>
        <v/>
      </c>
      <c r="B6" s="8">
        <f>IF(A6="","",F5)</f>
        <v/>
      </c>
      <c r="C6" s="8">
        <f>IF(A6="","",B6*Comparador!$B$12)</f>
        <v/>
      </c>
      <c r="D6" s="8">
        <f>IF(A6="","",E6-C6)</f>
        <v/>
      </c>
      <c r="E6" s="8">
        <f>IF(A6="","",Comparador!$B$13)</f>
        <v/>
      </c>
      <c r="F6" s="8">
        <f>IF(A6="","",B6-D6)</f>
        <v/>
      </c>
    </row>
    <row r="7">
      <c r="A7">
        <f>IF(4&lt;=Comparador!$B$6,4,"")</f>
        <v/>
      </c>
      <c r="B7" s="8">
        <f>IF(A7="","",F6)</f>
        <v/>
      </c>
      <c r="C7" s="8">
        <f>IF(A7="","",B7*Comparador!$B$12)</f>
        <v/>
      </c>
      <c r="D7" s="8">
        <f>IF(A7="","",E7-C7)</f>
        <v/>
      </c>
      <c r="E7" s="8">
        <f>IF(A7="","",Comparador!$B$13)</f>
        <v/>
      </c>
      <c r="F7" s="8">
        <f>IF(A7="","",B7-D7)</f>
        <v/>
      </c>
    </row>
    <row r="8">
      <c r="A8">
        <f>IF(5&lt;=Comparador!$B$6,5,"")</f>
        <v/>
      </c>
      <c r="B8" s="8">
        <f>IF(A8="","",F7)</f>
        <v/>
      </c>
      <c r="C8" s="8">
        <f>IF(A8="","",B8*Comparador!$B$12)</f>
        <v/>
      </c>
      <c r="D8" s="8">
        <f>IF(A8="","",E8-C8)</f>
        <v/>
      </c>
      <c r="E8" s="8">
        <f>IF(A8="","",Comparador!$B$13)</f>
        <v/>
      </c>
      <c r="F8" s="8">
        <f>IF(A8="","",B8-D8)</f>
        <v/>
      </c>
    </row>
    <row r="9">
      <c r="A9">
        <f>IF(6&lt;=Comparador!$B$6,6,"")</f>
        <v/>
      </c>
      <c r="B9" s="8">
        <f>IF(A9="","",F8)</f>
        <v/>
      </c>
      <c r="C9" s="8">
        <f>IF(A9="","",B9*Comparador!$B$12)</f>
        <v/>
      </c>
      <c r="D9" s="8">
        <f>IF(A9="","",E9-C9)</f>
        <v/>
      </c>
      <c r="E9" s="8">
        <f>IF(A9="","",Comparador!$B$13)</f>
        <v/>
      </c>
      <c r="F9" s="8">
        <f>IF(A9="","",B9-D9)</f>
        <v/>
      </c>
    </row>
    <row r="10">
      <c r="A10">
        <f>IF(7&lt;=Comparador!$B$6,7,"")</f>
        <v/>
      </c>
      <c r="B10" s="8">
        <f>IF(A10="","",F9)</f>
        <v/>
      </c>
      <c r="C10" s="8">
        <f>IF(A10="","",B10*Comparador!$B$12)</f>
        <v/>
      </c>
      <c r="D10" s="8">
        <f>IF(A10="","",E10-C10)</f>
        <v/>
      </c>
      <c r="E10" s="8">
        <f>IF(A10="","",Comparador!$B$13)</f>
        <v/>
      </c>
      <c r="F10" s="8">
        <f>IF(A10="","",B10-D10)</f>
        <v/>
      </c>
    </row>
    <row r="11">
      <c r="A11">
        <f>IF(8&lt;=Comparador!$B$6,8,"")</f>
        <v/>
      </c>
      <c r="B11" s="8">
        <f>IF(A11="","",F10)</f>
        <v/>
      </c>
      <c r="C11" s="8">
        <f>IF(A11="","",B11*Comparador!$B$12)</f>
        <v/>
      </c>
      <c r="D11" s="8">
        <f>IF(A11="","",E11-C11)</f>
        <v/>
      </c>
      <c r="E11" s="8">
        <f>IF(A11="","",Comparador!$B$13)</f>
        <v/>
      </c>
      <c r="F11" s="8">
        <f>IF(A11="","",B11-D11)</f>
        <v/>
      </c>
    </row>
    <row r="12">
      <c r="A12">
        <f>IF(9&lt;=Comparador!$B$6,9,"")</f>
        <v/>
      </c>
      <c r="B12" s="8">
        <f>IF(A12="","",F11)</f>
        <v/>
      </c>
      <c r="C12" s="8">
        <f>IF(A12="","",B12*Comparador!$B$12)</f>
        <v/>
      </c>
      <c r="D12" s="8">
        <f>IF(A12="","",E12-C12)</f>
        <v/>
      </c>
      <c r="E12" s="8">
        <f>IF(A12="","",Comparador!$B$13)</f>
        <v/>
      </c>
      <c r="F12" s="8">
        <f>IF(A12="","",B12-D12)</f>
        <v/>
      </c>
    </row>
    <row r="13">
      <c r="A13">
        <f>IF(10&lt;=Comparador!$B$6,10,"")</f>
        <v/>
      </c>
      <c r="B13" s="8">
        <f>IF(A13="","",F12)</f>
        <v/>
      </c>
      <c r="C13" s="8">
        <f>IF(A13="","",B13*Comparador!$B$12)</f>
        <v/>
      </c>
      <c r="D13" s="8">
        <f>IF(A13="","",E13-C13)</f>
        <v/>
      </c>
      <c r="E13" s="8">
        <f>IF(A13="","",Comparador!$B$13)</f>
        <v/>
      </c>
      <c r="F13" s="8">
        <f>IF(A13="","",B13-D13)</f>
        <v/>
      </c>
    </row>
    <row r="14">
      <c r="A14">
        <f>IF(11&lt;=Comparador!$B$6,11,"")</f>
        <v/>
      </c>
      <c r="B14" s="8">
        <f>IF(A14="","",F13)</f>
        <v/>
      </c>
      <c r="C14" s="8">
        <f>IF(A14="","",B14*Comparador!$B$12)</f>
        <v/>
      </c>
      <c r="D14" s="8">
        <f>IF(A14="","",E14-C14)</f>
        <v/>
      </c>
      <c r="E14" s="8">
        <f>IF(A14="","",Comparador!$B$13)</f>
        <v/>
      </c>
      <c r="F14" s="8">
        <f>IF(A14="","",B14-D14)</f>
        <v/>
      </c>
    </row>
    <row r="15">
      <c r="A15">
        <f>IF(12&lt;=Comparador!$B$6,12,"")</f>
        <v/>
      </c>
      <c r="B15" s="8">
        <f>IF(A15="","",F14)</f>
        <v/>
      </c>
      <c r="C15" s="8">
        <f>IF(A15="","",B15*Comparador!$B$12)</f>
        <v/>
      </c>
      <c r="D15" s="8">
        <f>IF(A15="","",E15-C15)</f>
        <v/>
      </c>
      <c r="E15" s="8">
        <f>IF(A15="","",Comparador!$B$13)</f>
        <v/>
      </c>
      <c r="F15" s="8">
        <f>IF(A15="","",B15-D15)</f>
        <v/>
      </c>
    </row>
    <row r="16">
      <c r="A16">
        <f>IF(13&lt;=Comparador!$B$6,13,"")</f>
        <v/>
      </c>
      <c r="B16" s="8">
        <f>IF(A16="","",F15)</f>
        <v/>
      </c>
      <c r="C16" s="8">
        <f>IF(A16="","",B16*Comparador!$B$12)</f>
        <v/>
      </c>
      <c r="D16" s="8">
        <f>IF(A16="","",E16-C16)</f>
        <v/>
      </c>
      <c r="E16" s="8">
        <f>IF(A16="","",Comparador!$B$13)</f>
        <v/>
      </c>
      <c r="F16" s="8">
        <f>IF(A16="","",B16-D16)</f>
        <v/>
      </c>
    </row>
    <row r="17">
      <c r="A17">
        <f>IF(14&lt;=Comparador!$B$6,14,"")</f>
        <v/>
      </c>
      <c r="B17" s="8">
        <f>IF(A17="","",F16)</f>
        <v/>
      </c>
      <c r="C17" s="8">
        <f>IF(A17="","",B17*Comparador!$B$12)</f>
        <v/>
      </c>
      <c r="D17" s="8">
        <f>IF(A17="","",E17-C17)</f>
        <v/>
      </c>
      <c r="E17" s="8">
        <f>IF(A17="","",Comparador!$B$13)</f>
        <v/>
      </c>
      <c r="F17" s="8">
        <f>IF(A17="","",B17-D17)</f>
        <v/>
      </c>
    </row>
    <row r="18">
      <c r="A18">
        <f>IF(15&lt;=Comparador!$B$6,15,"")</f>
        <v/>
      </c>
      <c r="B18" s="8">
        <f>IF(A18="","",F17)</f>
        <v/>
      </c>
      <c r="C18" s="8">
        <f>IF(A18="","",B18*Comparador!$B$12)</f>
        <v/>
      </c>
      <c r="D18" s="8">
        <f>IF(A18="","",E18-C18)</f>
        <v/>
      </c>
      <c r="E18" s="8">
        <f>IF(A18="","",Comparador!$B$13)</f>
        <v/>
      </c>
      <c r="F18" s="8">
        <f>IF(A18="","",B18-D18)</f>
        <v/>
      </c>
    </row>
    <row r="19">
      <c r="A19">
        <f>IF(16&lt;=Comparador!$B$6,16,"")</f>
        <v/>
      </c>
      <c r="B19" s="8">
        <f>IF(A19="","",F18)</f>
        <v/>
      </c>
      <c r="C19" s="8">
        <f>IF(A19="","",B19*Comparador!$B$12)</f>
        <v/>
      </c>
      <c r="D19" s="8">
        <f>IF(A19="","",E19-C19)</f>
        <v/>
      </c>
      <c r="E19" s="8">
        <f>IF(A19="","",Comparador!$B$13)</f>
        <v/>
      </c>
      <c r="F19" s="8">
        <f>IF(A19="","",B19-D19)</f>
        <v/>
      </c>
    </row>
    <row r="20">
      <c r="A20">
        <f>IF(17&lt;=Comparador!$B$6,17,"")</f>
        <v/>
      </c>
      <c r="B20" s="8">
        <f>IF(A20="","",F19)</f>
        <v/>
      </c>
      <c r="C20" s="8">
        <f>IF(A20="","",B20*Comparador!$B$12)</f>
        <v/>
      </c>
      <c r="D20" s="8">
        <f>IF(A20="","",E20-C20)</f>
        <v/>
      </c>
      <c r="E20" s="8">
        <f>IF(A20="","",Comparador!$B$13)</f>
        <v/>
      </c>
      <c r="F20" s="8">
        <f>IF(A20="","",B20-D20)</f>
        <v/>
      </c>
    </row>
    <row r="21">
      <c r="A21">
        <f>IF(18&lt;=Comparador!$B$6,18,"")</f>
        <v/>
      </c>
      <c r="B21" s="8">
        <f>IF(A21="","",F20)</f>
        <v/>
      </c>
      <c r="C21" s="8">
        <f>IF(A21="","",B21*Comparador!$B$12)</f>
        <v/>
      </c>
      <c r="D21" s="8">
        <f>IF(A21="","",E21-C21)</f>
        <v/>
      </c>
      <c r="E21" s="8">
        <f>IF(A21="","",Comparador!$B$13)</f>
        <v/>
      </c>
      <c r="F21" s="8">
        <f>IF(A21="","",B21-D21)</f>
        <v/>
      </c>
    </row>
    <row r="22">
      <c r="A22">
        <f>IF(19&lt;=Comparador!$B$6,19,"")</f>
        <v/>
      </c>
      <c r="B22" s="8">
        <f>IF(A22="","",F21)</f>
        <v/>
      </c>
      <c r="C22" s="8">
        <f>IF(A22="","",B22*Comparador!$B$12)</f>
        <v/>
      </c>
      <c r="D22" s="8">
        <f>IF(A22="","",E22-C22)</f>
        <v/>
      </c>
      <c r="E22" s="8">
        <f>IF(A22="","",Comparador!$B$13)</f>
        <v/>
      </c>
      <c r="F22" s="8">
        <f>IF(A22="","",B22-D22)</f>
        <v/>
      </c>
    </row>
    <row r="23">
      <c r="A23">
        <f>IF(20&lt;=Comparador!$B$6,20,"")</f>
        <v/>
      </c>
      <c r="B23" s="8">
        <f>IF(A23="","",F22)</f>
        <v/>
      </c>
      <c r="C23" s="8">
        <f>IF(A23="","",B23*Comparador!$B$12)</f>
        <v/>
      </c>
      <c r="D23" s="8">
        <f>IF(A23="","",E23-C23)</f>
        <v/>
      </c>
      <c r="E23" s="8">
        <f>IF(A23="","",Comparador!$B$13)</f>
        <v/>
      </c>
      <c r="F23" s="8">
        <f>IF(A23="","",B23-D23)</f>
        <v/>
      </c>
    </row>
    <row r="24">
      <c r="A24">
        <f>IF(21&lt;=Comparador!$B$6,21,"")</f>
        <v/>
      </c>
      <c r="B24" s="8">
        <f>IF(A24="","",F23)</f>
        <v/>
      </c>
      <c r="C24" s="8">
        <f>IF(A24="","",B24*Comparador!$B$12)</f>
        <v/>
      </c>
      <c r="D24" s="8">
        <f>IF(A24="","",E24-C24)</f>
        <v/>
      </c>
      <c r="E24" s="8">
        <f>IF(A24="","",Comparador!$B$13)</f>
        <v/>
      </c>
      <c r="F24" s="8">
        <f>IF(A24="","",B24-D24)</f>
        <v/>
      </c>
    </row>
    <row r="25">
      <c r="A25">
        <f>IF(22&lt;=Comparador!$B$6,22,"")</f>
        <v/>
      </c>
      <c r="B25" s="8">
        <f>IF(A25="","",F24)</f>
        <v/>
      </c>
      <c r="C25" s="8">
        <f>IF(A25="","",B25*Comparador!$B$12)</f>
        <v/>
      </c>
      <c r="D25" s="8">
        <f>IF(A25="","",E25-C25)</f>
        <v/>
      </c>
      <c r="E25" s="8">
        <f>IF(A25="","",Comparador!$B$13)</f>
        <v/>
      </c>
      <c r="F25" s="8">
        <f>IF(A25="","",B25-D25)</f>
        <v/>
      </c>
    </row>
    <row r="26">
      <c r="A26">
        <f>IF(23&lt;=Comparador!$B$6,23,"")</f>
        <v/>
      </c>
      <c r="B26" s="8">
        <f>IF(A26="","",F25)</f>
        <v/>
      </c>
      <c r="C26" s="8">
        <f>IF(A26="","",B26*Comparador!$B$12)</f>
        <v/>
      </c>
      <c r="D26" s="8">
        <f>IF(A26="","",E26-C26)</f>
        <v/>
      </c>
      <c r="E26" s="8">
        <f>IF(A26="","",Comparador!$B$13)</f>
        <v/>
      </c>
      <c r="F26" s="8">
        <f>IF(A26="","",B26-D26)</f>
        <v/>
      </c>
    </row>
    <row r="27">
      <c r="A27">
        <f>IF(24&lt;=Comparador!$B$6,24,"")</f>
        <v/>
      </c>
      <c r="B27" s="8">
        <f>IF(A27="","",F26)</f>
        <v/>
      </c>
      <c r="C27" s="8">
        <f>IF(A27="","",B27*Comparador!$B$12)</f>
        <v/>
      </c>
      <c r="D27" s="8">
        <f>IF(A27="","",E27-C27)</f>
        <v/>
      </c>
      <c r="E27" s="8">
        <f>IF(A27="","",Comparador!$B$13)</f>
        <v/>
      </c>
      <c r="F27" s="8">
        <f>IF(A27="","",B27-D27)</f>
        <v/>
      </c>
    </row>
    <row r="28">
      <c r="A28">
        <f>IF(25&lt;=Comparador!$B$6,25,"")</f>
        <v/>
      </c>
      <c r="B28" s="8">
        <f>IF(A28="","",F27)</f>
        <v/>
      </c>
      <c r="C28" s="8">
        <f>IF(A28="","",B28*Comparador!$B$12)</f>
        <v/>
      </c>
      <c r="D28" s="8">
        <f>IF(A28="","",E28-C28)</f>
        <v/>
      </c>
      <c r="E28" s="8">
        <f>IF(A28="","",Comparador!$B$13)</f>
        <v/>
      </c>
      <c r="F28" s="8">
        <f>IF(A28="","",B28-D28)</f>
        <v/>
      </c>
    </row>
    <row r="29">
      <c r="A29">
        <f>IF(26&lt;=Comparador!$B$6,26,"")</f>
        <v/>
      </c>
      <c r="B29" s="8">
        <f>IF(A29="","",F28)</f>
        <v/>
      </c>
      <c r="C29" s="8">
        <f>IF(A29="","",B29*Comparador!$B$12)</f>
        <v/>
      </c>
      <c r="D29" s="8">
        <f>IF(A29="","",E29-C29)</f>
        <v/>
      </c>
      <c r="E29" s="8">
        <f>IF(A29="","",Comparador!$B$13)</f>
        <v/>
      </c>
      <c r="F29" s="8">
        <f>IF(A29="","",B29-D29)</f>
        <v/>
      </c>
    </row>
    <row r="30">
      <c r="A30">
        <f>IF(27&lt;=Comparador!$B$6,27,"")</f>
        <v/>
      </c>
      <c r="B30" s="8">
        <f>IF(A30="","",F29)</f>
        <v/>
      </c>
      <c r="C30" s="8">
        <f>IF(A30="","",B30*Comparador!$B$12)</f>
        <v/>
      </c>
      <c r="D30" s="8">
        <f>IF(A30="","",E30-C30)</f>
        <v/>
      </c>
      <c r="E30" s="8">
        <f>IF(A30="","",Comparador!$B$13)</f>
        <v/>
      </c>
      <c r="F30" s="8">
        <f>IF(A30="","",B30-D30)</f>
        <v/>
      </c>
    </row>
    <row r="31">
      <c r="A31">
        <f>IF(28&lt;=Comparador!$B$6,28,"")</f>
        <v/>
      </c>
      <c r="B31" s="8">
        <f>IF(A31="","",F30)</f>
        <v/>
      </c>
      <c r="C31" s="8">
        <f>IF(A31="","",B31*Comparador!$B$12)</f>
        <v/>
      </c>
      <c r="D31" s="8">
        <f>IF(A31="","",E31-C31)</f>
        <v/>
      </c>
      <c r="E31" s="8">
        <f>IF(A31="","",Comparador!$B$13)</f>
        <v/>
      </c>
      <c r="F31" s="8">
        <f>IF(A31="","",B31-D31)</f>
        <v/>
      </c>
    </row>
    <row r="32">
      <c r="A32">
        <f>IF(29&lt;=Comparador!$B$6,29,"")</f>
        <v/>
      </c>
      <c r="B32" s="8">
        <f>IF(A32="","",F31)</f>
        <v/>
      </c>
      <c r="C32" s="8">
        <f>IF(A32="","",B32*Comparador!$B$12)</f>
        <v/>
      </c>
      <c r="D32" s="8">
        <f>IF(A32="","",E32-C32)</f>
        <v/>
      </c>
      <c r="E32" s="8">
        <f>IF(A32="","",Comparador!$B$13)</f>
        <v/>
      </c>
      <c r="F32" s="8">
        <f>IF(A32="","",B32-D32)</f>
        <v/>
      </c>
    </row>
    <row r="33">
      <c r="A33">
        <f>IF(30&lt;=Comparador!$B$6,30,"")</f>
        <v/>
      </c>
      <c r="B33" s="8">
        <f>IF(A33="","",F32)</f>
        <v/>
      </c>
      <c r="C33" s="8">
        <f>IF(A33="","",B33*Comparador!$B$12)</f>
        <v/>
      </c>
      <c r="D33" s="8">
        <f>IF(A33="","",E33-C33)</f>
        <v/>
      </c>
      <c r="E33" s="8">
        <f>IF(A33="","",Comparador!$B$13)</f>
        <v/>
      </c>
      <c r="F33" s="8">
        <f>IF(A33="","",B33-D33)</f>
        <v/>
      </c>
    </row>
    <row r="34">
      <c r="A34">
        <f>IF(31&lt;=Comparador!$B$6,31,"")</f>
        <v/>
      </c>
      <c r="B34" s="8">
        <f>IF(A34="","",F33)</f>
        <v/>
      </c>
      <c r="C34" s="8">
        <f>IF(A34="","",B34*Comparador!$B$12)</f>
        <v/>
      </c>
      <c r="D34" s="8">
        <f>IF(A34="","",E34-C34)</f>
        <v/>
      </c>
      <c r="E34" s="8">
        <f>IF(A34="","",Comparador!$B$13)</f>
        <v/>
      </c>
      <c r="F34" s="8">
        <f>IF(A34="","",B34-D34)</f>
        <v/>
      </c>
    </row>
    <row r="35">
      <c r="A35">
        <f>IF(32&lt;=Comparador!$B$6,32,"")</f>
        <v/>
      </c>
      <c r="B35" s="8">
        <f>IF(A35="","",F34)</f>
        <v/>
      </c>
      <c r="C35" s="8">
        <f>IF(A35="","",B35*Comparador!$B$12)</f>
        <v/>
      </c>
      <c r="D35" s="8">
        <f>IF(A35="","",E35-C35)</f>
        <v/>
      </c>
      <c r="E35" s="8">
        <f>IF(A35="","",Comparador!$B$13)</f>
        <v/>
      </c>
      <c r="F35" s="8">
        <f>IF(A35="","",B35-D35)</f>
        <v/>
      </c>
    </row>
    <row r="36">
      <c r="A36">
        <f>IF(33&lt;=Comparador!$B$6,33,"")</f>
        <v/>
      </c>
      <c r="B36" s="8">
        <f>IF(A36="","",F35)</f>
        <v/>
      </c>
      <c r="C36" s="8">
        <f>IF(A36="","",B36*Comparador!$B$12)</f>
        <v/>
      </c>
      <c r="D36" s="8">
        <f>IF(A36="","",E36-C36)</f>
        <v/>
      </c>
      <c r="E36" s="8">
        <f>IF(A36="","",Comparador!$B$13)</f>
        <v/>
      </c>
      <c r="F36" s="8">
        <f>IF(A36="","",B36-D36)</f>
        <v/>
      </c>
    </row>
    <row r="37">
      <c r="A37">
        <f>IF(34&lt;=Comparador!$B$6,34,"")</f>
        <v/>
      </c>
      <c r="B37" s="8">
        <f>IF(A37="","",F36)</f>
        <v/>
      </c>
      <c r="C37" s="8">
        <f>IF(A37="","",B37*Comparador!$B$12)</f>
        <v/>
      </c>
      <c r="D37" s="8">
        <f>IF(A37="","",E37-C37)</f>
        <v/>
      </c>
      <c r="E37" s="8">
        <f>IF(A37="","",Comparador!$B$13)</f>
        <v/>
      </c>
      <c r="F37" s="8">
        <f>IF(A37="","",B37-D37)</f>
        <v/>
      </c>
    </row>
    <row r="38">
      <c r="A38">
        <f>IF(35&lt;=Comparador!$B$6,35,"")</f>
        <v/>
      </c>
      <c r="B38" s="8">
        <f>IF(A38="","",F37)</f>
        <v/>
      </c>
      <c r="C38" s="8">
        <f>IF(A38="","",B38*Comparador!$B$12)</f>
        <v/>
      </c>
      <c r="D38" s="8">
        <f>IF(A38="","",E38-C38)</f>
        <v/>
      </c>
      <c r="E38" s="8">
        <f>IF(A38="","",Comparador!$B$13)</f>
        <v/>
      </c>
      <c r="F38" s="8">
        <f>IF(A38="","",B38-D38)</f>
        <v/>
      </c>
    </row>
    <row r="39">
      <c r="A39">
        <f>IF(36&lt;=Comparador!$B$6,36,"")</f>
        <v/>
      </c>
      <c r="B39" s="8">
        <f>IF(A39="","",F38)</f>
        <v/>
      </c>
      <c r="C39" s="8">
        <f>IF(A39="","",B39*Comparador!$B$12)</f>
        <v/>
      </c>
      <c r="D39" s="8">
        <f>IF(A39="","",E39-C39)</f>
        <v/>
      </c>
      <c r="E39" s="8">
        <f>IF(A39="","",Comparador!$B$13)</f>
        <v/>
      </c>
      <c r="F39" s="8">
        <f>IF(A39="","",B39-D39)</f>
        <v/>
      </c>
    </row>
    <row r="40">
      <c r="A40">
        <f>IF(37&lt;=Comparador!$B$6,37,"")</f>
        <v/>
      </c>
      <c r="B40" s="8">
        <f>IF(A40="","",F39)</f>
        <v/>
      </c>
      <c r="C40" s="8">
        <f>IF(A40="","",B40*Comparador!$B$12)</f>
        <v/>
      </c>
      <c r="D40" s="8">
        <f>IF(A40="","",E40-C40)</f>
        <v/>
      </c>
      <c r="E40" s="8">
        <f>IF(A40="","",Comparador!$B$13)</f>
        <v/>
      </c>
      <c r="F40" s="8">
        <f>IF(A40="","",B40-D40)</f>
        <v/>
      </c>
    </row>
    <row r="41">
      <c r="A41">
        <f>IF(38&lt;=Comparador!$B$6,38,"")</f>
        <v/>
      </c>
      <c r="B41" s="8">
        <f>IF(A41="","",F40)</f>
        <v/>
      </c>
      <c r="C41" s="8">
        <f>IF(A41="","",B41*Comparador!$B$12)</f>
        <v/>
      </c>
      <c r="D41" s="8">
        <f>IF(A41="","",E41-C41)</f>
        <v/>
      </c>
      <c r="E41" s="8">
        <f>IF(A41="","",Comparador!$B$13)</f>
        <v/>
      </c>
      <c r="F41" s="8">
        <f>IF(A41="","",B41-D41)</f>
        <v/>
      </c>
    </row>
    <row r="42">
      <c r="A42">
        <f>IF(39&lt;=Comparador!$B$6,39,"")</f>
        <v/>
      </c>
      <c r="B42" s="8">
        <f>IF(A42="","",F41)</f>
        <v/>
      </c>
      <c r="C42" s="8">
        <f>IF(A42="","",B42*Comparador!$B$12)</f>
        <v/>
      </c>
      <c r="D42" s="8">
        <f>IF(A42="","",E42-C42)</f>
        <v/>
      </c>
      <c r="E42" s="8">
        <f>IF(A42="","",Comparador!$B$13)</f>
        <v/>
      </c>
      <c r="F42" s="8">
        <f>IF(A42="","",B42-D42)</f>
        <v/>
      </c>
    </row>
    <row r="43">
      <c r="A43">
        <f>IF(40&lt;=Comparador!$B$6,40,"")</f>
        <v/>
      </c>
      <c r="B43" s="8">
        <f>IF(A43="","",F42)</f>
        <v/>
      </c>
      <c r="C43" s="8">
        <f>IF(A43="","",B43*Comparador!$B$12)</f>
        <v/>
      </c>
      <c r="D43" s="8">
        <f>IF(A43="","",E43-C43)</f>
        <v/>
      </c>
      <c r="E43" s="8">
        <f>IF(A43="","",Comparador!$B$13)</f>
        <v/>
      </c>
      <c r="F43" s="8">
        <f>IF(A43="","",B43-D43)</f>
        <v/>
      </c>
    </row>
    <row r="44">
      <c r="A44">
        <f>IF(41&lt;=Comparador!$B$6,41,"")</f>
        <v/>
      </c>
      <c r="B44" s="8">
        <f>IF(A44="","",F43)</f>
        <v/>
      </c>
      <c r="C44" s="8">
        <f>IF(A44="","",B44*Comparador!$B$12)</f>
        <v/>
      </c>
      <c r="D44" s="8">
        <f>IF(A44="","",E44-C44)</f>
        <v/>
      </c>
      <c r="E44" s="8">
        <f>IF(A44="","",Comparador!$B$13)</f>
        <v/>
      </c>
      <c r="F44" s="8">
        <f>IF(A44="","",B44-D44)</f>
        <v/>
      </c>
    </row>
    <row r="45">
      <c r="A45">
        <f>IF(42&lt;=Comparador!$B$6,42,"")</f>
        <v/>
      </c>
      <c r="B45" s="8">
        <f>IF(A45="","",F44)</f>
        <v/>
      </c>
      <c r="C45" s="8">
        <f>IF(A45="","",B45*Comparador!$B$12)</f>
        <v/>
      </c>
      <c r="D45" s="8">
        <f>IF(A45="","",E45-C45)</f>
        <v/>
      </c>
      <c r="E45" s="8">
        <f>IF(A45="","",Comparador!$B$13)</f>
        <v/>
      </c>
      <c r="F45" s="8">
        <f>IF(A45="","",B45-D45)</f>
        <v/>
      </c>
    </row>
    <row r="46">
      <c r="A46">
        <f>IF(43&lt;=Comparador!$B$6,43,"")</f>
        <v/>
      </c>
      <c r="B46" s="8">
        <f>IF(A46="","",F45)</f>
        <v/>
      </c>
      <c r="C46" s="8">
        <f>IF(A46="","",B46*Comparador!$B$12)</f>
        <v/>
      </c>
      <c r="D46" s="8">
        <f>IF(A46="","",E46-C46)</f>
        <v/>
      </c>
      <c r="E46" s="8">
        <f>IF(A46="","",Comparador!$B$13)</f>
        <v/>
      </c>
      <c r="F46" s="8">
        <f>IF(A46="","",B46-D46)</f>
        <v/>
      </c>
    </row>
    <row r="47">
      <c r="A47">
        <f>IF(44&lt;=Comparador!$B$6,44,"")</f>
        <v/>
      </c>
      <c r="B47" s="8">
        <f>IF(A47="","",F46)</f>
        <v/>
      </c>
      <c r="C47" s="8">
        <f>IF(A47="","",B47*Comparador!$B$12)</f>
        <v/>
      </c>
      <c r="D47" s="8">
        <f>IF(A47="","",E47-C47)</f>
        <v/>
      </c>
      <c r="E47" s="8">
        <f>IF(A47="","",Comparador!$B$13)</f>
        <v/>
      </c>
      <c r="F47" s="8">
        <f>IF(A47="","",B47-D47)</f>
        <v/>
      </c>
    </row>
    <row r="48">
      <c r="A48">
        <f>IF(45&lt;=Comparador!$B$6,45,"")</f>
        <v/>
      </c>
      <c r="B48" s="8">
        <f>IF(A48="","",F47)</f>
        <v/>
      </c>
      <c r="C48" s="8">
        <f>IF(A48="","",B48*Comparador!$B$12)</f>
        <v/>
      </c>
      <c r="D48" s="8">
        <f>IF(A48="","",E48-C48)</f>
        <v/>
      </c>
      <c r="E48" s="8">
        <f>IF(A48="","",Comparador!$B$13)</f>
        <v/>
      </c>
      <c r="F48" s="8">
        <f>IF(A48="","",B48-D48)</f>
        <v/>
      </c>
    </row>
    <row r="49">
      <c r="A49">
        <f>IF(46&lt;=Comparador!$B$6,46,"")</f>
        <v/>
      </c>
      <c r="B49" s="8">
        <f>IF(A49="","",F48)</f>
        <v/>
      </c>
      <c r="C49" s="8">
        <f>IF(A49="","",B49*Comparador!$B$12)</f>
        <v/>
      </c>
      <c r="D49" s="8">
        <f>IF(A49="","",E49-C49)</f>
        <v/>
      </c>
      <c r="E49" s="8">
        <f>IF(A49="","",Comparador!$B$13)</f>
        <v/>
      </c>
      <c r="F49" s="8">
        <f>IF(A49="","",B49-D49)</f>
        <v/>
      </c>
    </row>
    <row r="50">
      <c r="A50">
        <f>IF(47&lt;=Comparador!$B$6,47,"")</f>
        <v/>
      </c>
      <c r="B50" s="8">
        <f>IF(A50="","",F49)</f>
        <v/>
      </c>
      <c r="C50" s="8">
        <f>IF(A50="","",B50*Comparador!$B$12)</f>
        <v/>
      </c>
      <c r="D50" s="8">
        <f>IF(A50="","",E50-C50)</f>
        <v/>
      </c>
      <c r="E50" s="8">
        <f>IF(A50="","",Comparador!$B$13)</f>
        <v/>
      </c>
      <c r="F50" s="8">
        <f>IF(A50="","",B50-D50)</f>
        <v/>
      </c>
    </row>
    <row r="51">
      <c r="A51">
        <f>IF(48&lt;=Comparador!$B$6,48,"")</f>
        <v/>
      </c>
      <c r="B51" s="8">
        <f>IF(A51="","",F50)</f>
        <v/>
      </c>
      <c r="C51" s="8">
        <f>IF(A51="","",B51*Comparador!$B$12)</f>
        <v/>
      </c>
      <c r="D51" s="8">
        <f>IF(A51="","",E51-C51)</f>
        <v/>
      </c>
      <c r="E51" s="8">
        <f>IF(A51="","",Comparador!$B$13)</f>
        <v/>
      </c>
      <c r="F51" s="8">
        <f>IF(A51="","",B51-D51)</f>
        <v/>
      </c>
    </row>
    <row r="52">
      <c r="A52">
        <f>IF(49&lt;=Comparador!$B$6,49,"")</f>
        <v/>
      </c>
      <c r="B52" s="8">
        <f>IF(A52="","",F51)</f>
        <v/>
      </c>
      <c r="C52" s="8">
        <f>IF(A52="","",B52*Comparador!$B$12)</f>
        <v/>
      </c>
      <c r="D52" s="8">
        <f>IF(A52="","",E52-C52)</f>
        <v/>
      </c>
      <c r="E52" s="8">
        <f>IF(A52="","",Comparador!$B$13)</f>
        <v/>
      </c>
      <c r="F52" s="8">
        <f>IF(A52="","",B52-D52)</f>
        <v/>
      </c>
    </row>
    <row r="53">
      <c r="A53">
        <f>IF(50&lt;=Comparador!$B$6,50,"")</f>
        <v/>
      </c>
      <c r="B53" s="8">
        <f>IF(A53="","",F52)</f>
        <v/>
      </c>
      <c r="C53" s="8">
        <f>IF(A53="","",B53*Comparador!$B$12)</f>
        <v/>
      </c>
      <c r="D53" s="8">
        <f>IF(A53="","",E53-C53)</f>
        <v/>
      </c>
      <c r="E53" s="8">
        <f>IF(A53="","",Comparador!$B$13)</f>
        <v/>
      </c>
      <c r="F53" s="8">
        <f>IF(A53="","",B53-D53)</f>
        <v/>
      </c>
    </row>
    <row r="54">
      <c r="A54">
        <f>IF(51&lt;=Comparador!$B$6,51,"")</f>
        <v/>
      </c>
      <c r="B54" s="8">
        <f>IF(A54="","",F53)</f>
        <v/>
      </c>
      <c r="C54" s="8">
        <f>IF(A54="","",B54*Comparador!$B$12)</f>
        <v/>
      </c>
      <c r="D54" s="8">
        <f>IF(A54="","",E54-C54)</f>
        <v/>
      </c>
      <c r="E54" s="8">
        <f>IF(A54="","",Comparador!$B$13)</f>
        <v/>
      </c>
      <c r="F54" s="8">
        <f>IF(A54="","",B54-D54)</f>
        <v/>
      </c>
    </row>
    <row r="55">
      <c r="A55">
        <f>IF(52&lt;=Comparador!$B$6,52,"")</f>
        <v/>
      </c>
      <c r="B55" s="8">
        <f>IF(A55="","",F54)</f>
        <v/>
      </c>
      <c r="C55" s="8">
        <f>IF(A55="","",B55*Comparador!$B$12)</f>
        <v/>
      </c>
      <c r="D55" s="8">
        <f>IF(A55="","",E55-C55)</f>
        <v/>
      </c>
      <c r="E55" s="8">
        <f>IF(A55="","",Comparador!$B$13)</f>
        <v/>
      </c>
      <c r="F55" s="8">
        <f>IF(A55="","",B55-D55)</f>
        <v/>
      </c>
    </row>
    <row r="56">
      <c r="A56">
        <f>IF(53&lt;=Comparador!$B$6,53,"")</f>
        <v/>
      </c>
      <c r="B56" s="8">
        <f>IF(A56="","",F55)</f>
        <v/>
      </c>
      <c r="C56" s="8">
        <f>IF(A56="","",B56*Comparador!$B$12)</f>
        <v/>
      </c>
      <c r="D56" s="8">
        <f>IF(A56="","",E56-C56)</f>
        <v/>
      </c>
      <c r="E56" s="8">
        <f>IF(A56="","",Comparador!$B$13)</f>
        <v/>
      </c>
      <c r="F56" s="8">
        <f>IF(A56="","",B56-D56)</f>
        <v/>
      </c>
    </row>
    <row r="57">
      <c r="A57">
        <f>IF(54&lt;=Comparador!$B$6,54,"")</f>
        <v/>
      </c>
      <c r="B57" s="8">
        <f>IF(A57="","",F56)</f>
        <v/>
      </c>
      <c r="C57" s="8">
        <f>IF(A57="","",B57*Comparador!$B$12)</f>
        <v/>
      </c>
      <c r="D57" s="8">
        <f>IF(A57="","",E57-C57)</f>
        <v/>
      </c>
      <c r="E57" s="8">
        <f>IF(A57="","",Comparador!$B$13)</f>
        <v/>
      </c>
      <c r="F57" s="8">
        <f>IF(A57="","",B57-D57)</f>
        <v/>
      </c>
    </row>
    <row r="58">
      <c r="A58">
        <f>IF(55&lt;=Comparador!$B$6,55,"")</f>
        <v/>
      </c>
      <c r="B58" s="8">
        <f>IF(A58="","",F57)</f>
        <v/>
      </c>
      <c r="C58" s="8">
        <f>IF(A58="","",B58*Comparador!$B$12)</f>
        <v/>
      </c>
      <c r="D58" s="8">
        <f>IF(A58="","",E58-C58)</f>
        <v/>
      </c>
      <c r="E58" s="8">
        <f>IF(A58="","",Comparador!$B$13)</f>
        <v/>
      </c>
      <c r="F58" s="8">
        <f>IF(A58="","",B58-D58)</f>
        <v/>
      </c>
    </row>
    <row r="59">
      <c r="A59">
        <f>IF(56&lt;=Comparador!$B$6,56,"")</f>
        <v/>
      </c>
      <c r="B59" s="8">
        <f>IF(A59="","",F58)</f>
        <v/>
      </c>
      <c r="C59" s="8">
        <f>IF(A59="","",B59*Comparador!$B$12)</f>
        <v/>
      </c>
      <c r="D59" s="8">
        <f>IF(A59="","",E59-C59)</f>
        <v/>
      </c>
      <c r="E59" s="8">
        <f>IF(A59="","",Comparador!$B$13)</f>
        <v/>
      </c>
      <c r="F59" s="8">
        <f>IF(A59="","",B59-D59)</f>
        <v/>
      </c>
    </row>
    <row r="60">
      <c r="A60">
        <f>IF(57&lt;=Comparador!$B$6,57,"")</f>
        <v/>
      </c>
      <c r="B60" s="8">
        <f>IF(A60="","",F59)</f>
        <v/>
      </c>
      <c r="C60" s="8">
        <f>IF(A60="","",B60*Comparador!$B$12)</f>
        <v/>
      </c>
      <c r="D60" s="8">
        <f>IF(A60="","",E60-C60)</f>
        <v/>
      </c>
      <c r="E60" s="8">
        <f>IF(A60="","",Comparador!$B$13)</f>
        <v/>
      </c>
      <c r="F60" s="8">
        <f>IF(A60="","",B60-D60)</f>
        <v/>
      </c>
    </row>
    <row r="61">
      <c r="A61">
        <f>IF(58&lt;=Comparador!$B$6,58,"")</f>
        <v/>
      </c>
      <c r="B61" s="8">
        <f>IF(A61="","",F60)</f>
        <v/>
      </c>
      <c r="C61" s="8">
        <f>IF(A61="","",B61*Comparador!$B$12)</f>
        <v/>
      </c>
      <c r="D61" s="8">
        <f>IF(A61="","",E61-C61)</f>
        <v/>
      </c>
      <c r="E61" s="8">
        <f>IF(A61="","",Comparador!$B$13)</f>
        <v/>
      </c>
      <c r="F61" s="8">
        <f>IF(A61="","",B61-D61)</f>
        <v/>
      </c>
    </row>
    <row r="62">
      <c r="A62">
        <f>IF(59&lt;=Comparador!$B$6,59,"")</f>
        <v/>
      </c>
      <c r="B62" s="8">
        <f>IF(A62="","",F61)</f>
        <v/>
      </c>
      <c r="C62" s="8">
        <f>IF(A62="","",B62*Comparador!$B$12)</f>
        <v/>
      </c>
      <c r="D62" s="8">
        <f>IF(A62="","",E62-C62)</f>
        <v/>
      </c>
      <c r="E62" s="8">
        <f>IF(A62="","",Comparador!$B$13)</f>
        <v/>
      </c>
      <c r="F62" s="8">
        <f>IF(A62="","",B62-D62)</f>
        <v/>
      </c>
    </row>
    <row r="63">
      <c r="A63">
        <f>IF(60&lt;=Comparador!$B$6,60,"")</f>
        <v/>
      </c>
      <c r="B63" s="8">
        <f>IF(A63="","",F62)</f>
        <v/>
      </c>
      <c r="C63" s="8">
        <f>IF(A63="","",B63*Comparador!$B$12)</f>
        <v/>
      </c>
      <c r="D63" s="8">
        <f>IF(A63="","",E63-C63)</f>
        <v/>
      </c>
      <c r="E63" s="8">
        <f>IF(A63="","",Comparador!$B$13)</f>
        <v/>
      </c>
      <c r="F63" s="8">
        <f>IF(A63="","",B63-D63)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0" customWidth="1" min="1" max="1"/>
    <col width="12" customWidth="1" min="2" max="2"/>
  </cols>
  <sheetData>
    <row r="1">
      <c r="A1" s="1" t="inlineStr">
        <is>
          <t>PREGUNTAS ANTES DE FIRMAR (marca lo que ya verificaste)</t>
        </is>
      </c>
    </row>
    <row r="3">
      <c r="A3" s="11" t="inlineStr">
        <is>
          <t>¿La tasa que me dan es efectiva anual (E. A.) o nominal? ¿Cuál es el Valor Total Unificado del crédito?</t>
        </is>
      </c>
      <c r="B3" s="12" t="inlineStr">
        <is>
          <t>No</t>
        </is>
      </c>
    </row>
    <row r="4">
      <c r="A4" s="11" t="inlineStr">
        <is>
          <t>¿Hay seguro de vida o de deudor? ¿Es obligatorio, cuánto cuesta y puedo cotizarlo por mi cuenta?</t>
        </is>
      </c>
      <c r="B4" s="12" t="inlineStr">
        <is>
          <t>No</t>
        </is>
      </c>
    </row>
    <row r="5">
      <c r="A5" s="11" t="inlineStr">
        <is>
          <t>¿Hay comisión de estudio, de desembolso o cuota de manejo? ¿Se cobra al inicio o se financia?</t>
        </is>
      </c>
      <c r="B5" s="12" t="inlineStr">
        <is>
          <t>No</t>
        </is>
      </c>
    </row>
    <row r="6">
      <c r="A6" s="11" t="inlineStr">
        <is>
          <t>¿Puedo pagar antes sin penalidad? ¿Reduce la cuota o el plazo?</t>
        </is>
      </c>
      <c r="B6" s="12" t="inlineStr">
        <is>
          <t>No</t>
        </is>
      </c>
    </row>
    <row r="7">
      <c r="A7" s="11" t="inlineStr">
        <is>
          <t>¿Qué pasa si me atraso un mes? ¿Cuál es la tasa de mora y desde cuándo se cobra?</t>
        </is>
      </c>
      <c r="B7" s="12" t="inlineStr">
        <is>
          <t>No</t>
        </is>
      </c>
    </row>
    <row r="8">
      <c r="A8" s="11" t="inlineStr">
        <is>
          <t>¿La cuota es fija o cambia (tasa variable, DTF, IBR)?</t>
        </is>
      </c>
      <c r="B8" s="12" t="inlineStr">
        <is>
          <t>No</t>
        </is>
      </c>
    </row>
    <row r="9">
      <c r="A9" s="11" t="inlineStr">
        <is>
          <t>¿Qué reporta la entidad a las centrales de riesgo y cuándo?</t>
        </is>
      </c>
      <c r="B9" s="12" t="inlineStr">
        <is>
          <t>No</t>
        </is>
      </c>
    </row>
    <row r="10">
      <c r="A10" s="11" t="inlineStr">
        <is>
          <t>¿Qué pasa si pierdo el empleo? ¿Hay periodos de gracia o reestructuración?</t>
        </is>
      </c>
      <c r="B10" s="12" t="inlineStr">
        <is>
          <t>No</t>
        </is>
      </c>
    </row>
    <row r="11">
      <c r="A11" s="11" t="inlineStr">
        <is>
          <t>¿La cuota total cabe en mi presupuesto sin tocar lo esencial?</t>
        </is>
      </c>
      <c r="B11" s="12" t="inlineStr">
        <is>
          <t>No</t>
        </is>
      </c>
    </row>
    <row r="13">
      <c r="A13" t="inlineStr">
        <is>
          <t>Preguntas resueltas</t>
        </is>
      </c>
      <c r="B13">
        <f>COUNTIF(B3:B11,"Sí")&amp;" de "&amp;COUNTA(A3:A11)</f>
        <v/>
      </c>
    </row>
  </sheetData>
  <dataValidations count="1">
    <dataValidation sqref="B3:B11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2026-10-10T13:16:16Z</dcterms:created>
  <dcterms:modified xmlns:dcterms="http://purl.org/dc/terms/" xmlns:xsi="http://www.w3.org/2001/XMLSchema-instance" xsi:type="dcterms:W3CDTF">2026-10-10T13:16:16Z</dcterms:modified>
</cp:coreProperties>
</file>