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Articulos" sheetId="3" state="visible" r:id="rId3"/>
    <sheet xmlns:r="http://schemas.openxmlformats.org/officeDocument/2006/relationships" name="Pregu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>
      <c r="A1" s="1" t="inlineStr">
        <is>
          <t>RESUMEN</t>
        </is>
      </c>
    </row>
    <row r="3">
      <c r="A3" t="inlineStr">
        <is>
          <t>Artículos en la base</t>
        </is>
      </c>
      <c r="B3">
        <f>COUNTA(Articulos!A2:A13)</f>
        <v/>
      </c>
    </row>
    <row r="4">
      <c r="A4" t="inlineStr">
        <is>
          <t>Vigentes</t>
        </is>
      </c>
      <c r="B4">
        <f>COUNTIF(Articulos!I2:I13,"Vigente")</f>
        <v/>
      </c>
    </row>
    <row r="5">
      <c r="A5" t="inlineStr">
        <is>
          <t>Por vencer (30 días)</t>
        </is>
      </c>
      <c r="B5">
        <f>COUNTIF(Articulos!I2:I13,"Por vencer")</f>
        <v/>
      </c>
    </row>
    <row r="6">
      <c r="A6" t="inlineStr">
        <is>
          <t>Vencidos</t>
        </is>
      </c>
      <c r="B6">
        <f>COUNTIF(Articulos!I2:I13,"Vencido")</f>
        <v/>
      </c>
    </row>
    <row r="7">
      <c r="A7" t="inlineStr">
        <is>
          <t>Sin responsable</t>
        </is>
      </c>
      <c r="B7">
        <f>COUNTIF(Articulos!I2:I13,"Sin responsable")</f>
        <v/>
      </c>
    </row>
    <row r="8">
      <c r="A8" t="inlineStr">
        <is>
          <t>Tickets de las preguntas frecuentes</t>
        </is>
      </c>
      <c r="B8">
        <f>SUM(Preguntas!C2:C11)</f>
        <v/>
      </c>
    </row>
    <row r="9">
      <c r="A9" t="inlineStr">
        <is>
          <t>Tickets sin artículo</t>
        </is>
      </c>
      <c r="B9">
        <f>SUMIF(Preguntas!E2:E11,"Sin artículo",Preguntas!C2:C11)</f>
        <v/>
      </c>
    </row>
    <row r="10">
      <c r="A10" t="inlineStr">
        <is>
          <t>Tickets con artículo vencido o sin responsable</t>
        </is>
      </c>
      <c r="B10">
        <f>SUMIF(Preguntas!E2:E11,"Vencido",Preguntas!C2:C11)+SUMIF(Preguntas!E2:E11,"Sin responsable",Preguntas!C2:C11)</f>
        <v/>
      </c>
    </row>
    <row r="11">
      <c r="A11" t="inlineStr">
        <is>
          <t>Tickets con respuesta vigente o por vencer</t>
        </is>
      </c>
      <c r="B11">
        <f>B8-B9-B10</f>
        <v/>
      </c>
    </row>
    <row r="12">
      <c r="A12" t="inlineStr">
        <is>
          <t>% de tickets sin respuesta confiable</t>
        </is>
      </c>
      <c r="B12" s="2">
        <f>(B9+B10)/B8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</cols>
  <sheetData>
    <row r="1">
      <c r="A1" s="1" t="inlineStr">
        <is>
          <t>PARÁMETROS (editables; datos ficticios)</t>
        </is>
      </c>
    </row>
    <row r="3">
      <c r="A3" t="inlineStr">
        <is>
          <t>Fecha de revisión (escribe la fecha de hoy; no se usa HOY() para que el resultado sea reproducible)</t>
        </is>
      </c>
      <c r="B3" s="3" t="n">
        <v>46419</v>
      </c>
    </row>
    <row r="4">
      <c r="A4" t="inlineStr">
        <is>
          <t>Días de anticipación para marcar "Por vencer"</t>
        </is>
      </c>
      <c r="B4" s="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34" customHeight="1">
      <c r="A1" s="5" t="inlineStr">
        <is>
          <t>ID</t>
        </is>
      </c>
      <c r="B1" s="5" t="inlineStr">
        <is>
          <t>Título del artículo</t>
        </is>
      </c>
      <c r="C1" s="5" t="inlineStr">
        <is>
          <t>Categoría</t>
        </is>
      </c>
      <c r="D1" s="5" t="inlineStr">
        <is>
          <t>Responsable</t>
        </is>
      </c>
      <c r="E1" s="5" t="inlineStr">
        <is>
          <t>Última revisión</t>
        </is>
      </c>
      <c r="F1" s="5" t="inlineStr">
        <is>
          <t>Revisar cada (días)</t>
        </is>
      </c>
      <c r="G1" s="5" t="inlineStr">
        <is>
          <t>Próxima revisión</t>
        </is>
      </c>
      <c r="H1" s="5" t="inlineStr">
        <is>
          <t>Días para vencer</t>
        </is>
      </c>
      <c r="I1" s="5" t="inlineStr">
        <is>
          <t>Estado</t>
        </is>
      </c>
    </row>
    <row r="2">
      <c r="A2" s="4" t="inlineStr">
        <is>
          <t>K01</t>
        </is>
      </c>
      <c r="B2" s="4" t="inlineStr">
        <is>
          <t>Restablecer la contraseña de la plataforma</t>
        </is>
      </c>
      <c r="C2" s="4" t="inlineStr">
        <is>
          <t>Cuentas</t>
        </is>
      </c>
      <c r="D2" s="4" t="inlineStr">
        <is>
          <t>Soporte</t>
        </is>
      </c>
      <c r="E2" s="3" t="n">
        <v>46336</v>
      </c>
      <c r="F2" s="4" t="n">
        <v>180</v>
      </c>
      <c r="G2" s="6">
        <f>E2+F2</f>
        <v/>
      </c>
      <c r="H2">
        <f>G2-Parametros!$B$3</f>
        <v/>
      </c>
      <c r="I2">
        <f>IF(D2="","Sin responsable",IF(H2&lt;0,"Vencido",IF(H2&lt;=Parametros!$B$4,"Por vencer","Vigente")))</f>
        <v/>
      </c>
    </row>
    <row r="3">
      <c r="A3" s="4" t="inlineStr">
        <is>
          <t>K02</t>
        </is>
      </c>
      <c r="B3" s="4" t="inlineStr">
        <is>
          <t>Conectarse al Wi-Fi institucional</t>
        </is>
      </c>
      <c r="C3" s="4" t="inlineStr">
        <is>
          <t>Red</t>
        </is>
      </c>
      <c r="D3" s="4" t="inlineStr">
        <is>
          <t>Soporte</t>
        </is>
      </c>
      <c r="E3" s="3" t="n">
        <v>46083</v>
      </c>
      <c r="F3" s="4" t="n">
        <v>180</v>
      </c>
      <c r="G3" s="6">
        <f>E3+F3</f>
        <v/>
      </c>
      <c r="H3">
        <f>G3-Parametros!$B$3</f>
        <v/>
      </c>
      <c r="I3">
        <f>IF(D3="","Sin responsable",IF(H3&lt;0,"Vencido",IF(H3&lt;=Parametros!$B$4,"Por vencer","Vigente")))</f>
        <v/>
      </c>
    </row>
    <row r="4">
      <c r="A4" s="4" t="inlineStr">
        <is>
          <t>K03</t>
        </is>
      </c>
      <c r="B4" s="4" t="inlineStr">
        <is>
          <t>Subir las notas al sistema</t>
        </is>
      </c>
      <c r="C4" s="4" t="inlineStr">
        <is>
          <t>Académico</t>
        </is>
      </c>
      <c r="D4" s="4" t="inlineStr">
        <is>
          <t>Coordinación</t>
        </is>
      </c>
      <c r="E4" s="3" t="n">
        <v>46371</v>
      </c>
      <c r="F4" s="4" t="n">
        <v>90</v>
      </c>
      <c r="G4" s="6">
        <f>E4+F4</f>
        <v/>
      </c>
      <c r="H4">
        <f>G4-Parametros!$B$3</f>
        <v/>
      </c>
      <c r="I4">
        <f>IF(D4="","Sin responsable",IF(H4&lt;0,"Vencido",IF(H4&lt;=Parametros!$B$4,"Por vencer","Vigente")))</f>
        <v/>
      </c>
    </row>
    <row r="5">
      <c r="A5" s="4" t="inlineStr">
        <is>
          <t>K04</t>
        </is>
      </c>
      <c r="B5" s="4" t="inlineStr">
        <is>
          <t>Crear un aula virtual</t>
        </is>
      </c>
      <c r="C5" s="4" t="inlineStr">
        <is>
          <t>Plataforma</t>
        </is>
      </c>
      <c r="D5" s="4" t="n"/>
      <c r="E5" s="3" t="n">
        <v>46174</v>
      </c>
      <c r="F5" s="4" t="n">
        <v>180</v>
      </c>
      <c r="G5" s="6">
        <f>E5+F5</f>
        <v/>
      </c>
      <c r="H5">
        <f>G5-Parametros!$B$3</f>
        <v/>
      </c>
      <c r="I5">
        <f>IF(D5="","Sin responsable",IF(H5&lt;0,"Vencido",IF(H5&lt;=Parametros!$B$4,"Por vencer","Vigente")))</f>
        <v/>
      </c>
    </row>
    <row r="6">
      <c r="A6" s="4" t="inlineStr">
        <is>
          <t>K05</t>
        </is>
      </c>
      <c r="B6" s="4" t="inlineStr">
        <is>
          <t>Imprimir desde la sala de profesores</t>
        </is>
      </c>
      <c r="C6" s="4" t="inlineStr">
        <is>
          <t>Equipos</t>
        </is>
      </c>
      <c r="D6" s="4" t="inlineStr">
        <is>
          <t>Soporte</t>
        </is>
      </c>
      <c r="E6" s="3" t="n">
        <v>46285</v>
      </c>
      <c r="F6" s="4" t="n">
        <v>120</v>
      </c>
      <c r="G6" s="6">
        <f>E6+F6</f>
        <v/>
      </c>
      <c r="H6">
        <f>G6-Parametros!$B$3</f>
        <v/>
      </c>
      <c r="I6">
        <f>IF(D6="","Sin responsable",IF(H6&lt;0,"Vencido",IF(H6&lt;=Parametros!$B$4,"Por vencer","Vigente")))</f>
        <v/>
      </c>
    </row>
    <row r="7">
      <c r="A7" s="4" t="inlineStr">
        <is>
          <t>K06</t>
        </is>
      </c>
      <c r="B7" s="4" t="inlineStr">
        <is>
          <t>Solicitar un cambio de horario</t>
        </is>
      </c>
      <c r="C7" s="4" t="inlineStr">
        <is>
          <t>Académico</t>
        </is>
      </c>
      <c r="D7" s="4" t="inlineStr">
        <is>
          <t>Coordinación</t>
        </is>
      </c>
      <c r="E7" s="3" t="n">
        <v>46300</v>
      </c>
      <c r="F7" s="4" t="n">
        <v>180</v>
      </c>
      <c r="G7" s="6">
        <f>E7+F7</f>
        <v/>
      </c>
      <c r="H7">
        <f>G7-Parametros!$B$3</f>
        <v/>
      </c>
      <c r="I7">
        <f>IF(D7="","Sin responsable",IF(H7&lt;0,"Vencido",IF(H7&lt;=Parametros!$B$4,"Por vencer","Vigente")))</f>
        <v/>
      </c>
    </row>
    <row r="8">
      <c r="A8" s="4" t="inlineStr">
        <is>
          <t>K07</t>
        </is>
      </c>
      <c r="B8" s="4" t="inlineStr">
        <is>
          <t>Recuperar un correo eliminado</t>
        </is>
      </c>
      <c r="C8" s="4" t="inlineStr">
        <is>
          <t>Cuentas</t>
        </is>
      </c>
      <c r="D8" s="4" t="inlineStr">
        <is>
          <t>Soporte</t>
        </is>
      </c>
      <c r="E8" s="3" t="n">
        <v>46357</v>
      </c>
      <c r="F8" s="4" t="n">
        <v>180</v>
      </c>
      <c r="G8" s="6">
        <f>E8+F8</f>
        <v/>
      </c>
      <c r="H8">
        <f>G8-Parametros!$B$3</f>
        <v/>
      </c>
      <c r="I8">
        <f>IF(D8="","Sin responsable",IF(H8&lt;0,"Vencido",IF(H8&lt;=Parametros!$B$4,"Por vencer","Vigente")))</f>
        <v/>
      </c>
    </row>
    <row r="9">
      <c r="A9" s="4" t="inlineStr">
        <is>
          <t>K08</t>
        </is>
      </c>
      <c r="B9" s="4" t="inlineStr">
        <is>
          <t>Reservar la sala de sistemas</t>
        </is>
      </c>
      <c r="C9" s="4" t="inlineStr">
        <is>
          <t>Equipos</t>
        </is>
      </c>
      <c r="D9" s="4" t="inlineStr">
        <is>
          <t>Secretaría</t>
        </is>
      </c>
      <c r="E9" s="3" t="n">
        <v>46399</v>
      </c>
      <c r="F9" s="4" t="n">
        <v>60</v>
      </c>
      <c r="G9" s="6">
        <f>E9+F9</f>
        <v/>
      </c>
      <c r="H9">
        <f>G9-Parametros!$B$3</f>
        <v/>
      </c>
      <c r="I9">
        <f>IF(D9="","Sin responsable",IF(H9&lt;0,"Vencido",IF(H9&lt;=Parametros!$B$4,"Por vencer","Vigente")))</f>
        <v/>
      </c>
    </row>
    <row r="10">
      <c r="A10" s="4" t="inlineStr">
        <is>
          <t>K09</t>
        </is>
      </c>
      <c r="B10" s="4" t="inlineStr">
        <is>
          <t>Cargar evidencias en la plataforma</t>
        </is>
      </c>
      <c r="C10" s="4" t="inlineStr">
        <is>
          <t>Plataforma</t>
        </is>
      </c>
      <c r="D10" s="4" t="inlineStr">
        <is>
          <t>Coordinación</t>
        </is>
      </c>
      <c r="E10" s="3" t="n">
        <v>46346</v>
      </c>
      <c r="F10" s="4" t="n">
        <v>90</v>
      </c>
      <c r="G10" s="6">
        <f>E10+F10</f>
        <v/>
      </c>
      <c r="H10">
        <f>G10-Parametros!$B$3</f>
        <v/>
      </c>
      <c r="I10">
        <f>IF(D10="","Sin responsable",IF(H10&lt;0,"Vencido",IF(H10&lt;=Parametros!$B$4,"Por vencer","Vigente")))</f>
        <v/>
      </c>
    </row>
    <row r="11">
      <c r="A11" s="4" t="inlineStr">
        <is>
          <t>K10</t>
        </is>
      </c>
      <c r="B11" s="4" t="inlineStr">
        <is>
          <t>Pagar la pensión en línea</t>
        </is>
      </c>
      <c r="C11" s="4" t="inlineStr">
        <is>
          <t>Finanzas</t>
        </is>
      </c>
      <c r="D11" s="4" t="inlineStr">
        <is>
          <t>Tesorería</t>
        </is>
      </c>
      <c r="E11" s="3" t="n">
        <v>46244</v>
      </c>
      <c r="F11" s="4" t="n">
        <v>180</v>
      </c>
      <c r="G11" s="6">
        <f>E11+F11</f>
        <v/>
      </c>
      <c r="H11">
        <f>G11-Parametros!$B$3</f>
        <v/>
      </c>
      <c r="I11">
        <f>IF(D11="","Sin responsable",IF(H11&lt;0,"Vencido",IF(H11&lt;=Parametros!$B$4,"Por vencer","Vigente")))</f>
        <v/>
      </c>
    </row>
    <row r="12">
      <c r="A12" s="4" t="inlineStr">
        <is>
          <t>K11</t>
        </is>
      </c>
      <c r="B12" s="4" t="inlineStr">
        <is>
          <t>Configurar el proyector</t>
        </is>
      </c>
      <c r="C12" s="4" t="inlineStr">
        <is>
          <t>Equipos</t>
        </is>
      </c>
      <c r="D12" s="4" t="inlineStr">
        <is>
          <t>Soporte</t>
        </is>
      </c>
      <c r="E12" s="3" t="n">
        <v>45964</v>
      </c>
      <c r="F12" s="4" t="n">
        <v>365</v>
      </c>
      <c r="G12" s="6">
        <f>E12+F12</f>
        <v/>
      </c>
      <c r="H12">
        <f>G12-Parametros!$B$3</f>
        <v/>
      </c>
      <c r="I12">
        <f>IF(D12="","Sin responsable",IF(H12&lt;0,"Vencido",IF(H12&lt;=Parametros!$B$4,"Por vencer","Vigente")))</f>
        <v/>
      </c>
    </row>
    <row r="13">
      <c r="A13" s="4" t="inlineStr">
        <is>
          <t>K12</t>
        </is>
      </c>
      <c r="B13" s="4" t="inlineStr">
        <is>
          <t>Descargar el boletín</t>
        </is>
      </c>
      <c r="C13" s="4" t="inlineStr">
        <is>
          <t>Familias</t>
        </is>
      </c>
      <c r="D13" s="4" t="inlineStr">
        <is>
          <t>Secretaría</t>
        </is>
      </c>
      <c r="E13" s="3" t="n">
        <v>46366</v>
      </c>
      <c r="F13" s="4" t="n">
        <v>90</v>
      </c>
      <c r="G13" s="6">
        <f>E13+F13</f>
        <v/>
      </c>
      <c r="H13">
        <f>G13-Parametros!$B$3</f>
        <v/>
      </c>
      <c r="I13">
        <f>IF(D13="","Sin responsable",IF(H13&lt;0,"Vencido",IF(H13&lt;=Parametros!$B$4,"Por vencer","Vigente")))</f>
        <v/>
      </c>
    </row>
  </sheetData>
  <conditionalFormatting sqref="I2:I13">
    <cfRule type="expression" priority="1" dxfId="0">
      <formula>OR(I2="Vencido",I2="Sin responsable")</formula>
    </cfRule>
    <cfRule type="cellIs" priority="2" operator="equal" dxfId="1">
      <formula>"Por vencer"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18" customWidth="1" min="4" max="4"/>
    <col width="20" customWidth="1" min="5" max="5"/>
  </cols>
  <sheetData>
    <row r="1" ht="34" customHeight="1">
      <c r="A1" s="5" t="inlineStr">
        <is>
          <t>N.º</t>
        </is>
      </c>
      <c r="B1" s="5" t="inlineStr">
        <is>
          <t>Pregunta frecuente a la mesa de ayuda</t>
        </is>
      </c>
      <c r="C1" s="5" t="inlineStr">
        <is>
          <t>Tickets en el trimestre</t>
        </is>
      </c>
      <c r="D1" s="5" t="inlineStr">
        <is>
          <t>ID del artículo que la responde</t>
        </is>
      </c>
      <c r="E1" s="5" t="inlineStr">
        <is>
          <t>Estado de la respuesta</t>
        </is>
      </c>
    </row>
    <row r="2">
      <c r="A2" t="n">
        <v>1</v>
      </c>
      <c r="B2" s="4" t="inlineStr">
        <is>
          <t>No puedo entrar a la plataforma (contraseña)</t>
        </is>
      </c>
      <c r="C2" s="4" t="n">
        <v>85</v>
      </c>
      <c r="D2" s="4" t="inlineStr">
        <is>
          <t>K01</t>
        </is>
      </c>
      <c r="E2">
        <f>IF(D2="","Sin artículo",VLOOKUP(D2,Articulos!$A$2:$I$13,9,FALSE))</f>
        <v/>
      </c>
    </row>
    <row r="3">
      <c r="A3" t="n">
        <v>2</v>
      </c>
      <c r="B3" s="4" t="inlineStr">
        <is>
          <t>No me conecta el Wi-Fi</t>
        </is>
      </c>
      <c r="C3" s="4" t="n">
        <v>64</v>
      </c>
      <c r="D3" s="4" t="inlineStr">
        <is>
          <t>K02</t>
        </is>
      </c>
      <c r="E3">
        <f>IF(D3="","Sin artículo",VLOOKUP(D3,Articulos!$A$2:$I$13,9,FALSE))</f>
        <v/>
      </c>
    </row>
    <row r="4">
      <c r="A4" t="n">
        <v>3</v>
      </c>
      <c r="B4" s="4" t="inlineStr">
        <is>
          <t>Cómo subo las notas</t>
        </is>
      </c>
      <c r="C4" s="4" t="n">
        <v>48</v>
      </c>
      <c r="D4" s="4" t="inlineStr">
        <is>
          <t>K03</t>
        </is>
      </c>
      <c r="E4">
        <f>IF(D4="","Sin artículo",VLOOKUP(D4,Articulos!$A$2:$I$13,9,FALSE))</f>
        <v/>
      </c>
    </row>
    <row r="5">
      <c r="A5" t="n">
        <v>4</v>
      </c>
      <c r="B5" s="4" t="inlineStr">
        <is>
          <t>Cómo creo mi aula virtual</t>
        </is>
      </c>
      <c r="C5" s="4" t="n">
        <v>41</v>
      </c>
      <c r="D5" s="4" t="inlineStr">
        <is>
          <t>K04</t>
        </is>
      </c>
      <c r="E5">
        <f>IF(D5="","Sin artículo",VLOOKUP(D5,Articulos!$A$2:$I$13,9,FALSE))</f>
        <v/>
      </c>
    </row>
    <row r="6">
      <c r="A6" t="n">
        <v>5</v>
      </c>
      <c r="B6" s="4" t="inlineStr">
        <is>
          <t>La impresora no imprime</t>
        </is>
      </c>
      <c r="C6" s="4" t="n">
        <v>33</v>
      </c>
      <c r="D6" s="4" t="inlineStr">
        <is>
          <t>K05</t>
        </is>
      </c>
      <c r="E6">
        <f>IF(D6="","Sin artículo",VLOOKUP(D6,Articulos!$A$2:$I$13,9,FALSE))</f>
        <v/>
      </c>
    </row>
    <row r="7">
      <c r="A7" t="n">
        <v>6</v>
      </c>
      <c r="B7" s="4" t="inlineStr">
        <is>
          <t>Cómo pago la pensión</t>
        </is>
      </c>
      <c r="C7" s="4" t="n">
        <v>29</v>
      </c>
      <c r="D7" s="4" t="inlineStr">
        <is>
          <t>K10</t>
        </is>
      </c>
      <c r="E7">
        <f>IF(D7="","Sin artículo",VLOOKUP(D7,Articulos!$A$2:$I$13,9,FALSE))</f>
        <v/>
      </c>
    </row>
    <row r="8">
      <c r="A8" t="n">
        <v>7</v>
      </c>
      <c r="B8" s="4" t="inlineStr">
        <is>
          <t>Dónde está el boletín</t>
        </is>
      </c>
      <c r="C8" s="4" t="n">
        <v>27</v>
      </c>
      <c r="D8" s="4" t="inlineStr">
        <is>
          <t>K12</t>
        </is>
      </c>
      <c r="E8">
        <f>IF(D8="","Sin artículo",VLOOKUP(D8,Articulos!$A$2:$I$13,9,FALSE))</f>
        <v/>
      </c>
    </row>
    <row r="9">
      <c r="A9" t="n">
        <v>8</v>
      </c>
      <c r="B9" s="4" t="inlineStr">
        <is>
          <t>Necesito acceso al sistema de asistencia</t>
        </is>
      </c>
      <c r="C9" s="4" t="n">
        <v>24</v>
      </c>
      <c r="D9" s="4" t="n"/>
      <c r="E9">
        <f>IF(D9="","Sin artículo",VLOOKUP(D9,Articulos!$A$2:$I$13,9,FALSE))</f>
        <v/>
      </c>
    </row>
    <row r="10">
      <c r="A10" t="n">
        <v>9</v>
      </c>
      <c r="B10" s="4" t="inlineStr">
        <is>
          <t>Cómo crear la cuenta de un nuevo docente</t>
        </is>
      </c>
      <c r="C10" s="4" t="n">
        <v>19</v>
      </c>
      <c r="D10" s="4" t="n"/>
      <c r="E10">
        <f>IF(D10="","Sin artículo",VLOOKUP(D10,Articulos!$A$2:$I$13,9,FALSE))</f>
        <v/>
      </c>
    </row>
    <row r="11">
      <c r="A11" t="n">
        <v>10</v>
      </c>
      <c r="B11" s="4" t="inlineStr">
        <is>
          <t>Se me borró un correo</t>
        </is>
      </c>
      <c r="C11" s="4" t="n">
        <v>12</v>
      </c>
      <c r="D11" s="4" t="inlineStr">
        <is>
          <t>K07</t>
        </is>
      </c>
      <c r="E11">
        <f>IF(D11="","Sin artículo",VLOOKUP(D11,Articulos!$A$2:$I$13,9,FALSE))</f>
        <v/>
      </c>
    </row>
  </sheetData>
  <conditionalFormatting sqref="E2:E11">
    <cfRule type="expression" priority="1" dxfId="0">
      <formula>OR(E2="Vencido",E2="Sin responsable",E2="Sin artículo")</formula>
    </cfRule>
    <cfRule type="cellIs" priority="2" operator="equal" dxfId="1">
      <formula>"Por vencer"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2026-10-10T18:05:19Z</dcterms:created>
  <dcterms:modified xmlns:dcterms="http://purl.org/dc/terms/" xmlns:xsi="http://www.w3.org/2001/XMLSchema-instance" xsi:type="dcterms:W3CDTF">2026-10-10T18:05:19Z</dcterms:modified>
</cp:coreProperties>
</file>