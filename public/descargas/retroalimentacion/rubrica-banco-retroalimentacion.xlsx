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  <sheet xmlns:r="http://schemas.openxmlformats.org/officeDocument/2006/relationships" name="Banco_de_ejemplos" sheetId="2" state="visible" r:id="rId2"/>
    <sheet xmlns:r="http://schemas.openxmlformats.org/officeDocument/2006/relationships" name="Mis_coment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30" customWidth="1" min="4" max="4"/>
    <col width="30" customWidth="1" min="5" max="5"/>
    <col width="32" customWidth="1" min="6" max="6"/>
    <col width="34" customWidth="1" min="7" max="7"/>
    <col width="10" customWidth="1" min="8" max="8"/>
    <col width="10" customWidth="1" min="9" max="9"/>
  </cols>
  <sheetData>
    <row r="1">
      <c r="A1" s="1" t="inlineStr">
        <is>
          <t>RÚBRICA DE CALIDAD DE UN COMENTARIO DE RETROALIMENTACIÓN (puntúa de 1 a 4; sirve para autoevaluarte o para evaluar entre colegas)</t>
        </is>
      </c>
    </row>
    <row r="2">
      <c r="A2" t="inlineStr">
        <is>
          <t>Comentario que evalúas:</t>
        </is>
      </c>
      <c r="C2" s="2" t="n"/>
    </row>
    <row r="4" ht="30" customHeight="1">
      <c r="A4" s="3" t="inlineStr">
        <is>
          <t>#</t>
        </is>
      </c>
      <c r="B4" s="3" t="inlineStr">
        <is>
          <t>Criterio</t>
        </is>
      </c>
      <c r="C4" s="3" t="inlineStr">
        <is>
          <t>Peso</t>
        </is>
      </c>
      <c r="D4" s="3" t="inlineStr">
        <is>
          <t>1 · Inicial</t>
        </is>
      </c>
      <c r="E4" s="3" t="inlineStr">
        <is>
          <t>2 · En desarrollo</t>
        </is>
      </c>
      <c r="F4" s="3" t="inlineStr">
        <is>
          <t>3 · Logrado</t>
        </is>
      </c>
      <c r="G4" s="3" t="inlineStr">
        <is>
          <t>4 · Destacado</t>
        </is>
      </c>
      <c r="H4" s="3" t="inlineStr">
        <is>
          <t>Nivel (1-4)</t>
        </is>
      </c>
      <c r="I4" s="3" t="inlineStr">
        <is>
          <t>Puntos</t>
        </is>
      </c>
    </row>
    <row r="5">
      <c r="A5" t="n">
        <v>1</v>
      </c>
      <c r="B5" s="4" t="inlineStr">
        <is>
          <t>Se centra en la tarea y el proceso, no en la persona</t>
        </is>
      </c>
      <c r="C5" s="2" t="n">
        <v>20</v>
      </c>
      <c r="D5" s="4" t="inlineStr">
        <is>
          <t>Elogia o critica a la persona («eres…»)</t>
        </is>
      </c>
      <c r="E5" s="4" t="inlineStr">
        <is>
          <t>Mezcla tarea y persona</t>
        </is>
      </c>
      <c r="F5" s="4" t="inlineStr">
        <is>
          <t>Habla del trabajo y de cómo se hizo</t>
        </is>
      </c>
      <c r="G5" s="4" t="inlineStr">
        <is>
          <t>Conecta el trabajo con la estrategia usada</t>
        </is>
      </c>
      <c r="H5" s="2" t="n">
        <v>3</v>
      </c>
      <c r="I5" s="5">
        <f>C5*H5/4</f>
        <v/>
      </c>
    </row>
    <row r="6">
      <c r="A6" t="n">
        <v>2</v>
      </c>
      <c r="B6" s="4" t="inlineStr">
        <is>
          <t>Es específico</t>
        </is>
      </c>
      <c r="C6" s="2" t="n">
        <v>20</v>
      </c>
      <c r="D6" s="4" t="inlineStr">
        <is>
          <t>General («bien», «mal», «mejora»)</t>
        </is>
      </c>
      <c r="E6" s="4" t="inlineStr">
        <is>
          <t>Señala el área pero no el punto</t>
        </is>
      </c>
      <c r="F6" s="4" t="inlineStr">
        <is>
          <t>Señala el punto concreto con un ejemplo</t>
        </is>
      </c>
      <c r="G6" s="4" t="inlineStr">
        <is>
          <t>Señala el punto, el porqué y un ejemplo</t>
        </is>
      </c>
      <c r="H6" s="2" t="n">
        <v>3</v>
      </c>
      <c r="I6" s="5">
        <f>C6*H6/4</f>
        <v/>
      </c>
    </row>
    <row r="7">
      <c r="A7" t="n">
        <v>3</v>
      </c>
      <c r="B7" s="4" t="inlineStr">
        <is>
          <t>Dice cómo mejorar (siguiente paso)</t>
        </is>
      </c>
      <c r="C7" s="2" t="n">
        <v>25</v>
      </c>
      <c r="D7" s="4" t="inlineStr">
        <is>
          <t>No hay siguiente paso</t>
        </is>
      </c>
      <c r="E7" s="4" t="inlineStr">
        <is>
          <t>Sugerencia vaga</t>
        </is>
      </c>
      <c r="F7" s="4" t="inlineStr">
        <is>
          <t>Un siguiente paso claro y posible</t>
        </is>
      </c>
      <c r="G7" s="4" t="inlineStr">
        <is>
          <t>Un paso claro y una forma de comprobar que se logró</t>
        </is>
      </c>
      <c r="H7" s="2" t="n">
        <v>3</v>
      </c>
      <c r="I7" s="5">
        <f>C7*H7/4</f>
        <v/>
      </c>
    </row>
    <row r="8">
      <c r="A8" t="n">
        <v>4</v>
      </c>
      <c r="B8" s="4" t="inlineStr">
        <is>
          <t>Llega a tiempo y se puede usar</t>
        </is>
      </c>
      <c r="C8" s="2" t="n">
        <v>15</v>
      </c>
      <c r="D8" s="4" t="inlineStr">
        <is>
          <t>Llega cuando ya no se puede actuar</t>
        </is>
      </c>
      <c r="E8" s="4" t="inlineStr">
        <is>
          <t>Llega tarde para la siguiente tarea</t>
        </is>
      </c>
      <c r="F8" s="4" t="inlineStr">
        <is>
          <t>Llega con tiempo para usarla</t>
        </is>
      </c>
      <c r="G8" s="4" t="inlineStr">
        <is>
          <t>Llega a tiempo y hay un momento para actuar sobre ella</t>
        </is>
      </c>
      <c r="H8" s="2" t="n">
        <v>3</v>
      </c>
      <c r="I8" s="5">
        <f>C8*H8/4</f>
        <v/>
      </c>
    </row>
    <row r="9">
      <c r="A9" t="n">
        <v>5</v>
      </c>
      <c r="B9" s="4" t="inlineStr">
        <is>
          <t>Cuida la dignidad y la motivación</t>
        </is>
      </c>
      <c r="C9" s="2" t="n">
        <v>10</v>
      </c>
      <c r="D9" s="4" t="inlineStr">
        <is>
          <t>Humilla o desanima</t>
        </is>
      </c>
      <c r="E9" s="4" t="inlineStr">
        <is>
          <t>Neutro o seco</t>
        </is>
      </c>
      <c r="F9" s="4" t="inlineStr">
        <is>
          <t>Respetuoso y claro</t>
        </is>
      </c>
      <c r="G9" s="4" t="inlineStr">
        <is>
          <t>Respetuoso, claro y reconoce lo logrado</t>
        </is>
      </c>
      <c r="H9" s="2" t="n">
        <v>3</v>
      </c>
      <c r="I9" s="5">
        <f>C9*H9/4</f>
        <v/>
      </c>
    </row>
    <row r="10">
      <c r="A10" t="n">
        <v>6</v>
      </c>
      <c r="B10" s="4" t="inlineStr">
        <is>
          <t>Invita a reflexionar y a autorregularse</t>
        </is>
      </c>
      <c r="C10" s="2" t="n">
        <v>10</v>
      </c>
      <c r="D10" s="4" t="inlineStr">
        <is>
          <t>No pide nada al estudiante</t>
        </is>
      </c>
      <c r="E10" s="4" t="inlineStr">
        <is>
          <t>Pide corregir sin pensar</t>
        </is>
      </c>
      <c r="F10" s="4" t="inlineStr">
        <is>
          <t>Pide reflexionar sobre una parte</t>
        </is>
      </c>
      <c r="G10" s="4" t="inlineStr">
        <is>
          <t>Invita a comparar, explicar y planear su propio avance</t>
        </is>
      </c>
      <c r="H10" s="2" t="n">
        <v>3</v>
      </c>
      <c r="I10" s="5">
        <f>C10*H10/4</f>
        <v/>
      </c>
    </row>
    <row r="12">
      <c r="B12" t="inlineStr">
        <is>
          <t>Suma de pesos (debe ser 100)</t>
        </is>
      </c>
      <c r="C12">
        <f>SUM(C5:C10)</f>
        <v/>
      </c>
    </row>
    <row r="13">
      <c r="B13" s="6" t="inlineStr">
        <is>
          <t>Puntaje (0 a 100)</t>
        </is>
      </c>
      <c r="I13" s="5">
        <f>SUM(I5:I10)</f>
        <v/>
      </c>
    </row>
    <row r="14">
      <c r="B14" t="inlineStr">
        <is>
          <t>Lectura</t>
        </is>
      </c>
      <c r="I14">
        <f>IF(I13&gt;=85,"Retroalimentación potente",IF(I13&gt;=65,"Útil: mejora lo marcado en el nivel más bajo",IF(I13&gt;=40,"Débil: reescríbela con un siguiente paso","Poco útil: reescríbela desde cero")))</f>
        <v/>
      </c>
    </row>
    <row r="16">
      <c r="B16" t="inlineStr">
        <is>
          <t>Una retroalimentación excelente que llega cuando ya no se puede usar, o que el estudiante no tiene tiempo de aplicar, rinde poco: el criterio 4 importa tanto como el contenido.</t>
        </is>
      </c>
    </row>
  </sheetData>
  <dataValidations count="1">
    <dataValidation sqref="H5:H10" showDropDown="0" showInputMessage="0" showErrorMessage="1" allowBlank="0" error="Usa 1, 2, 3 o 4" type="whole" operator="between">
      <formula1>1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6" customWidth="1" min="3" max="3"/>
    <col width="16" customWidth="1" min="4" max="4"/>
    <col width="14" customWidth="1" min="5" max="5"/>
    <col width="78" customWidth="1" min="6" max="6"/>
  </cols>
  <sheetData>
    <row r="1">
      <c r="A1" s="1" t="inlineStr">
        <is>
          <t>BANCO DE EJEMPLOS: COMENTARIOS COMUNES Y CÓMO MEJORARLOS</t>
        </is>
      </c>
    </row>
    <row r="2">
      <c r="A2" t="inlineStr">
        <is>
          <t>Niveles según Hattie y Timperley (2007): Tarea, Proceso, Autorregulación y Persona (el comentario sobre la persona, no sobre el trabajo).</t>
        </is>
      </c>
    </row>
    <row r="4">
      <c r="A4" s="7" t="inlineStr">
        <is>
          <t>#</t>
        </is>
      </c>
      <c r="B4" s="7" t="inlineStr">
        <is>
          <t>Área</t>
        </is>
      </c>
      <c r="C4" s="7" t="inlineStr">
        <is>
          <t>Comentario original</t>
        </is>
      </c>
      <c r="D4" s="7" t="inlineStr">
        <is>
          <t>Nivel</t>
        </is>
      </c>
      <c r="E4" s="7" t="inlineStr">
        <is>
          <t>¿Ayuda a mejorar?</t>
        </is>
      </c>
      <c r="F4" s="7" t="inlineStr">
        <is>
          <t>Versión mejorada</t>
        </is>
      </c>
    </row>
    <row r="5">
      <c r="A5" t="n">
        <v>1</v>
      </c>
      <c r="B5" s="4" t="inlineStr">
        <is>
          <t>Matemáticas</t>
        </is>
      </c>
      <c r="C5" s="4" t="inlineStr">
        <is>
          <t>Muy bien, eres muy inteligente.</t>
        </is>
      </c>
      <c r="D5" s="4" t="inlineStr">
        <is>
          <t>Persona</t>
        </is>
      </c>
      <c r="E5" s="4" t="inlineStr">
        <is>
          <t>No</t>
        </is>
      </c>
      <c r="F5" s="4" t="inlineStr">
        <is>
          <t>Resolviste bien los pasos 1 y 2; en el paso 3 sumaste los numeradores sin hallar el denominador común. Revisa el paso 3 y vuelve a intentarlo.</t>
        </is>
      </c>
    </row>
    <row r="6">
      <c r="A6" t="n">
        <v>2</v>
      </c>
      <c r="B6" s="4" t="inlineStr">
        <is>
          <t>Matemáticas</t>
        </is>
      </c>
      <c r="C6" s="4" t="inlineStr">
        <is>
          <t>Mal.</t>
        </is>
      </c>
      <c r="D6" s="4" t="inlineStr">
        <is>
          <t>Tarea</t>
        </is>
      </c>
      <c r="E6" s="4" t="inlineStr">
        <is>
          <t>No</t>
        </is>
      </c>
      <c r="F6" s="4" t="inlineStr">
        <is>
          <t>El resultado 17 no es correcto: revisa el signo en la segunda línea.</t>
        </is>
      </c>
    </row>
    <row r="7">
      <c r="A7" t="n">
        <v>3</v>
      </c>
      <c r="B7" s="4" t="inlineStr">
        <is>
          <t>Matemáticas</t>
        </is>
      </c>
      <c r="C7" s="4" t="inlineStr">
        <is>
          <t>Revisa la segunda línea: el signo cambia al pasar al otro lado de la igualdad.</t>
        </is>
      </c>
      <c r="D7" s="4" t="inlineStr">
        <is>
          <t>Tarea</t>
        </is>
      </c>
      <c r="E7" s="4" t="inlineStr">
        <is>
          <t>Sí</t>
        </is>
      </c>
      <c r="F7" s="4" t="inlineStr">
        <is>
          <t>(Ya funciona: es específico y dice cómo corregir.)</t>
        </is>
      </c>
    </row>
    <row r="8">
      <c r="A8" t="n">
        <v>4</v>
      </c>
      <c r="B8" s="4" t="inlineStr">
        <is>
          <t>Lenguaje</t>
        </is>
      </c>
      <c r="C8" s="4" t="inlineStr">
        <is>
          <t>Tu texto es confuso.</t>
        </is>
      </c>
      <c r="D8" s="4" t="inlineStr">
        <is>
          <t>Tarea</t>
        </is>
      </c>
      <c r="E8" s="4" t="inlineStr">
        <is>
          <t>Parcial</t>
        </is>
      </c>
      <c r="F8" s="4" t="inlineStr">
        <is>
          <t>Cada párrafo mezcla dos ideas: intenta una idea por párrafo y escribe la idea principal en la primera frase.</t>
        </is>
      </c>
    </row>
    <row r="9">
      <c r="A9" t="n">
        <v>5</v>
      </c>
      <c r="B9" s="4" t="inlineStr">
        <is>
          <t>Lenguaje</t>
        </is>
      </c>
      <c r="C9" s="4" t="inlineStr">
        <is>
          <t>¡Qué esfuerzo! Se nota que te dedicaste.</t>
        </is>
      </c>
      <c r="D9" s="4" t="inlineStr">
        <is>
          <t>Persona</t>
        </is>
      </c>
      <c r="E9" s="4" t="inlineStr">
        <is>
          <t>Parcial</t>
        </is>
      </c>
      <c r="F9" s="4" t="inlineStr">
        <is>
          <t>Tu esfuerzo se nota en la cantidad de fuentes: ahora elige las dos más sólidas y explica por qué.</t>
        </is>
      </c>
    </row>
    <row r="10">
      <c r="A10" t="n">
        <v>6</v>
      </c>
      <c r="B10" s="4" t="inlineStr">
        <is>
          <t>Ciencias</t>
        </is>
      </c>
      <c r="C10" s="4" t="inlineStr">
        <is>
          <t>Tu conclusión no se apoya en tus datos.</t>
        </is>
      </c>
      <c r="D10" s="4" t="inlineStr">
        <is>
          <t>Tarea</t>
        </is>
      </c>
      <c r="E10" s="4" t="inlineStr">
        <is>
          <t>Parcial</t>
        </is>
      </c>
      <c r="F10" s="4" t="inlineStr">
        <is>
          <t>Tus datos muestran que la planta con luz creció más: escribe una conclusión que cite esos números y pregúntate qué otra variable pudo influir.</t>
        </is>
      </c>
    </row>
    <row r="11">
      <c r="A11" t="n">
        <v>7</v>
      </c>
      <c r="B11" s="4" t="inlineStr">
        <is>
          <t>Ciencias</t>
        </is>
      </c>
      <c r="C11" s="4" t="inlineStr">
        <is>
          <t>Antes de concluir, compara tu resultado con el grupo control.</t>
        </is>
      </c>
      <c r="D11" s="4" t="inlineStr">
        <is>
          <t>Proceso</t>
        </is>
      </c>
      <c r="E11" s="4" t="inlineStr">
        <is>
          <t>Sí</t>
        </is>
      </c>
      <c r="F11" s="4" t="inlineStr">
        <is>
          <t>(Ya funciona: indica la estrategia que falta.)</t>
        </is>
      </c>
    </row>
    <row r="12">
      <c r="A12" t="n">
        <v>8</v>
      </c>
      <c r="B12" s="4" t="inlineStr">
        <is>
          <t>Sociales</t>
        </is>
      </c>
      <c r="C12" s="4" t="inlineStr">
        <is>
          <t>Buen trabajo.</t>
        </is>
      </c>
      <c r="D12" s="4" t="inlineStr">
        <is>
          <t>Persona</t>
        </is>
      </c>
      <c r="E12" s="4" t="inlineStr">
        <is>
          <t>No</t>
        </is>
      </c>
      <c r="F12" s="4" t="inlineStr">
        <is>
          <t>Tu línea de tiempo ordena bien los hechos: añade la causa de cada uno para pasar de describir a explicar.</t>
        </is>
      </c>
    </row>
    <row r="13">
      <c r="A13" t="n">
        <v>9</v>
      </c>
      <c r="B13" s="4" t="inlineStr">
        <is>
          <t>General</t>
        </is>
      </c>
      <c r="C13" s="4" t="inlineStr">
        <is>
          <t>Antes de entregar, revisa cada criterio de la rúbrica y marca dónde crees que estás.</t>
        </is>
      </c>
      <c r="D13" s="4" t="inlineStr">
        <is>
          <t>Autorregulación</t>
        </is>
      </c>
      <c r="E13" s="4" t="inlineStr">
        <is>
          <t>Sí</t>
        </is>
      </c>
      <c r="F13" s="4" t="inlineStr">
        <is>
          <t>(Ya funciona: enseña a revisar el propio trabajo.)</t>
        </is>
      </c>
    </row>
    <row r="14">
      <c r="A14" t="n">
        <v>10</v>
      </c>
      <c r="B14" s="4" t="inlineStr">
        <is>
          <t>General</t>
        </is>
      </c>
      <c r="C14" s="4" t="inlineStr">
        <is>
          <t>Eres muy desordenado.</t>
        </is>
      </c>
      <c r="D14" s="4" t="inlineStr">
        <is>
          <t>Persona</t>
        </is>
      </c>
      <c r="E14" s="4" t="inlineStr">
        <is>
          <t>No</t>
        </is>
      </c>
      <c r="F14" s="4" t="inlineStr">
        <is>
          <t>Tu hoja no separa los pasos: usa una línea por paso y numéralos.</t>
        </is>
      </c>
    </row>
    <row r="15">
      <c r="A15" t="n">
        <v>11</v>
      </c>
      <c r="B15" s="4" t="inlineStr">
        <is>
          <t>Matemáticas</t>
        </is>
      </c>
      <c r="C15" s="4" t="inlineStr">
        <is>
          <t>Correcto.</t>
        </is>
      </c>
      <c r="D15" s="4" t="inlineStr">
        <is>
          <t>Tarea</t>
        </is>
      </c>
      <c r="E15" s="4" t="inlineStr">
        <is>
          <t>Parcial</t>
        </is>
      </c>
      <c r="F15" s="4" t="inlineStr">
        <is>
          <t>Correcto. ¿Puedes explicar por qué este método funciona con cualquier fracción?</t>
        </is>
      </c>
    </row>
    <row r="16">
      <c r="A16" t="n">
        <v>12</v>
      </c>
      <c r="B16" s="4" t="inlineStr">
        <is>
          <t>Lenguaje</t>
        </is>
      </c>
      <c r="C16" s="4" t="inlineStr">
        <is>
          <t>Cuida la ortografía.</t>
        </is>
      </c>
      <c r="D16" s="4" t="inlineStr">
        <is>
          <t>Tarea</t>
        </is>
      </c>
      <c r="E16" s="4" t="inlineStr">
        <is>
          <t>Parcial</t>
        </is>
      </c>
      <c r="F16" s="4" t="inlineStr">
        <is>
          <t>Subrayé tres palabras con la tilde faltante: repasa la regla de las agudas y corrígelas.</t>
        </is>
      </c>
    </row>
    <row r="17">
      <c r="A17" t="n">
        <v>13</v>
      </c>
      <c r="B17" s="4" t="inlineStr">
        <is>
          <t>Inglés</t>
        </is>
      </c>
      <c r="C17" s="4" t="inlineStr">
        <is>
          <t>Usaste bien el pasado simple; ahora prueba conectores (however, because) para unir tus ideas.</t>
        </is>
      </c>
      <c r="D17" s="4" t="inlineStr">
        <is>
          <t>Proceso</t>
        </is>
      </c>
      <c r="E17" s="4" t="inlineStr">
        <is>
          <t>Sí</t>
        </is>
      </c>
      <c r="F17" s="4" t="inlineStr">
        <is>
          <t>(Ya funciona: reconoce lo logrado y da un paso.)</t>
        </is>
      </c>
    </row>
    <row r="18">
      <c r="A18" t="n">
        <v>14</v>
      </c>
      <c r="B18" s="4" t="inlineStr">
        <is>
          <t>Ciencias</t>
        </is>
      </c>
      <c r="C18" s="4" t="inlineStr">
        <is>
          <t>Esta vez no te esforzaste.</t>
        </is>
      </c>
      <c r="D18" s="4" t="inlineStr">
        <is>
          <t>Persona</t>
        </is>
      </c>
      <c r="E18" s="4" t="inlineStr">
        <is>
          <t>No</t>
        </is>
      </c>
      <c r="F18" s="4" t="inlineStr">
        <is>
          <t>Tu informe tiene la introducción pero no el método: complétalo para que otra persona pueda repetir el experimento.</t>
        </is>
      </c>
    </row>
    <row r="19">
      <c r="A19" t="n">
        <v>15</v>
      </c>
      <c r="B19" s="4" t="inlineStr">
        <is>
          <t>Matemáticas</t>
        </is>
      </c>
      <c r="C19" s="4" t="inlineStr">
        <is>
          <t>¿Qué estrategia usaste y por qué la elegiste? Compárala con la de tu compañero.</t>
        </is>
      </c>
      <c r="D19" s="4" t="inlineStr">
        <is>
          <t>Autorregulación</t>
        </is>
      </c>
      <c r="E19" s="4" t="inlineStr">
        <is>
          <t>Sí</t>
        </is>
      </c>
      <c r="F19" s="4" t="inlineStr">
        <is>
          <t>(Ya funciona: promueve la reflexión.)</t>
        </is>
      </c>
    </row>
    <row r="20">
      <c r="A20" t="n">
        <v>16</v>
      </c>
      <c r="B20" s="4" t="inlineStr">
        <is>
          <t>General</t>
        </is>
      </c>
      <c r="C20" s="4" t="inlineStr">
        <is>
          <t>Nota: 3,2.</t>
        </is>
      </c>
      <c r="D20" s="4" t="inlineStr">
        <is>
          <t>Tarea</t>
        </is>
      </c>
      <c r="E20" s="4" t="inlineStr">
        <is>
          <t>No</t>
        </is>
      </c>
      <c r="F20" s="4" t="inlineStr">
        <is>
          <t>3,2: cumpliste los criterios 1 y 2; para subir, trabaja el criterio 3 (conclusión) con un ejemplo y entrégalo de nuevo.</t>
        </is>
      </c>
    </row>
    <row r="21">
      <c r="A21" t="n">
        <v>17</v>
      </c>
      <c r="B21" s="4" t="inlineStr">
        <is>
          <t>Tecnología</t>
        </is>
      </c>
      <c r="C21" s="4" t="inlineStr">
        <is>
          <t>Tu código funciona, pero repites tres veces el mismo bloque; ¿cómo podrías usar una función?</t>
        </is>
      </c>
      <c r="D21" s="4" t="inlineStr">
        <is>
          <t>Proceso</t>
        </is>
      </c>
      <c r="E21" s="4" t="inlineStr">
        <is>
          <t>Sí</t>
        </is>
      </c>
      <c r="F21" s="4" t="inlineStr">
        <is>
          <t>(Ya funciona: pregunta que lleva al siguiente paso.)</t>
        </is>
      </c>
    </row>
    <row r="22">
      <c r="A22" t="n">
        <v>18</v>
      </c>
      <c r="B22" s="4" t="inlineStr">
        <is>
          <t>Educación física</t>
        </is>
      </c>
      <c r="C22" s="4" t="inlineStr">
        <is>
          <t>Mantén la espalda recta al levantar; practica frente al espejo y revisa tu postura antes de cada serie.</t>
        </is>
      </c>
      <c r="D22" s="4" t="inlineStr">
        <is>
          <t>Proceso</t>
        </is>
      </c>
      <c r="E22" s="4" t="inlineStr">
        <is>
          <t>Sí</t>
        </is>
      </c>
      <c r="F22" s="4" t="inlineStr">
        <is>
          <t>(Ya funciona: da la estrategia y cómo autoverificar.)</t>
        </is>
      </c>
    </row>
    <row r="23">
      <c r="A23" t="n">
        <v>19</v>
      </c>
      <c r="B23" s="4" t="inlineStr">
        <is>
          <t>General</t>
        </is>
      </c>
      <c r="C23" s="4" t="inlineStr">
        <is>
          <t>Siempre haces lo mismo.</t>
        </is>
      </c>
      <c r="D23" s="4" t="inlineStr">
        <is>
          <t>Persona</t>
        </is>
      </c>
      <c r="E23" s="4" t="inlineStr">
        <is>
          <t>No</t>
        </is>
      </c>
      <c r="F23" s="4" t="inlineStr">
        <is>
          <t>En las dos últimas entregas faltó la conclusión: añade una conclusión de dos frases.</t>
        </is>
      </c>
    </row>
    <row r="24">
      <c r="A24" t="n">
        <v>20</v>
      </c>
      <c r="B24" s="4" t="inlineStr">
        <is>
          <t>Arte</t>
        </is>
      </c>
      <c r="C24" s="4" t="inlineStr">
        <is>
          <t>Bonito.</t>
        </is>
      </c>
      <c r="D24" s="4" t="inlineStr">
        <is>
          <t>Persona</t>
        </is>
      </c>
      <c r="E24" s="4" t="inlineStr">
        <is>
          <t>No</t>
        </is>
      </c>
      <c r="F24" s="4" t="inlineStr">
        <is>
          <t>El contraste entre colores cálidos y fríos guía la mirada: prueba aplicarlo también al fondo.</t>
        </is>
      </c>
    </row>
    <row r="26">
      <c r="C26" t="inlineStr">
        <is>
          <t>Comentarios del banco</t>
        </is>
      </c>
      <c r="D26">
        <f>COUNTA(C5:C24)</f>
        <v/>
      </c>
    </row>
    <row r="27">
      <c r="C27" t="inlineStr">
        <is>
          <t>% que ayudan a mejorar (Sí)</t>
        </is>
      </c>
      <c r="D27" s="8">
        <f>COUNTIF(E5:E24,"Sí")/D26</f>
        <v/>
      </c>
    </row>
    <row r="28">
      <c r="C28" t="inlineStr">
        <is>
          <t>% centrados en la persona</t>
        </is>
      </c>
      <c r="D28" s="8">
        <f>COUNTIF(D5:D24,"Persona")/D26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22" customWidth="1" min="4" max="4"/>
    <col width="26" customWidth="1" min="5" max="5"/>
  </cols>
  <sheetData>
    <row r="1">
      <c r="A1" s="1" t="inlineStr">
        <is>
          <t>AUDITA TUS PROPIOS COMENTARIOS: pega 10 comentarios que escribiste y clasifícalos</t>
        </is>
      </c>
    </row>
    <row r="3" ht="40" customHeight="1">
      <c r="A3" s="3" t="inlineStr">
        <is>
          <t>#</t>
        </is>
      </c>
      <c r="B3" s="3" t="inlineStr">
        <is>
          <t>Mi comentario</t>
        </is>
      </c>
      <c r="C3" s="3" t="inlineStr">
        <is>
          <t>Nivel (Tarea, Proceso, Autorregulación, Persona)</t>
        </is>
      </c>
      <c r="D3" s="3" t="inlineStr">
        <is>
          <t>¿Dice cómo mejorar? (Sí/No)</t>
        </is>
      </c>
      <c r="E3" s="3" t="inlineStr">
        <is>
          <t>¿Llegó con tiempo para usarlo? (Sí/No)</t>
        </is>
      </c>
    </row>
    <row r="4">
      <c r="A4" t="n">
        <v>1</v>
      </c>
      <c r="B4" s="2" t="n"/>
      <c r="C4" s="2" t="n"/>
      <c r="D4" s="2" t="n"/>
      <c r="E4" s="2" t="n"/>
    </row>
    <row r="5">
      <c r="A5" t="n">
        <v>2</v>
      </c>
      <c r="B5" s="2" t="n"/>
      <c r="C5" s="2" t="n"/>
      <c r="D5" s="2" t="n"/>
      <c r="E5" s="2" t="n"/>
    </row>
    <row r="6">
      <c r="A6" t="n">
        <v>3</v>
      </c>
      <c r="B6" s="2" t="n"/>
      <c r="C6" s="2" t="n"/>
      <c r="D6" s="2" t="n"/>
      <c r="E6" s="2" t="n"/>
    </row>
    <row r="7">
      <c r="A7" t="n">
        <v>4</v>
      </c>
      <c r="B7" s="2" t="n"/>
      <c r="C7" s="2" t="n"/>
      <c r="D7" s="2" t="n"/>
      <c r="E7" s="2" t="n"/>
    </row>
    <row r="8">
      <c r="A8" t="n">
        <v>5</v>
      </c>
      <c r="B8" s="2" t="n"/>
      <c r="C8" s="2" t="n"/>
      <c r="D8" s="2" t="n"/>
      <c r="E8" s="2" t="n"/>
    </row>
    <row r="9">
      <c r="A9" t="n">
        <v>6</v>
      </c>
      <c r="B9" s="2" t="n"/>
      <c r="C9" s="2" t="n"/>
      <c r="D9" s="2" t="n"/>
      <c r="E9" s="2" t="n"/>
    </row>
    <row r="10">
      <c r="A10" t="n">
        <v>7</v>
      </c>
      <c r="B10" s="2" t="n"/>
      <c r="C10" s="2" t="n"/>
      <c r="D10" s="2" t="n"/>
      <c r="E10" s="2" t="n"/>
    </row>
    <row r="11">
      <c r="A11" t="n">
        <v>8</v>
      </c>
      <c r="B11" s="2" t="n"/>
      <c r="C11" s="2" t="n"/>
      <c r="D11" s="2" t="n"/>
      <c r="E11" s="2" t="n"/>
    </row>
    <row r="12">
      <c r="A12" t="n">
        <v>9</v>
      </c>
      <c r="B12" s="2" t="n"/>
      <c r="C12" s="2" t="n"/>
      <c r="D12" s="2" t="n"/>
      <c r="E12" s="2" t="n"/>
    </row>
    <row r="13">
      <c r="A13" t="n">
        <v>10</v>
      </c>
      <c r="B13" s="2" t="n"/>
      <c r="C13" s="2" t="n"/>
      <c r="D13" s="2" t="n"/>
      <c r="E13" s="2" t="n"/>
    </row>
    <row r="15">
      <c r="B15" t="inlineStr">
        <is>
          <t>Comentarios clasificados</t>
        </is>
      </c>
      <c r="C15">
        <f>COUNTA(C4:C13)</f>
        <v/>
      </c>
    </row>
    <row r="16">
      <c r="B16" t="inlineStr">
        <is>
          <t>% Tarea</t>
        </is>
      </c>
      <c r="C16" s="8">
        <f>IF($C$15=0,"",COUNTIF($C$4:$C$13,"Tarea")/$C$15)</f>
        <v/>
      </c>
    </row>
    <row r="17">
      <c r="B17" t="inlineStr">
        <is>
          <t>% Proceso</t>
        </is>
      </c>
      <c r="C17" s="8">
        <f>IF($C$15=0,"",COUNTIF($C$4:$C$13,"Proceso")/$C$15)</f>
        <v/>
      </c>
    </row>
    <row r="18">
      <c r="B18" t="inlineStr">
        <is>
          <t>% Autorregulación</t>
        </is>
      </c>
      <c r="C18" s="8">
        <f>IF($C$15=0,"",COUNTIF($C$4:$C$13,"Autorregulación")/$C$15)</f>
        <v/>
      </c>
    </row>
    <row r="19">
      <c r="B19" t="inlineStr">
        <is>
          <t>% Persona</t>
        </is>
      </c>
      <c r="C19" s="8">
        <f>IF($C$15=0,"",COUNTIF($C$4:$C$13,"Persona")/$C$15)</f>
        <v/>
      </c>
    </row>
    <row r="20">
      <c r="B20" t="inlineStr">
        <is>
          <t>% que dicen cómo mejorar</t>
        </is>
      </c>
      <c r="C20" s="8">
        <f>IF($C$15=0,"",COUNTIF(D4:D13,"Sí")/$C$15)</f>
        <v/>
      </c>
    </row>
    <row r="21">
      <c r="B21" t="inlineStr">
        <is>
          <t>% que llegaron con tiempo</t>
        </is>
      </c>
      <c r="C21" s="8">
        <f>IF($C$15=0,"",COUNTIF(E4:E13,"Sí")/$C$15)</f>
        <v/>
      </c>
    </row>
    <row r="22">
      <c r="B22" t="inlineStr">
        <is>
          <t>Lectura</t>
        </is>
      </c>
      <c r="C22">
        <f>IF($C$15=0,"",IF(C19&gt;0.3,"Muchos comentarios sobre la persona: reescribe esos hacia la tarea y el proceso",IF(C20&lt;0.5,"Faltan siguientes pasos: agrega qué hacer a cada comentario","Buen equilibrio: sigue y cuida los tiempos")))</f>
        <v/>
      </c>
    </row>
  </sheetData>
  <dataValidations count="2">
    <dataValidation sqref="C4:C13" showDropDown="0" showInputMessage="0" showErrorMessage="0" allowBlank="0" type="list">
      <formula1>"Tarea,Proceso,Autorregulación,Persona"</formula1>
    </dataValidation>
    <dataValidation sqref="D4:E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2026-10-10T12:24:13Z</dcterms:created>
  <dcterms:modified xmlns:dcterms="http://purl.org/dc/terms/" xmlns:xsi="http://www.w3.org/2001/XMLSchema-instance" xsi:type="dcterms:W3CDTF">2026-10-10T12:24:13Z</dcterms:modified>
</cp:coreProperties>
</file>