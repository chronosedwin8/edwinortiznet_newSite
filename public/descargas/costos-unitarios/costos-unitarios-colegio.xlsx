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ostos" sheetId="3" state="visible" r:id="rId3"/>
    <sheet xmlns:r="http://schemas.openxmlformats.org/officeDocument/2006/relationships" name="Calcu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9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8" customWidth="1" min="1" max="1"/>
    <col width="20" customWidth="1" min="2" max="2"/>
  </cols>
  <sheetData>
    <row r="1">
      <c r="A1" s="1" t="inlineStr">
        <is>
          <t>RESUMEN</t>
        </is>
      </c>
    </row>
    <row r="3">
      <c r="A3" t="inlineStr">
        <is>
          <t>Costo total anual</t>
        </is>
      </c>
      <c r="B3" s="2">
        <f>Calculo!D8</f>
        <v/>
      </c>
    </row>
    <row r="4">
      <c r="A4" t="inlineStr">
        <is>
          <t>Ingreso total por pensiones</t>
        </is>
      </c>
      <c r="B4" s="2">
        <f>Calculo!D15</f>
        <v/>
      </c>
    </row>
    <row r="5">
      <c r="A5" t="inlineStr">
        <is>
          <t>Margen total</t>
        </is>
      </c>
      <c r="B5" s="2">
        <f>Calculo!D16</f>
        <v/>
      </c>
    </row>
    <row r="6">
      <c r="A6" t="inlineStr">
        <is>
          <t>Costo por estudiante al mes (promedio)</t>
        </is>
      </c>
      <c r="B6" s="2">
        <f>Calculo!D10</f>
        <v/>
      </c>
    </row>
    <row r="7">
      <c r="A7" t="inlineStr">
        <is>
          <t>Pensión promedio por estudiante al mes</t>
        </is>
      </c>
      <c r="B7" s="2">
        <f>Calculo!D15/Calculo!D4/Parametros!B7</f>
        <v/>
      </c>
    </row>
    <row r="8">
      <c r="A8" t="inlineStr">
        <is>
          <t>Niveles con déficit con el criterio A (por estudiantes)</t>
        </is>
      </c>
      <c r="B8" s="3">
        <f>COUNTIF(Calculo!B16:C16,"&lt;0")</f>
        <v/>
      </c>
    </row>
    <row r="9">
      <c r="A9" t="inlineStr">
        <is>
          <t>Niveles con déficit con el criterio B (partes iguales)</t>
        </is>
      </c>
      <c r="B9" s="3">
        <f>COUNTIF(Calculo!B17:C17,"&lt;0")</f>
        <v/>
      </c>
    </row>
    <row r="10">
      <c r="A10" t="inlineStr">
        <is>
          <t>Punto de equilibrio (estudiantes necesarios con los costos actuales)</t>
        </is>
      </c>
      <c r="B10" s="3">
        <f>ROUNDUP(Calculo!D8/(Calculo!D15/Calculo!D4),0)</f>
        <v/>
      </c>
    </row>
    <row r="11">
      <c r="A11" t="inlineStr">
        <is>
          <t>Estudiantes de margen sobre el punto de equilibrio</t>
        </is>
      </c>
      <c r="B11" s="3">
        <f>Calculo!D4-B10</f>
        <v/>
      </c>
    </row>
    <row r="12">
      <c r="A12" t="inlineStr">
        <is>
          <t>Estudiantes con la variación de matrícula del escenario</t>
        </is>
      </c>
      <c r="B12" s="3">
        <f>ROUND(Calculo!D4*(1+Parametros!B8),0)</f>
        <v/>
      </c>
    </row>
    <row r="13">
      <c r="A13" t="inlineStr">
        <is>
          <t>Costo por estudiante al mes en el escenario (costos fijos)</t>
        </is>
      </c>
      <c r="B13" s="2">
        <f>Calculo!D8/B12/Parametros!B7</f>
        <v/>
      </c>
    </row>
    <row r="14">
      <c r="A14" t="inlineStr">
        <is>
          <t>Margen total en el escenario (ingreso proporcional, costos fijos)</t>
        </is>
      </c>
      <c r="B14" s="2">
        <f>Calculo!D15*(1+Parametros!B8)-Calculo!D8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30" customWidth="1" min="3" max="3"/>
  </cols>
  <sheetData>
    <row r="1">
      <c r="A1" s="1" t="inlineStr">
        <is>
          <t>PARÁMETROS (editables; datos ficticios, en pesos colombianos)</t>
        </is>
      </c>
    </row>
    <row r="3">
      <c r="A3" s="4" t="inlineStr">
        <is>
          <t>Nivel</t>
        </is>
      </c>
      <c r="B3" s="4" t="inlineStr">
        <is>
          <t>Estudiantes</t>
        </is>
      </c>
      <c r="C3" s="4" t="inlineStr">
        <is>
          <t>Pensión mensual por estudiante</t>
        </is>
      </c>
    </row>
    <row r="4">
      <c r="A4" t="inlineStr">
        <is>
          <t>Primaria</t>
        </is>
      </c>
      <c r="B4" s="5" t="n">
        <v>180</v>
      </c>
      <c r="C4" s="6" t="n">
        <v>480000</v>
      </c>
    </row>
    <row r="5">
      <c r="A5" t="inlineStr">
        <is>
          <t>Secundaria</t>
        </is>
      </c>
      <c r="B5" s="5" t="n">
        <v>240</v>
      </c>
      <c r="C5" s="6" t="n">
        <v>560000</v>
      </c>
    </row>
    <row r="7">
      <c r="A7" t="inlineStr">
        <is>
          <t>Meses de pensión al año</t>
        </is>
      </c>
      <c r="B7" s="5" t="n">
        <v>10</v>
      </c>
    </row>
    <row r="8">
      <c r="A8" t="inlineStr">
        <is>
          <t>Variación de la matrícula para el escenario (por ejemplo, -0,10 = 10 % menos)</t>
        </is>
      </c>
      <c r="B8" s="7" t="n">
        <v>-0.1</v>
      </c>
    </row>
    <row r="10">
      <c r="A10" t="inlineStr">
        <is>
          <t>Los costos directos se asignan al nivel; los costos comunes se reparten con dos criterios para comparar: por número de estudiantes y en partes iguales.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6" customWidth="1" min="3" max="3"/>
    <col width="18" customWidth="1" min="4" max="4"/>
  </cols>
  <sheetData>
    <row r="1">
      <c r="A1" s="4" t="inlineStr">
        <is>
          <t>Rubro</t>
        </is>
      </c>
      <c r="B1" s="4" t="inlineStr">
        <is>
          <t>Tipo</t>
        </is>
      </c>
      <c r="C1" s="4" t="inlineStr">
        <is>
          <t>Centro (Primaria, Secundaria o Común)</t>
        </is>
      </c>
      <c r="D1" s="4" t="inlineStr">
        <is>
          <t>Costo anual</t>
        </is>
      </c>
    </row>
    <row r="2">
      <c r="A2" s="5" t="inlineStr">
        <is>
          <t>Docentes de primaria</t>
        </is>
      </c>
      <c r="B2" s="5" t="inlineStr">
        <is>
          <t>Directo</t>
        </is>
      </c>
      <c r="C2" s="5" t="inlineStr">
        <is>
          <t>Primaria</t>
        </is>
      </c>
      <c r="D2" s="6" t="n">
        <v>540000000</v>
      </c>
    </row>
    <row r="3">
      <c r="A3" s="5" t="inlineStr">
        <is>
          <t>Material de primaria</t>
        </is>
      </c>
      <c r="B3" s="5" t="inlineStr">
        <is>
          <t>Directo</t>
        </is>
      </c>
      <c r="C3" s="5" t="inlineStr">
        <is>
          <t>Primaria</t>
        </is>
      </c>
      <c r="D3" s="6" t="n">
        <v>36000000</v>
      </c>
    </row>
    <row r="4">
      <c r="A4" s="5" t="inlineStr">
        <is>
          <t>Docentes de secundaria</t>
        </is>
      </c>
      <c r="B4" s="5" t="inlineStr">
        <is>
          <t>Directo</t>
        </is>
      </c>
      <c r="C4" s="5" t="inlineStr">
        <is>
          <t>Secundaria</t>
        </is>
      </c>
      <c r="D4" s="6" t="n">
        <v>780000000</v>
      </c>
    </row>
    <row r="5">
      <c r="A5" s="5" t="inlineStr">
        <is>
          <t>Laboratorios y material de secundaria</t>
        </is>
      </c>
      <c r="B5" s="5" t="inlineStr">
        <is>
          <t>Directo</t>
        </is>
      </c>
      <c r="C5" s="5" t="inlineStr">
        <is>
          <t>Secundaria</t>
        </is>
      </c>
      <c r="D5" s="6" t="n">
        <v>54000000</v>
      </c>
    </row>
    <row r="6">
      <c r="A6" s="5" t="inlineStr">
        <is>
          <t>Administración</t>
        </is>
      </c>
      <c r="B6" s="5" t="inlineStr">
        <is>
          <t>Indirecto</t>
        </is>
      </c>
      <c r="C6" s="5" t="inlineStr">
        <is>
          <t>Común</t>
        </is>
      </c>
      <c r="D6" s="6" t="n">
        <v>360000000</v>
      </c>
    </row>
    <row r="7">
      <c r="A7" s="5" t="inlineStr">
        <is>
          <t>Servicios públicos</t>
        </is>
      </c>
      <c r="B7" s="5" t="inlineStr">
        <is>
          <t>Indirecto</t>
        </is>
      </c>
      <c r="C7" s="5" t="inlineStr">
        <is>
          <t>Común</t>
        </is>
      </c>
      <c r="D7" s="6" t="n">
        <v>96000000</v>
      </c>
    </row>
    <row r="8">
      <c r="A8" s="5" t="inlineStr">
        <is>
          <t>Mantenimiento</t>
        </is>
      </c>
      <c r="B8" s="5" t="inlineStr">
        <is>
          <t>Indirecto</t>
        </is>
      </c>
      <c r="C8" s="5" t="inlineStr">
        <is>
          <t>Común</t>
        </is>
      </c>
      <c r="D8" s="6" t="n">
        <v>72000000</v>
      </c>
    </row>
    <row r="9">
      <c r="A9" s="5" t="inlineStr">
        <is>
          <t>Tecnología</t>
        </is>
      </c>
      <c r="B9" s="5" t="inlineStr">
        <is>
          <t>Indirecto</t>
        </is>
      </c>
      <c r="C9" s="5" t="inlineStr">
        <is>
          <t>Común</t>
        </is>
      </c>
      <c r="D9" s="6" t="n">
        <v>84000000</v>
      </c>
    </row>
    <row r="10">
      <c r="A10" s="5" t="inlineStr">
        <is>
          <t>Seguridad y aseo</t>
        </is>
      </c>
      <c r="B10" s="5" t="inlineStr">
        <is>
          <t>Indirecto</t>
        </is>
      </c>
      <c r="C10" s="5" t="inlineStr">
        <is>
          <t>Común</t>
        </is>
      </c>
      <c r="D10" s="6" t="n">
        <v>120000000</v>
      </c>
    </row>
    <row r="11">
      <c r="A11" s="5" t="inlineStr">
        <is>
          <t>Bienestar</t>
        </is>
      </c>
      <c r="B11" s="5" t="inlineStr">
        <is>
          <t>Indirecto</t>
        </is>
      </c>
      <c r="C11" s="5" t="inlineStr">
        <is>
          <t>Común</t>
        </is>
      </c>
      <c r="D11" s="6" t="n">
        <v>48000000</v>
      </c>
    </row>
  </sheetData>
  <dataValidations count="1">
    <dataValidation sqref="C2:C11" showDropDown="0" showInputMessage="0" showErrorMessage="0" allowBlank="0" type="list">
      <formula1>"Primaria,Secundaria,Común"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COSTO POR NIVEL Y POR ESTUDIANTE, CON DOS CRITERIOS DE REPARTO DE LOS COSTOS COMUNES</t>
        </is>
      </c>
    </row>
    <row r="3">
      <c r="A3" s="4" t="inlineStr">
        <is>
          <t>Concepto</t>
        </is>
      </c>
      <c r="B3" s="4" t="inlineStr">
        <is>
          <t>Primaria</t>
        </is>
      </c>
      <c r="C3" s="4" t="inlineStr">
        <is>
          <t>Secundaria</t>
        </is>
      </c>
      <c r="D3" s="4" t="inlineStr">
        <is>
          <t>Total</t>
        </is>
      </c>
    </row>
    <row r="4">
      <c r="A4" t="inlineStr">
        <is>
          <t>Estudiantes</t>
        </is>
      </c>
      <c r="B4" s="3">
        <f>Parametros!B4</f>
        <v/>
      </c>
      <c r="C4" s="3">
        <f>Parametros!B5</f>
        <v/>
      </c>
      <c r="D4" s="3">
        <f>B4+C4</f>
        <v/>
      </c>
    </row>
    <row r="5">
      <c r="A5" t="inlineStr">
        <is>
          <t>Costos directos</t>
        </is>
      </c>
      <c r="B5" s="2">
        <f>SUMIFS(Costos!$D$2:$D$11,Costos!$C$2:$C$11,"Primaria")</f>
        <v/>
      </c>
      <c r="C5" s="2">
        <f>SUMIFS(Costos!$D$2:$D$11,Costos!$C$2:$C$11,"Secundaria")</f>
        <v/>
      </c>
      <c r="D5" s="2">
        <f>B5+C5</f>
        <v/>
      </c>
    </row>
    <row r="6">
      <c r="A6" t="inlineStr">
        <is>
          <t>Costos comunes (a repartir)</t>
        </is>
      </c>
      <c r="B6" s="2">
        <f>SUMIFS(Costos!$D$2:$D$11,Costos!$C$2:$C$11,"Común")</f>
        <v/>
      </c>
      <c r="C6" s="2">
        <f>B6</f>
        <v/>
      </c>
      <c r="D6" s="2">
        <f>B6</f>
        <v/>
      </c>
    </row>
    <row r="7">
      <c r="A7" t="inlineStr">
        <is>
          <t>A. Reparto de comunes por estudiantes</t>
        </is>
      </c>
      <c r="B7" s="2">
        <f>$D$6*B4/$D$4</f>
        <v/>
      </c>
      <c r="C7" s="2">
        <f>$D$6*C4/$D$4</f>
        <v/>
      </c>
      <c r="D7" s="2">
        <f>B7+C7</f>
        <v/>
      </c>
    </row>
    <row r="8">
      <c r="A8" t="inlineStr">
        <is>
          <t>A. Costo total del nivel</t>
        </is>
      </c>
      <c r="B8" s="2">
        <f>B5+B7</f>
        <v/>
      </c>
      <c r="C8" s="2">
        <f>C5+C7</f>
        <v/>
      </c>
      <c r="D8" s="2">
        <f>B8+C8</f>
        <v/>
      </c>
    </row>
    <row r="9">
      <c r="A9" t="inlineStr">
        <is>
          <t>A. Costo por estudiante al año</t>
        </is>
      </c>
      <c r="B9" s="2">
        <f>B8/B4</f>
        <v/>
      </c>
      <c r="C9" s="2">
        <f>C8/C4</f>
        <v/>
      </c>
      <c r="D9" s="2">
        <f>D8/D4</f>
        <v/>
      </c>
    </row>
    <row r="10">
      <c r="A10" t="inlineStr">
        <is>
          <t>A. Costo por estudiante al mes</t>
        </is>
      </c>
      <c r="B10" s="2">
        <f>B9/Parametros!$B$7</f>
        <v/>
      </c>
      <c r="C10" s="2">
        <f>C9/Parametros!$B$7</f>
        <v/>
      </c>
      <c r="D10" s="2">
        <f>D9/Parametros!$B$7</f>
        <v/>
      </c>
    </row>
    <row r="11">
      <c r="A11" t="inlineStr">
        <is>
          <t>B. Reparto de comunes en partes iguales</t>
        </is>
      </c>
      <c r="B11" s="2">
        <f>$D$6/2</f>
        <v/>
      </c>
      <c r="C11" s="2">
        <f>$D$6/2</f>
        <v/>
      </c>
      <c r="D11" s="2">
        <f>B11+C11</f>
        <v/>
      </c>
    </row>
    <row r="12">
      <c r="A12" t="inlineStr">
        <is>
          <t>B. Costo total del nivel</t>
        </is>
      </c>
      <c r="B12" s="2">
        <f>B5+B11</f>
        <v/>
      </c>
      <c r="C12" s="2">
        <f>C5+C11</f>
        <v/>
      </c>
      <c r="D12" s="2">
        <f>B12+C12</f>
        <v/>
      </c>
    </row>
    <row r="13">
      <c r="A13" t="inlineStr">
        <is>
          <t>B. Costo por estudiante al año</t>
        </is>
      </c>
      <c r="B13" s="2">
        <f>B12/B4</f>
        <v/>
      </c>
      <c r="C13" s="2">
        <f>C12/C4</f>
        <v/>
      </c>
      <c r="D13" s="2">
        <f>D12/D4</f>
        <v/>
      </c>
    </row>
    <row r="14">
      <c r="A14" t="inlineStr">
        <is>
          <t>B. Costo por estudiante al mes</t>
        </is>
      </c>
      <c r="B14" s="2">
        <f>B13/Parametros!$B$7</f>
        <v/>
      </c>
      <c r="C14" s="2">
        <f>C13/Parametros!$B$7</f>
        <v/>
      </c>
      <c r="D14" s="2">
        <f>D13/Parametros!$B$7</f>
        <v/>
      </c>
    </row>
    <row r="15">
      <c r="A15" t="inlineStr">
        <is>
          <t>Ingreso por pensiones al año</t>
        </is>
      </c>
      <c r="B15" s="2">
        <f>B4*Parametros!C4*Parametros!$B$7</f>
        <v/>
      </c>
      <c r="C15" s="2">
        <f>C4*Parametros!C5*Parametros!$B$7</f>
        <v/>
      </c>
      <c r="D15" s="2">
        <f>B15+C15</f>
        <v/>
      </c>
    </row>
    <row r="16">
      <c r="A16" t="inlineStr">
        <is>
          <t>A. Margen del nivel (ingreso menos costo)</t>
        </is>
      </c>
      <c r="B16" s="2">
        <f>ROUND(B15-B8,0)</f>
        <v/>
      </c>
      <c r="C16" s="2">
        <f>ROUND(C15-C8,0)</f>
        <v/>
      </c>
      <c r="D16" s="2">
        <f>B16+C16</f>
        <v/>
      </c>
    </row>
    <row r="17">
      <c r="A17" t="inlineStr">
        <is>
          <t>B. Margen del nivel (ingreso menos costo)</t>
        </is>
      </c>
      <c r="B17" s="2">
        <f>ROUND(B15-B12,0)</f>
        <v/>
      </c>
      <c r="C17" s="2">
        <f>ROUND(C15-C12,0)</f>
        <v/>
      </c>
      <c r="D17" s="2">
        <f>B17+C17</f>
        <v/>
      </c>
    </row>
  </sheetData>
  <conditionalFormatting sqref="B16:D1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2026-10-10T18:13:12Z</dcterms:created>
  <dcterms:modified xmlns:dcterms="http://purl.org/dc/terms/" xmlns:xsi="http://www.w3.org/2001/XMLSchema-instance" xsi:type="dcterms:W3CDTF">2026-10-10T18:13:12Z</dcterms:modified>
</cp:coreProperties>
</file>