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Plan_de_fal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6" customWidth="1" min="4" max="4"/>
    <col width="14" customWidth="1" min="5" max="5"/>
    <col width="18" customWidth="1" min="6" max="6"/>
    <col width="18" customWidth="1" min="7" max="7"/>
    <col width="18" customWidth="1" min="8" max="8"/>
    <col width="14" customWidth="1" min="9" max="9"/>
    <col width="16" customWidth="1" min="10" max="10"/>
    <col width="14" customWidth="1" min="11" max="11"/>
    <col width="24" customWidth="1" min="12" max="12"/>
  </cols>
  <sheetData>
    <row r="1">
      <c r="A1" s="1" t="inlineStr">
        <is>
          <t>INVENTARIO DE INTEGRACIONES (datos ficticios de ejemplo: reemplázalos por los tuyos)</t>
        </is>
      </c>
    </row>
    <row r="2">
      <c r="A2" t="inlineStr">
        <is>
          <t>Un control faltante = una falla que puede pasar sin que nadie se entere. Responde Sí o No en las celdas amarillas.</t>
        </is>
      </c>
    </row>
    <row r="4" ht="48" customHeight="1">
      <c r="A4" s="2" t="inlineStr">
        <is>
          <t>Integración</t>
        </is>
      </c>
      <c r="B4" s="2" t="inlineStr">
        <is>
          <t>De → a</t>
        </is>
      </c>
      <c r="C4" s="2" t="inlineStr">
        <is>
          <t>Tipo</t>
        </is>
      </c>
      <c r="D4" s="2" t="inlineStr">
        <is>
          <t>Responsable</t>
        </is>
      </c>
      <c r="E4" s="2" t="inlineStr">
        <is>
          <t>¿Alerta si falla?</t>
        </is>
      </c>
      <c r="F4" s="2" t="inlineStr">
        <is>
          <t>¿Reintenta fallos temporales?</t>
        </is>
      </c>
      <c r="G4" s="2" t="inlineStr">
        <is>
          <t>¿Evita duplicados (idempotente)?</t>
        </is>
      </c>
      <c r="H4" s="2" t="inlineStr">
        <is>
          <t>¿Verifica la firma o el origen?</t>
        </is>
      </c>
      <c r="I4" s="2" t="inlineStr">
        <is>
          <t>Última revisión</t>
        </is>
      </c>
      <c r="J4" s="2" t="inlineStr">
        <is>
          <t>Controles cumplidos (0-4)</t>
        </is>
      </c>
      <c r="K4" s="2" t="inlineStr">
        <is>
          <t>Días desde la revisión</t>
        </is>
      </c>
      <c r="L4" s="2" t="inlineStr">
        <is>
          <t>Riesgo</t>
        </is>
      </c>
    </row>
    <row r="5">
      <c r="A5" t="inlineStr">
        <is>
          <t>Pagos confirmados</t>
        </is>
      </c>
      <c r="B5" t="inlineStr">
        <is>
          <t>Pasarela → contabilidad</t>
        </is>
      </c>
      <c r="C5" t="inlineStr">
        <is>
          <t>Webhook</t>
        </is>
      </c>
      <c r="D5" s="3" t="inlineStr">
        <is>
          <t>Tesorería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Sí</t>
        </is>
      </c>
      <c r="I5" s="4" t="n">
        <v>46082</v>
      </c>
      <c r="J5">
        <f>COUNTIF(E5:H5,"Sí")</f>
        <v/>
      </c>
      <c r="K5">
        <f>TODAY()-I5</f>
        <v/>
      </c>
      <c r="L5">
        <f>IF(D5="","Alto: sin responsable",IF(OR(J5&lt;=1,K5&gt;180),"Alto",IF(OR(J5=2,K5&gt;90),"Medio","Bajo")))</f>
        <v/>
      </c>
    </row>
    <row r="6">
      <c r="A6" t="inlineStr">
        <is>
          <t>Inscripciones</t>
        </is>
      </c>
      <c r="B6" t="inlineStr">
        <is>
          <t>Formulario → hoja de cálculo</t>
        </is>
      </c>
      <c r="C6" t="inlineStr">
        <is>
          <t>API</t>
        </is>
      </c>
      <c r="D6" s="3" t="inlineStr">
        <is>
          <t>Secretaría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No</t>
        </is>
      </c>
      <c r="H6" s="3" t="inlineStr">
        <is>
          <t>No</t>
        </is>
      </c>
      <c r="I6" s="4" t="n">
        <v>46037</v>
      </c>
      <c r="J6">
        <f>COUNTIF(E6:H6,"Sí")</f>
        <v/>
      </c>
      <c r="K6">
        <f>TODAY()-I6</f>
        <v/>
      </c>
      <c r="L6">
        <f>IF(D6="","Alto: sin responsable",IF(OR(J6&lt;=1,K6&gt;180),"Alto",IF(OR(J6=2,K6&gt;90),"Medio","Bajo")))</f>
        <v/>
      </c>
    </row>
    <row r="7">
      <c r="A7" t="inlineStr">
        <is>
          <t>Boletines</t>
        </is>
      </c>
      <c r="B7" t="inlineStr">
        <is>
          <t>Plataforma académica → correo</t>
        </is>
      </c>
      <c r="C7" t="inlineStr">
        <is>
          <t>API</t>
        </is>
      </c>
      <c r="D7" s="3" t="inlineStr">
        <is>
          <t>Coordinación</t>
        </is>
      </c>
      <c r="E7" s="3" t="inlineStr">
        <is>
          <t>Sí</t>
        </is>
      </c>
      <c r="F7" s="3" t="inlineStr">
        <is>
          <t>Sí</t>
        </is>
      </c>
      <c r="G7" s="3" t="inlineStr">
        <is>
          <t>No</t>
        </is>
      </c>
      <c r="H7" s="3" t="inlineStr">
        <is>
          <t>Sí</t>
        </is>
      </c>
      <c r="I7" s="4" t="n">
        <v>46254</v>
      </c>
      <c r="J7">
        <f>COUNTIF(E7:H7,"Sí")</f>
        <v/>
      </c>
      <c r="K7">
        <f>TODAY()-I7</f>
        <v/>
      </c>
      <c r="L7">
        <f>IF(D7="","Alto: sin responsable",IF(OR(J7&lt;=1,K7&gt;180),"Alto",IF(OR(J7=2,K7&gt;90),"Medio","Bajo")))</f>
        <v/>
      </c>
    </row>
    <row r="8">
      <c r="A8" t="inlineStr">
        <is>
          <t>Asistencia</t>
        </is>
      </c>
      <c r="B8" t="inlineStr">
        <is>
          <t>Lector biométrico → nómina</t>
        </is>
      </c>
      <c r="C8" t="inlineStr">
        <is>
          <t>Archivo</t>
        </is>
      </c>
      <c r="D8" s="3" t="inlineStr"/>
      <c r="E8" s="3" t="inlineStr">
        <is>
          <t>No</t>
        </is>
      </c>
      <c r="F8" s="3" t="inlineStr">
        <is>
          <t>No</t>
        </is>
      </c>
      <c r="G8" s="3" t="inlineStr">
        <is>
          <t>No</t>
        </is>
      </c>
      <c r="H8" s="3" t="inlineStr">
        <is>
          <t>No</t>
        </is>
      </c>
      <c r="I8" s="4" t="n">
        <v>45966</v>
      </c>
      <c r="J8">
        <f>COUNTIF(E8:H8,"Sí")</f>
        <v/>
      </c>
      <c r="K8">
        <f>TODAY()-I8</f>
        <v/>
      </c>
      <c r="L8">
        <f>IF(D8="","Alto: sin responsable",IF(OR(J8&lt;=1,K8&gt;180),"Alto",IF(OR(J8=2,K8&gt;90),"Medio","Bajo")))</f>
        <v/>
      </c>
    </row>
    <row r="9">
      <c r="A9" t="inlineStr">
        <is>
          <t>Facturas</t>
        </is>
      </c>
      <c r="B9" t="inlineStr">
        <is>
          <t>Tienda → facturación electrónica</t>
        </is>
      </c>
      <c r="C9" t="inlineStr">
        <is>
          <t>Webhook</t>
        </is>
      </c>
      <c r="D9" s="3" t="inlineStr">
        <is>
          <t>Sistemas</t>
        </is>
      </c>
      <c r="E9" s="3" t="inlineStr">
        <is>
          <t>Sí</t>
        </is>
      </c>
      <c r="F9" s="3" t="inlineStr">
        <is>
          <t>Sí</t>
        </is>
      </c>
      <c r="G9" s="3" t="inlineStr">
        <is>
          <t>Sí</t>
        </is>
      </c>
      <c r="H9" s="3" t="inlineStr">
        <is>
          <t>Sí</t>
        </is>
      </c>
      <c r="I9" s="4" t="n">
        <v>46275</v>
      </c>
      <c r="J9">
        <f>COUNTIF(E9:H9,"Sí")</f>
        <v/>
      </c>
      <c r="K9">
        <f>TODAY()-I9</f>
        <v/>
      </c>
      <c r="L9">
        <f>IF(D9="","Alto: sin responsable",IF(OR(J9&lt;=1,K9&gt;180),"Alto",IF(OR(J9=2,K9&gt;90),"Medio","Bajo")))</f>
        <v/>
      </c>
    </row>
    <row r="10">
      <c r="A10" t="inlineStr">
        <is>
          <t>Respaldo nocturno</t>
        </is>
      </c>
      <c r="B10" t="inlineStr">
        <is>
          <t>Servidor → almacenamiento</t>
        </is>
      </c>
      <c r="C10" t="inlineStr">
        <is>
          <t>Programada</t>
        </is>
      </c>
      <c r="D10" s="3" t="inlineStr">
        <is>
          <t>Sistemas</t>
        </is>
      </c>
      <c r="E10" s="3" t="inlineStr">
        <is>
          <t>Sí</t>
        </is>
      </c>
      <c r="F10" s="3" t="inlineStr">
        <is>
          <t>No</t>
        </is>
      </c>
      <c r="G10" s="3" t="inlineStr">
        <is>
          <t>Sí</t>
        </is>
      </c>
      <c r="H10" s="3" t="inlineStr">
        <is>
          <t>Sí</t>
        </is>
      </c>
      <c r="I10" s="4" t="n">
        <v>46293</v>
      </c>
      <c r="J10">
        <f>COUNTIF(E10:H10,"Sí")</f>
        <v/>
      </c>
      <c r="K10">
        <f>TODAY()-I10</f>
        <v/>
      </c>
      <c r="L10">
        <f>IF(D10="","Alto: sin responsable",IF(OR(J10&lt;=1,K10&gt;180),"Alto",IF(OR(J10=2,K10&gt;90),"Medio","Bajo")))</f>
        <v/>
      </c>
    </row>
    <row r="12">
      <c r="A12" s="5" t="inlineStr">
        <is>
          <t>Resumen</t>
        </is>
      </c>
    </row>
    <row r="13">
      <c r="A13" t="inlineStr">
        <is>
          <t>Integraciones inventariadas</t>
        </is>
      </c>
      <c r="D13">
        <f>COUNTA(A5:A10)</f>
        <v/>
      </c>
    </row>
    <row r="14">
      <c r="A14" t="inlineStr">
        <is>
          <t>Integraciones de riesgo alto</t>
        </is>
      </c>
      <c r="D14">
        <f>COUNTIF(L5:L10,"Alto*")</f>
        <v/>
      </c>
    </row>
    <row r="15">
      <c r="A15" t="inlineStr">
        <is>
          <t>Sin alerta si falla</t>
        </is>
      </c>
      <c r="D15">
        <f>COUNTIF(E5:E10,"No")</f>
        <v/>
      </c>
    </row>
    <row r="17">
      <c r="A17" t="inlineStr">
        <is>
          <t>Regla de revisión: más de 90 días sin revisar = riesgo medio; más de 180 = alto. Una integración sin responsable es riesgo alto siempre. Guía de elaboración propia.</t>
        </is>
      </c>
    </row>
  </sheetData>
  <dataValidations count="1">
    <dataValidation sqref="E5:H30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70" customWidth="1" min="3" max="3"/>
  </cols>
  <sheetData>
    <row r="1">
      <c r="A1" s="1" t="inlineStr">
        <is>
          <t>PLAN DE FALLA POR INTEGRACIÓN: respóndelo para cada integración crítica</t>
        </is>
      </c>
    </row>
    <row r="3">
      <c r="A3" s="6" t="inlineStr">
        <is>
          <t>#</t>
        </is>
      </c>
      <c r="B3" s="6" t="inlineStr">
        <is>
          <t>Pregunta</t>
        </is>
      </c>
      <c r="C3" s="6" t="inlineStr">
        <is>
          <t>Respuesta</t>
        </is>
      </c>
    </row>
    <row r="4">
      <c r="A4" t="n">
        <v>1</v>
      </c>
      <c r="B4" s="7" t="inlineStr">
        <is>
          <t>¿Qué se rompe para el usuario o el negocio si esta integración se detiene un día?</t>
        </is>
      </c>
      <c r="C4" s="3" t="n"/>
    </row>
    <row r="5">
      <c r="A5" t="n">
        <v>2</v>
      </c>
      <c r="B5" s="7" t="inlineStr">
        <is>
          <t>¿Cuánto tardaríamos en enterarnos y por qué medio?</t>
        </is>
      </c>
      <c r="C5" s="3" t="n"/>
    </row>
    <row r="6">
      <c r="A6" t="n">
        <v>3</v>
      </c>
      <c r="B6" s="7" t="inlineStr">
        <is>
          <t>¿Quién recibe la alerta y qué debe hacer primero?</t>
        </is>
      </c>
      <c r="C6" s="3" t="n"/>
    </row>
    <row r="7">
      <c r="A7" t="n">
        <v>4</v>
      </c>
      <c r="B7" s="7" t="inlineStr">
        <is>
          <t>¿Qué errores son temporales (reintentar) y cuáles permanentes (revisar a mano)?</t>
        </is>
      </c>
      <c r="C7" s="3" t="n"/>
    </row>
    <row r="8">
      <c r="A8" t="n">
        <v>5</v>
      </c>
      <c r="B8" s="7" t="inlineStr">
        <is>
          <t>¿Qué pasa si el mismo evento llega dos veces? ¿Y fuera de orden?</t>
        </is>
      </c>
      <c r="C8" s="3" t="n"/>
    </row>
    <row r="9">
      <c r="A9" t="n">
        <v>6</v>
      </c>
      <c r="B9" s="7" t="inlineStr">
        <is>
          <t>¿Dónde quedan los eventos que no se pudieron procesar y quién los revisa?</t>
        </is>
      </c>
      <c r="C9" s="3" t="n"/>
    </row>
    <row r="10">
      <c r="A10" t="n">
        <v>7</v>
      </c>
      <c r="B10" s="7" t="inlineStr">
        <is>
          <t>¿Cómo reprocesamos lo perdido una vez se restablece el servicio?</t>
        </is>
      </c>
      <c r="C10" s="3" t="n"/>
    </row>
    <row r="11">
      <c r="A11" t="n">
        <v>8</v>
      </c>
      <c r="B11" s="7" t="inlineStr">
        <is>
          <t>¿Cómo verificamos que lo que envía el proveedor es auténtico (firma, secreto, origen)?</t>
        </is>
      </c>
      <c r="C11" s="3" t="n"/>
    </row>
    <row r="12">
      <c r="A12" t="n">
        <v>9</v>
      </c>
      <c r="B12" s="7" t="inlineStr">
        <is>
          <t>¿Cuándo fue la última prueba real de falla y qué aprendimos?</t>
        </is>
      </c>
      <c r="C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2026-10-10T00:40:46Z</dcterms:created>
  <dcterms:modified xmlns:dcterms="http://purl.org/dc/terms/" xmlns:xsi="http://www.w3.org/2001/XMLSchema-instance" xsi:type="dcterms:W3CDTF">2026-10-10T00:40:46Z</dcterms:modified>
</cp:coreProperties>
</file>