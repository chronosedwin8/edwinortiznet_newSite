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"/>
    <numFmt numFmtId="166" formatCode="0.0"/>
    <numFmt numFmtId="167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  <bgColor rgb="00FEE2E2"/>
        </patternFill>
      </fill>
    </dxf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80" customWidth="1" min="3" max="3"/>
    <col width="10" customWidth="1" min="4" max="4"/>
    <col width="44" customWidth="1" min="5" max="5"/>
  </cols>
  <sheetData>
    <row r="1">
      <c r="A1" s="1" t="inlineStr">
        <is>
          <t>REGLAS DE PRIORIDAD Y PLAZOS (ejemplo editable; inspirado en la práctica de gestión de incidentes)</t>
        </is>
      </c>
    </row>
    <row r="3">
      <c r="A3" s="2" t="inlineStr">
        <is>
          <t>Prioridad = impacto × urgencia</t>
        </is>
      </c>
    </row>
    <row r="4">
      <c r="A4" s="3" t="inlineStr">
        <is>
          <t>Impacto \ Urgencia</t>
        </is>
      </c>
      <c r="B4" s="3" t="inlineStr">
        <is>
          <t>Alta</t>
        </is>
      </c>
      <c r="C4" s="3" t="inlineStr">
        <is>
          <t>Media</t>
        </is>
      </c>
      <c r="D4" s="3" t="inlineStr">
        <is>
          <t>Baja</t>
        </is>
      </c>
      <c r="E4" s="2" t="inlineStr">
        <is>
          <t>Qué significa</t>
        </is>
      </c>
    </row>
    <row r="5">
      <c r="A5" t="inlineStr">
        <is>
          <t>Alto</t>
        </is>
      </c>
      <c r="B5" s="4" t="inlineStr">
        <is>
          <t>P1</t>
        </is>
      </c>
      <c r="C5" s="4" t="inlineStr">
        <is>
          <t>P2</t>
        </is>
      </c>
      <c r="D5" s="4" t="inlineStr">
        <is>
          <t>P3</t>
        </is>
      </c>
      <c r="E5" t="inlineStr">
        <is>
          <t>Toda la institución o un servicio crítico</t>
        </is>
      </c>
    </row>
    <row r="6">
      <c r="A6" t="inlineStr">
        <is>
          <t>Medio</t>
        </is>
      </c>
      <c r="B6" s="4" t="inlineStr">
        <is>
          <t>P2</t>
        </is>
      </c>
      <c r="C6" s="4" t="inlineStr">
        <is>
          <t>P3</t>
        </is>
      </c>
      <c r="D6" s="4" t="inlineStr">
        <is>
          <t>P4</t>
        </is>
      </c>
      <c r="E6" t="inlineStr">
        <is>
          <t>Un grupo, un área o un aula</t>
        </is>
      </c>
    </row>
    <row r="7">
      <c r="A7" t="inlineStr">
        <is>
          <t>Bajo</t>
        </is>
      </c>
      <c r="B7" s="4" t="inlineStr">
        <is>
          <t>P3</t>
        </is>
      </c>
      <c r="C7" s="4" t="inlineStr">
        <is>
          <t>P4</t>
        </is>
      </c>
      <c r="D7" s="4" t="inlineStr">
        <is>
          <t>P4</t>
        </is>
      </c>
      <c r="E7" t="inlineStr">
        <is>
          <t>Una persona</t>
        </is>
      </c>
    </row>
    <row r="9">
      <c r="A9" s="2" t="inlineStr">
        <is>
          <t>Plazos de resolución por prioridad</t>
        </is>
      </c>
    </row>
    <row r="10">
      <c r="A10" s="3" t="inlineStr">
        <is>
          <t>Prioridad</t>
        </is>
      </c>
      <c r="B10" s="3" t="inlineStr">
        <is>
          <t>Horas para resolver (calendario)</t>
        </is>
      </c>
      <c r="C10" s="3" t="inlineStr">
        <is>
          <t>Ejemplo</t>
        </is>
      </c>
    </row>
    <row r="11">
      <c r="A11" t="inlineStr">
        <is>
          <t>P1</t>
        </is>
      </c>
      <c r="B11" s="4" t="n">
        <v>4</v>
      </c>
      <c r="C11" t="inlineStr">
        <is>
          <t>Sin conexión en toda la sede; plataforma de evaluación caída en plena prueba</t>
        </is>
      </c>
    </row>
    <row r="12">
      <c r="A12" t="inlineStr">
        <is>
          <t>P2</t>
        </is>
      </c>
      <c r="B12" s="4" t="n">
        <v>8</v>
      </c>
      <c r="C12" t="inlineStr">
        <is>
          <t>Un grupo sin proyector; correo de un área caído</t>
        </is>
      </c>
    </row>
    <row r="13">
      <c r="A13" t="inlineStr">
        <is>
          <t>P3</t>
        </is>
      </c>
      <c r="B13" s="4" t="n">
        <v>24</v>
      </c>
      <c r="C13" t="inlineStr">
        <is>
          <t>Un docente sin acceso a la plataforma</t>
        </is>
      </c>
    </row>
    <row r="14">
      <c r="A14" t="inlineStr">
        <is>
          <t>P4</t>
        </is>
      </c>
      <c r="B14" s="4" t="n">
        <v>72</v>
      </c>
      <c r="C14" t="inlineStr">
        <is>
          <t>Instalar un programa; solicitud de mejora</t>
        </is>
      </c>
    </row>
    <row r="16">
      <c r="A16" t="inlineStr">
        <is>
          <t>Fecha y hora de corte (para tickets abiertos)</t>
        </is>
      </c>
      <c r="B16" s="5" t="n">
        <v>46405.5</v>
      </c>
      <c r="C16" t="inlineStr">
        <is>
          <t>En uso real escribe =AHORA() (o =NOW()). Aquí está fija para que los resultados del ejemplo no cambien.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6" customWidth="1" min="11" max="11"/>
    <col width="12" customWidth="1" min="12" max="12"/>
    <col width="16" customWidth="1" min="13" max="13"/>
  </cols>
  <sheetData>
    <row r="1">
      <c r="A1" s="1" t="inlineStr">
        <is>
          <t>REGISTRO DE TICKETS (ejemplo ficticio)</t>
        </is>
      </c>
    </row>
    <row r="3">
      <c r="A3" s="3" t="inlineStr">
        <is>
          <t>N.º</t>
        </is>
      </c>
      <c r="B3" s="3" t="inlineStr">
        <is>
          <t>Creado</t>
        </is>
      </c>
      <c r="C3" s="3" t="inlineStr">
        <is>
          <t>Solicitante</t>
        </is>
      </c>
      <c r="D3" s="3" t="inlineStr">
        <is>
          <t>Categoría</t>
        </is>
      </c>
      <c r="E3" s="3" t="inlineStr">
        <is>
          <t>Descripción</t>
        </is>
      </c>
      <c r="F3" s="3" t="inlineStr">
        <is>
          <t>Impacto</t>
        </is>
      </c>
      <c r="G3" s="3" t="inlineStr">
        <is>
          <t>Urgencia</t>
        </is>
      </c>
      <c r="H3" s="3" t="inlineStr">
        <is>
          <t>Prioridad</t>
        </is>
      </c>
      <c r="I3" s="3" t="inlineStr">
        <is>
          <t>Horas de plazo</t>
        </is>
      </c>
      <c r="J3" s="3" t="inlineStr">
        <is>
          <t>Límite</t>
        </is>
      </c>
      <c r="K3" s="3" t="inlineStr">
        <is>
          <t>Cerrado</t>
        </is>
      </c>
      <c r="L3" s="3" t="inlineStr">
        <is>
          <t>Horas de resolución</t>
        </is>
      </c>
      <c r="M3" s="3" t="inlineStr">
        <is>
          <t>Estado del plazo</t>
        </is>
      </c>
    </row>
    <row r="4">
      <c r="A4">
        <f>IF(B4="","",ROW()-3)</f>
        <v/>
      </c>
      <c r="B4" s="5" t="n">
        <v>46398.29861111111</v>
      </c>
      <c r="C4" s="4" t="inlineStr">
        <is>
          <t>Docente 1</t>
        </is>
      </c>
      <c r="D4" s="4" t="inlineStr">
        <is>
          <t>Red y Wi-Fi</t>
        </is>
      </c>
      <c r="E4" s="4" t="inlineStr">
        <is>
          <t>Descripción breve</t>
        </is>
      </c>
      <c r="F4" s="4" t="inlineStr">
        <is>
          <t>Alto</t>
        </is>
      </c>
      <c r="G4" s="4" t="inlineStr">
        <is>
          <t>Alta</t>
        </is>
      </c>
      <c r="H4">
        <f>IF(OR(F4="",G4=""),"",INDEX(Reglas!$B$5:$D$7,MATCH(F4,Reglas!$A$5:$A$7,0),MATCH(G4,Reglas!$B$4:$D$4,0)))</f>
        <v/>
      </c>
      <c r="I4">
        <f>IF(H4="","",VLOOKUP(H4,Reglas!$A$11:$B$14,2,FALSE))</f>
        <v/>
      </c>
      <c r="J4" s="6">
        <f>IF(I4="","",B4+I4/24)</f>
        <v/>
      </c>
      <c r="K4" s="5" t="n">
        <v>46398.37847222222</v>
      </c>
      <c r="L4" s="7">
        <f>IF(OR(B4="",K4=""),"",(K4-B4)*24)</f>
        <v/>
      </c>
      <c r="M4">
        <f>IF(B4="","",IF(K4="",IF(Reglas!$B$16&gt;J4,"Abierto vencido","Abierto en plazo"),IF(K4&lt;=J4,"Cumplido","Incumplido")))</f>
        <v/>
      </c>
    </row>
    <row r="5">
      <c r="A5">
        <f>IF(B5="","",ROW()-3)</f>
        <v/>
      </c>
      <c r="B5" s="5" t="n">
        <v>46398.35416666666</v>
      </c>
      <c r="C5" s="4" t="inlineStr">
        <is>
          <t>Docente 2</t>
        </is>
      </c>
      <c r="D5" s="4" t="inlineStr">
        <is>
          <t>Proyector o aula</t>
        </is>
      </c>
      <c r="E5" s="4" t="inlineStr">
        <is>
          <t>Descripción breve</t>
        </is>
      </c>
      <c r="F5" s="4" t="inlineStr">
        <is>
          <t>Medio</t>
        </is>
      </c>
      <c r="G5" s="4" t="inlineStr">
        <is>
          <t>Alta</t>
        </is>
      </c>
      <c r="H5">
        <f>IF(OR(F5="",G5=""),"",INDEX(Reglas!$B$5:$D$7,MATCH(F5,Reglas!$A$5:$A$7,0),MATCH(G5,Reglas!$B$4:$D$4,0)))</f>
        <v/>
      </c>
      <c r="I5">
        <f>IF(H5="","",VLOOKUP(H5,Reglas!$A$11:$B$14,2,FALSE))</f>
        <v/>
      </c>
      <c r="J5" s="6">
        <f>IF(I5="","",B5+I5/24)</f>
        <v/>
      </c>
      <c r="K5" s="5" t="n">
        <v>46398.41666666666</v>
      </c>
      <c r="L5" s="7">
        <f>IF(OR(B5="",K5=""),"",(K5-B5)*24)</f>
        <v/>
      </c>
      <c r="M5">
        <f>IF(B5="","",IF(K5="",IF(Reglas!$B$16&gt;J5,"Abierto vencido","Abierto en plazo"),IF(K5&lt;=J5,"Cumplido","Incumplido")))</f>
        <v/>
      </c>
    </row>
    <row r="6">
      <c r="A6">
        <f>IF(B6="","",ROW()-3)</f>
        <v/>
      </c>
      <c r="B6" s="5" t="n">
        <v>46398.38541666666</v>
      </c>
      <c r="C6" s="4" t="inlineStr">
        <is>
          <t>Docente 3</t>
        </is>
      </c>
      <c r="D6" s="4" t="inlineStr">
        <is>
          <t>Cuenta o acceso</t>
        </is>
      </c>
      <c r="E6" s="4" t="inlineStr">
        <is>
          <t>Descripción breve</t>
        </is>
      </c>
      <c r="F6" s="4" t="inlineStr">
        <is>
          <t>Bajo</t>
        </is>
      </c>
      <c r="G6" s="4" t="inlineStr">
        <is>
          <t>Media</t>
        </is>
      </c>
      <c r="H6">
        <f>IF(OR(F6="",G6=""),"",INDEX(Reglas!$B$5:$D$7,MATCH(F6,Reglas!$A$5:$A$7,0),MATCH(G6,Reglas!$B$4:$D$4,0)))</f>
        <v/>
      </c>
      <c r="I6">
        <f>IF(H6="","",VLOOKUP(H6,Reglas!$A$11:$B$14,2,FALSE))</f>
        <v/>
      </c>
      <c r="J6" s="6">
        <f>IF(I6="","",B6+I6/24)</f>
        <v/>
      </c>
      <c r="K6" s="5" t="n">
        <v>46398.63888888889</v>
      </c>
      <c r="L6" s="7">
        <f>IF(OR(B6="",K6=""),"",(K6-B6)*24)</f>
        <v/>
      </c>
      <c r="M6">
        <f>IF(B6="","",IF(K6="",IF(Reglas!$B$16&gt;J6,"Abierto vencido","Abierto en plazo"),IF(K6&lt;=J6,"Cumplido","Incumplido")))</f>
        <v/>
      </c>
    </row>
    <row r="7">
      <c r="A7">
        <f>IF(B7="","",ROW()-3)</f>
        <v/>
      </c>
      <c r="B7" s="5" t="n">
        <v>46398.45833333334</v>
      </c>
      <c r="C7" s="4" t="inlineStr">
        <is>
          <t>Docente 4</t>
        </is>
      </c>
      <c r="D7" s="4" t="inlineStr">
        <is>
          <t>Impresión</t>
        </is>
      </c>
      <c r="E7" s="4" t="inlineStr">
        <is>
          <t>Descripción breve</t>
        </is>
      </c>
      <c r="F7" s="4" t="inlineStr">
        <is>
          <t>Bajo</t>
        </is>
      </c>
      <c r="G7" s="4" t="inlineStr">
        <is>
          <t>Baja</t>
        </is>
      </c>
      <c r="H7">
        <f>IF(OR(F7="",G7=""),"",INDEX(Reglas!$B$5:$D$7,MATCH(F7,Reglas!$A$5:$A$7,0),MATCH(G7,Reglas!$B$4:$D$4,0)))</f>
        <v/>
      </c>
      <c r="I7">
        <f>IF(H7="","",VLOOKUP(H7,Reglas!$A$11:$B$14,2,FALSE))</f>
        <v/>
      </c>
      <c r="J7" s="6">
        <f>IF(I7="","",B7+I7/24)</f>
        <v/>
      </c>
      <c r="K7" s="5" t="n">
        <v>46400.41666666666</v>
      </c>
      <c r="L7" s="7">
        <f>IF(OR(B7="",K7=""),"",(K7-B7)*24)</f>
        <v/>
      </c>
      <c r="M7">
        <f>IF(B7="","",IF(K7="",IF(Reglas!$B$16&gt;J7,"Abierto vencido","Abierto en plazo"),IF(K7&lt;=J7,"Cumplido","Incumplido")))</f>
        <v/>
      </c>
    </row>
    <row r="8">
      <c r="A8">
        <f>IF(B8="","",ROW()-3)</f>
        <v/>
      </c>
      <c r="B8" s="5" t="n">
        <v>46399.31944444445</v>
      </c>
      <c r="C8" s="4" t="inlineStr">
        <is>
          <t>Docente 5</t>
        </is>
      </c>
      <c r="D8" s="4" t="inlineStr">
        <is>
          <t>Plataforma</t>
        </is>
      </c>
      <c r="E8" s="4" t="inlineStr">
        <is>
          <t>Descripción breve</t>
        </is>
      </c>
      <c r="F8" s="4" t="inlineStr">
        <is>
          <t>Alto</t>
        </is>
      </c>
      <c r="G8" s="4" t="inlineStr">
        <is>
          <t>Alta</t>
        </is>
      </c>
      <c r="H8">
        <f>IF(OR(F8="",G8=""),"",INDEX(Reglas!$B$5:$D$7,MATCH(F8,Reglas!$A$5:$A$7,0),MATCH(G8,Reglas!$B$4:$D$4,0)))</f>
        <v/>
      </c>
      <c r="I8">
        <f>IF(H8="","",VLOOKUP(H8,Reglas!$A$11:$B$14,2,FALSE))</f>
        <v/>
      </c>
      <c r="J8" s="6">
        <f>IF(I8="","",B8+I8/24)</f>
        <v/>
      </c>
      <c r="K8" s="5" t="n">
        <v>46399.59027777778</v>
      </c>
      <c r="L8" s="7">
        <f>IF(OR(B8="",K8=""),"",(K8-B8)*24)</f>
        <v/>
      </c>
      <c r="M8">
        <f>IF(B8="","",IF(K8="",IF(Reglas!$B$16&gt;J8,"Abierto vencido","Abierto en plazo"),IF(K8&lt;=J8,"Cumplido","Incumplido")))</f>
        <v/>
      </c>
    </row>
    <row r="9">
      <c r="A9">
        <f>IF(B9="","",ROW()-3)</f>
        <v/>
      </c>
      <c r="B9" s="5" t="n">
        <v>46399.33333333334</v>
      </c>
      <c r="C9" s="4" t="inlineStr">
        <is>
          <t>Docente 6</t>
        </is>
      </c>
      <c r="D9" s="4" t="inlineStr">
        <is>
          <t>Correo</t>
        </is>
      </c>
      <c r="E9" s="4" t="inlineStr">
        <is>
          <t>Descripción breve</t>
        </is>
      </c>
      <c r="F9" s="4" t="inlineStr">
        <is>
          <t>Medio</t>
        </is>
      </c>
      <c r="G9" s="4" t="inlineStr">
        <is>
          <t>Media</t>
        </is>
      </c>
      <c r="H9">
        <f>IF(OR(F9="",G9=""),"",INDEX(Reglas!$B$5:$D$7,MATCH(F9,Reglas!$A$5:$A$7,0),MATCH(G9,Reglas!$B$4:$D$4,0)))</f>
        <v/>
      </c>
      <c r="I9">
        <f>IF(H9="","",VLOOKUP(H9,Reglas!$A$11:$B$14,2,FALSE))</f>
        <v/>
      </c>
      <c r="J9" s="6">
        <f>IF(I9="","",B9+I9/24)</f>
        <v/>
      </c>
      <c r="K9" s="5" t="n">
        <v>46399.625</v>
      </c>
      <c r="L9" s="7">
        <f>IF(OR(B9="",K9=""),"",(K9-B9)*24)</f>
        <v/>
      </c>
      <c r="M9">
        <f>IF(B9="","",IF(K9="",IF(Reglas!$B$16&gt;J9,"Abierto vencido","Abierto en plazo"),IF(K9&lt;=J9,"Cumplido","Incumplido")))</f>
        <v/>
      </c>
    </row>
    <row r="10">
      <c r="A10">
        <f>IF(B10="","",ROW()-3)</f>
        <v/>
      </c>
      <c r="B10" s="5" t="n">
        <v>46399.43055555555</v>
      </c>
      <c r="C10" s="4" t="inlineStr">
        <is>
          <t>Docente 7</t>
        </is>
      </c>
      <c r="D10" s="4" t="inlineStr">
        <is>
          <t>Cuenta o acceso</t>
        </is>
      </c>
      <c r="E10" s="4" t="inlineStr">
        <is>
          <t>Descripción breve</t>
        </is>
      </c>
      <c r="F10" s="4" t="inlineStr">
        <is>
          <t>Bajo</t>
        </is>
      </c>
      <c r="G10" s="4" t="inlineStr">
        <is>
          <t>Alta</t>
        </is>
      </c>
      <c r="H10">
        <f>IF(OR(F10="",G10=""),"",INDEX(Reglas!$B$5:$D$7,MATCH(F10,Reglas!$A$5:$A$7,0),MATCH(G10,Reglas!$B$4:$D$4,0)))</f>
        <v/>
      </c>
      <c r="I10">
        <f>IF(H10="","",VLOOKUP(H10,Reglas!$A$11:$B$14,2,FALSE))</f>
        <v/>
      </c>
      <c r="J10" s="6">
        <f>IF(I10="","",B10+I10/24)</f>
        <v/>
      </c>
      <c r="K10" s="5" t="n">
        <v>46399.47916666666</v>
      </c>
      <c r="L10" s="7">
        <f>IF(OR(B10="",K10=""),"",(K10-B10)*24)</f>
        <v/>
      </c>
      <c r="M10">
        <f>IF(B10="","",IF(K10="",IF(Reglas!$B$16&gt;J10,"Abierto vencido","Abierto en plazo"),IF(K10&lt;=J10,"Cumplido","Incumplido")))</f>
        <v/>
      </c>
    </row>
    <row r="11">
      <c r="A11">
        <f>IF(B11="","",ROW()-3)</f>
        <v/>
      </c>
      <c r="B11" s="5" t="n">
        <v>46399.54166666666</v>
      </c>
      <c r="C11" s="4" t="inlineStr">
        <is>
          <t>Docente 8</t>
        </is>
      </c>
      <c r="D11" s="4" t="inlineStr">
        <is>
          <t>Proyector o aula</t>
        </is>
      </c>
      <c r="E11" s="4" t="inlineStr">
        <is>
          <t>Descripción breve</t>
        </is>
      </c>
      <c r="F11" s="4" t="inlineStr">
        <is>
          <t>Medio</t>
        </is>
      </c>
      <c r="G11" s="4" t="inlineStr">
        <is>
          <t>Alta</t>
        </is>
      </c>
      <c r="H11">
        <f>IF(OR(F11="",G11=""),"",INDEX(Reglas!$B$5:$D$7,MATCH(F11,Reglas!$A$5:$A$7,0),MATCH(G11,Reglas!$B$4:$D$4,0)))</f>
        <v/>
      </c>
      <c r="I11">
        <f>IF(H11="","",VLOOKUP(H11,Reglas!$A$11:$B$14,2,FALSE))</f>
        <v/>
      </c>
      <c r="J11" s="6">
        <f>IF(I11="","",B11+I11/24)</f>
        <v/>
      </c>
      <c r="K11" s="5" t="n">
        <v>46399.58333333334</v>
      </c>
      <c r="L11" s="7">
        <f>IF(OR(B11="",K11=""),"",(K11-B11)*24)</f>
        <v/>
      </c>
      <c r="M11">
        <f>IF(B11="","",IF(K11="",IF(Reglas!$B$16&gt;J11,"Abierto vencido","Abierto en plazo"),IF(K11&lt;=J11,"Cumplido","Incumplido")))</f>
        <v/>
      </c>
    </row>
    <row r="12">
      <c r="A12">
        <f>IF(B12="","",ROW()-3)</f>
        <v/>
      </c>
      <c r="B12" s="5" t="n">
        <v>46400.30555555555</v>
      </c>
      <c r="C12" s="4" t="inlineStr">
        <is>
          <t>Docente 9</t>
        </is>
      </c>
      <c r="D12" s="4" t="inlineStr">
        <is>
          <t>Red y Wi-Fi</t>
        </is>
      </c>
      <c r="E12" s="4" t="inlineStr">
        <is>
          <t>Descripción breve</t>
        </is>
      </c>
      <c r="F12" s="4" t="inlineStr">
        <is>
          <t>Medio</t>
        </is>
      </c>
      <c r="G12" s="4" t="inlineStr">
        <is>
          <t>Media</t>
        </is>
      </c>
      <c r="H12">
        <f>IF(OR(F12="",G12=""),"",INDEX(Reglas!$B$5:$D$7,MATCH(F12,Reglas!$A$5:$A$7,0),MATCH(G12,Reglas!$B$4:$D$4,0)))</f>
        <v/>
      </c>
      <c r="I12">
        <f>IF(H12="","",VLOOKUP(H12,Reglas!$A$11:$B$14,2,FALSE))</f>
        <v/>
      </c>
      <c r="J12" s="6">
        <f>IF(I12="","",B12+I12/24)</f>
        <v/>
      </c>
      <c r="K12" s="5" t="n">
        <v>46400.70833333334</v>
      </c>
      <c r="L12" s="7">
        <f>IF(OR(B12="",K12=""),"",(K12-B12)*24)</f>
        <v/>
      </c>
      <c r="M12">
        <f>IF(B12="","",IF(K12="",IF(Reglas!$B$16&gt;J12,"Abierto vencido","Abierto en plazo"),IF(K12&lt;=J12,"Cumplido","Incumplido")))</f>
        <v/>
      </c>
    </row>
    <row r="13">
      <c r="A13">
        <f>IF(B13="","",ROW()-3)</f>
        <v/>
      </c>
      <c r="B13" s="5" t="n">
        <v>46400.375</v>
      </c>
      <c r="C13" s="4" t="inlineStr">
        <is>
          <t>Docente 10</t>
        </is>
      </c>
      <c r="D13" s="4" t="inlineStr">
        <is>
          <t>Software</t>
        </is>
      </c>
      <c r="E13" s="4" t="inlineStr">
        <is>
          <t>Descripción breve</t>
        </is>
      </c>
      <c r="F13" s="4" t="inlineStr">
        <is>
          <t>Bajo</t>
        </is>
      </c>
      <c r="G13" s="4" t="inlineStr">
        <is>
          <t>Baja</t>
        </is>
      </c>
      <c r="H13">
        <f>IF(OR(F13="",G13=""),"",INDEX(Reglas!$B$5:$D$7,MATCH(F13,Reglas!$A$5:$A$7,0),MATCH(G13,Reglas!$B$4:$D$4,0)))</f>
        <v/>
      </c>
      <c r="I13">
        <f>IF(H13="","",VLOOKUP(H13,Reglas!$A$11:$B$14,2,FALSE))</f>
        <v/>
      </c>
      <c r="J13" s="6">
        <f>IF(I13="","",B13+I13/24)</f>
        <v/>
      </c>
      <c r="K13" s="5" t="n">
        <v>46402.375</v>
      </c>
      <c r="L13" s="7">
        <f>IF(OR(B13="",K13=""),"",(K13-B13)*24)</f>
        <v/>
      </c>
      <c r="M13">
        <f>IF(B13="","",IF(K13="",IF(Reglas!$B$16&gt;J13,"Abierto vencido","Abierto en plazo"),IF(K13&lt;=J13,"Cumplido","Incumplido")))</f>
        <v/>
      </c>
    </row>
    <row r="14">
      <c r="A14">
        <f>IF(B14="","",ROW()-3)</f>
        <v/>
      </c>
      <c r="B14" s="5" t="n">
        <v>46400.42361111111</v>
      </c>
      <c r="C14" s="4" t="inlineStr">
        <is>
          <t>Docente 11</t>
        </is>
      </c>
      <c r="D14" s="4" t="inlineStr">
        <is>
          <t>Cuenta o acceso</t>
        </is>
      </c>
      <c r="E14" s="4" t="inlineStr">
        <is>
          <t>Descripción breve</t>
        </is>
      </c>
      <c r="F14" s="4" t="inlineStr">
        <is>
          <t>Bajo</t>
        </is>
      </c>
      <c r="G14" s="4" t="inlineStr">
        <is>
          <t>Media</t>
        </is>
      </c>
      <c r="H14">
        <f>IF(OR(F14="",G14=""),"",INDEX(Reglas!$B$5:$D$7,MATCH(F14,Reglas!$A$5:$A$7,0),MATCH(G14,Reglas!$B$4:$D$4,0)))</f>
        <v/>
      </c>
      <c r="I14">
        <f>IF(H14="","",VLOOKUP(H14,Reglas!$A$11:$B$14,2,FALSE))</f>
        <v/>
      </c>
      <c r="J14" s="6">
        <f>IF(I14="","",B14+I14/24)</f>
        <v/>
      </c>
      <c r="K14" s="5" t="n">
        <v>46400.45833333334</v>
      </c>
      <c r="L14" s="7">
        <f>IF(OR(B14="",K14=""),"",(K14-B14)*24)</f>
        <v/>
      </c>
      <c r="M14">
        <f>IF(B14="","",IF(K14="",IF(Reglas!$B$16&gt;J14,"Abierto vencido","Abierto en plazo"),IF(K14&lt;=J14,"Cumplido","Incumplido")))</f>
        <v/>
      </c>
    </row>
    <row r="15">
      <c r="A15">
        <f>IF(B15="","",ROW()-3)</f>
        <v/>
      </c>
      <c r="B15" s="5" t="n">
        <v>46400.58333333334</v>
      </c>
      <c r="C15" s="4" t="inlineStr">
        <is>
          <t>Docente 12</t>
        </is>
      </c>
      <c r="D15" s="4" t="inlineStr">
        <is>
          <t>Plataforma</t>
        </is>
      </c>
      <c r="E15" s="4" t="inlineStr">
        <is>
          <t>Descripción breve</t>
        </is>
      </c>
      <c r="F15" s="4" t="inlineStr">
        <is>
          <t>Medio</t>
        </is>
      </c>
      <c r="G15" s="4" t="inlineStr">
        <is>
          <t>Alta</t>
        </is>
      </c>
      <c r="H15">
        <f>IF(OR(F15="",G15=""),"",INDEX(Reglas!$B$5:$D$7,MATCH(F15,Reglas!$A$5:$A$7,0),MATCH(G15,Reglas!$B$4:$D$4,0)))</f>
        <v/>
      </c>
      <c r="I15">
        <f>IF(H15="","",VLOOKUP(H15,Reglas!$A$11:$B$14,2,FALSE))</f>
        <v/>
      </c>
      <c r="J15" s="6">
        <f>IF(I15="","",B15+I15/24)</f>
        <v/>
      </c>
      <c r="K15" s="5" t="n">
        <v>46401.33333333334</v>
      </c>
      <c r="L15" s="7">
        <f>IF(OR(B15="",K15=""),"",(K15-B15)*24)</f>
        <v/>
      </c>
      <c r="M15">
        <f>IF(B15="","",IF(K15="",IF(Reglas!$B$16&gt;J15,"Abierto vencido","Abierto en plazo"),IF(K15&lt;=J15,"Cumplido","Incumplido")))</f>
        <v/>
      </c>
    </row>
    <row r="16">
      <c r="A16">
        <f>IF(B16="","",ROW()-3)</f>
        <v/>
      </c>
      <c r="B16" s="5" t="n">
        <v>46401.3125</v>
      </c>
      <c r="C16" s="4" t="inlineStr">
        <is>
          <t>Docente 13</t>
        </is>
      </c>
      <c r="D16" s="4" t="inlineStr">
        <is>
          <t>Impresión</t>
        </is>
      </c>
      <c r="E16" s="4" t="inlineStr">
        <is>
          <t>Descripción breve</t>
        </is>
      </c>
      <c r="F16" s="4" t="inlineStr">
        <is>
          <t>Bajo</t>
        </is>
      </c>
      <c r="G16" s="4" t="inlineStr">
        <is>
          <t>Media</t>
        </is>
      </c>
      <c r="H16">
        <f>IF(OR(F16="",G16=""),"",INDEX(Reglas!$B$5:$D$7,MATCH(F16,Reglas!$A$5:$A$7,0),MATCH(G16,Reglas!$B$4:$D$4,0)))</f>
        <v/>
      </c>
      <c r="I16">
        <f>IF(H16="","",VLOOKUP(H16,Reglas!$A$11:$B$14,2,FALSE))</f>
        <v/>
      </c>
      <c r="J16" s="6">
        <f>IF(I16="","",B16+I16/24)</f>
        <v/>
      </c>
      <c r="K16" s="5" t="n">
        <v>46401.5</v>
      </c>
      <c r="L16" s="7">
        <f>IF(OR(B16="",K16=""),"",(K16-B16)*24)</f>
        <v/>
      </c>
      <c r="M16">
        <f>IF(B16="","",IF(K16="",IF(Reglas!$B$16&gt;J16,"Abierto vencido","Abierto en plazo"),IF(K16&lt;=J16,"Cumplido","Incumplido")))</f>
        <v/>
      </c>
    </row>
    <row r="17">
      <c r="A17">
        <f>IF(B17="","",ROW()-3)</f>
        <v/>
      </c>
      <c r="B17" s="5" t="n">
        <v>46401.34375</v>
      </c>
      <c r="C17" s="4" t="inlineStr">
        <is>
          <t>Docente 14</t>
        </is>
      </c>
      <c r="D17" s="4" t="inlineStr">
        <is>
          <t>Correo</t>
        </is>
      </c>
      <c r="E17" s="4" t="inlineStr">
        <is>
          <t>Descripción breve</t>
        </is>
      </c>
      <c r="F17" s="4" t="inlineStr">
        <is>
          <t>Alto</t>
        </is>
      </c>
      <c r="G17" s="4" t="inlineStr">
        <is>
          <t>Media</t>
        </is>
      </c>
      <c r="H17">
        <f>IF(OR(F17="",G17=""),"",INDEX(Reglas!$B$5:$D$7,MATCH(F17,Reglas!$A$5:$A$7,0),MATCH(G17,Reglas!$B$4:$D$4,0)))</f>
        <v/>
      </c>
      <c r="I17">
        <f>IF(H17="","",VLOOKUP(H17,Reglas!$A$11:$B$14,2,FALSE))</f>
        <v/>
      </c>
      <c r="J17" s="6">
        <f>IF(I17="","",B17+I17/24)</f>
        <v/>
      </c>
      <c r="K17" s="5" t="n">
        <v>46401.54166666666</v>
      </c>
      <c r="L17" s="7">
        <f>IF(OR(B17="",K17=""),"",(K17-B17)*24)</f>
        <v/>
      </c>
      <c r="M17">
        <f>IF(B17="","",IF(K17="",IF(Reglas!$B$16&gt;J17,"Abierto vencido","Abierto en plazo"),IF(K17&lt;=J17,"Cumplido","Incumplido")))</f>
        <v/>
      </c>
    </row>
    <row r="18">
      <c r="A18">
        <f>IF(B18="","",ROW()-3)</f>
        <v/>
      </c>
      <c r="B18" s="5" t="n">
        <v>46401.40277777778</v>
      </c>
      <c r="C18" s="4" t="inlineStr">
        <is>
          <t>Docente 15</t>
        </is>
      </c>
      <c r="D18" s="4" t="inlineStr">
        <is>
          <t>Proyector o aula</t>
        </is>
      </c>
      <c r="E18" s="4" t="inlineStr">
        <is>
          <t>Descripción breve</t>
        </is>
      </c>
      <c r="F18" s="4" t="inlineStr">
        <is>
          <t>Bajo</t>
        </is>
      </c>
      <c r="G18" s="4" t="inlineStr">
        <is>
          <t>Alta</t>
        </is>
      </c>
      <c r="H18">
        <f>IF(OR(F18="",G18=""),"",INDEX(Reglas!$B$5:$D$7,MATCH(F18,Reglas!$A$5:$A$7,0),MATCH(G18,Reglas!$B$4:$D$4,0)))</f>
        <v/>
      </c>
      <c r="I18">
        <f>IF(H18="","",VLOOKUP(H18,Reglas!$A$11:$B$14,2,FALSE))</f>
        <v/>
      </c>
      <c r="J18" s="6">
        <f>IF(I18="","",B18+I18/24)</f>
        <v/>
      </c>
      <c r="K18" s="5" t="n">
        <v>46401.43055555555</v>
      </c>
      <c r="L18" s="7">
        <f>IF(OR(B18="",K18=""),"",(K18-B18)*24)</f>
        <v/>
      </c>
      <c r="M18">
        <f>IF(B18="","",IF(K18="",IF(Reglas!$B$16&gt;J18,"Abierto vencido","Abierto en plazo"),IF(K18&lt;=J18,"Cumplido","Incumplido")))</f>
        <v/>
      </c>
    </row>
    <row r="19">
      <c r="A19">
        <f>IF(B19="","",ROW()-3)</f>
        <v/>
      </c>
      <c r="B19" s="5" t="n">
        <v>46402.32638888889</v>
      </c>
      <c r="C19" s="4" t="inlineStr">
        <is>
          <t>Docente 16</t>
        </is>
      </c>
      <c r="D19" s="4" t="inlineStr">
        <is>
          <t>Red y Wi-Fi</t>
        </is>
      </c>
      <c r="E19" s="4" t="inlineStr">
        <is>
          <t>Descripción breve</t>
        </is>
      </c>
      <c r="F19" s="4" t="inlineStr">
        <is>
          <t>Alto</t>
        </is>
      </c>
      <c r="G19" s="4" t="inlineStr">
        <is>
          <t>Alta</t>
        </is>
      </c>
      <c r="H19">
        <f>IF(OR(F19="",G19=""),"",INDEX(Reglas!$B$5:$D$7,MATCH(F19,Reglas!$A$5:$A$7,0),MATCH(G19,Reglas!$B$4:$D$4,0)))</f>
        <v/>
      </c>
      <c r="I19">
        <f>IF(H19="","",VLOOKUP(H19,Reglas!$A$11:$B$14,2,FALSE))</f>
        <v/>
      </c>
      <c r="J19" s="6">
        <f>IF(I19="","",B19+I19/24)</f>
        <v/>
      </c>
      <c r="K19" s="5" t="n">
        <v>46402.52083333334</v>
      </c>
      <c r="L19" s="7">
        <f>IF(OR(B19="",K19=""),"",(K19-B19)*24)</f>
        <v/>
      </c>
      <c r="M19">
        <f>IF(B19="","",IF(K19="",IF(Reglas!$B$16&gt;J19,"Abierto vencido","Abierto en plazo"),IF(K19&lt;=J19,"Cumplido","Incumplido")))</f>
        <v/>
      </c>
    </row>
    <row r="20">
      <c r="A20">
        <f>IF(B20="","",ROW()-3)</f>
        <v/>
      </c>
      <c r="B20" s="5" t="n">
        <v>46402.41666666666</v>
      </c>
      <c r="C20" s="4" t="inlineStr">
        <is>
          <t>Docente 17</t>
        </is>
      </c>
      <c r="D20" s="4" t="inlineStr">
        <is>
          <t>Software</t>
        </is>
      </c>
      <c r="E20" s="4" t="inlineStr">
        <is>
          <t>Descripción breve</t>
        </is>
      </c>
      <c r="F20" s="4" t="inlineStr">
        <is>
          <t>Medio</t>
        </is>
      </c>
      <c r="G20" s="4" t="inlineStr">
        <is>
          <t>Baja</t>
        </is>
      </c>
      <c r="H20">
        <f>IF(OR(F20="",G20=""),"",INDEX(Reglas!$B$5:$D$7,MATCH(F20,Reglas!$A$5:$A$7,0),MATCH(G20,Reglas!$B$4:$D$4,0)))</f>
        <v/>
      </c>
      <c r="I20">
        <f>IF(H20="","",VLOOKUP(H20,Reglas!$A$11:$B$14,2,FALSE))</f>
        <v/>
      </c>
      <c r="J20" s="6">
        <f>IF(I20="","",B20+I20/24)</f>
        <v/>
      </c>
      <c r="K20" s="5" t="n">
        <v>46405.33333333334</v>
      </c>
      <c r="L20" s="7">
        <f>IF(OR(B20="",K20=""),"",(K20-B20)*24)</f>
        <v/>
      </c>
      <c r="M20">
        <f>IF(B20="","",IF(K20="",IF(Reglas!$B$16&gt;J20,"Abierto vencido","Abierto en plazo"),IF(K20&lt;=J20,"Cumplido","Incumplido")))</f>
        <v/>
      </c>
    </row>
    <row r="21">
      <c r="A21">
        <f>IF(B21="","",ROW()-3)</f>
        <v/>
      </c>
      <c r="B21" s="5" t="n">
        <v>46402.46875</v>
      </c>
      <c r="C21" s="4" t="inlineStr">
        <is>
          <t>Docente 18</t>
        </is>
      </c>
      <c r="D21" s="4" t="inlineStr">
        <is>
          <t>Cuenta o acceso</t>
        </is>
      </c>
      <c r="E21" s="4" t="inlineStr">
        <is>
          <t>Descripción breve</t>
        </is>
      </c>
      <c r="F21" s="4" t="inlineStr">
        <is>
          <t>Bajo</t>
        </is>
      </c>
      <c r="G21" s="4" t="inlineStr">
        <is>
          <t>Alta</t>
        </is>
      </c>
      <c r="H21">
        <f>IF(OR(F21="",G21=""),"",INDEX(Reglas!$B$5:$D$7,MATCH(F21,Reglas!$A$5:$A$7,0),MATCH(G21,Reglas!$B$4:$D$4,0)))</f>
        <v/>
      </c>
      <c r="I21">
        <f>IF(H21="","",VLOOKUP(H21,Reglas!$A$11:$B$14,2,FALSE))</f>
        <v/>
      </c>
      <c r="J21" s="6">
        <f>IF(I21="","",B21+I21/24)</f>
        <v/>
      </c>
      <c r="K21" s="5" t="n"/>
      <c r="L21" s="7">
        <f>IF(OR(B21="",K21=""),"",(K21-B21)*24)</f>
        <v/>
      </c>
      <c r="M21">
        <f>IF(B21="","",IF(K21="",IF(Reglas!$B$16&gt;J21,"Abierto vencido","Abierto en plazo"),IF(K21&lt;=J21,"Cumplido","Incumplido")))</f>
        <v/>
      </c>
    </row>
    <row r="22">
      <c r="A22">
        <f>IF(B22="","",ROW()-3)</f>
        <v/>
      </c>
      <c r="B22" s="5" t="n">
        <v>46402.625</v>
      </c>
      <c r="C22" s="4" t="inlineStr">
        <is>
          <t>Docente 19</t>
        </is>
      </c>
      <c r="D22" s="4" t="inlineStr">
        <is>
          <t>Plataforma</t>
        </is>
      </c>
      <c r="E22" s="4" t="inlineStr">
        <is>
          <t>Descripción breve</t>
        </is>
      </c>
      <c r="F22" s="4" t="inlineStr">
        <is>
          <t>Medio</t>
        </is>
      </c>
      <c r="G22" s="4" t="inlineStr">
        <is>
          <t>Media</t>
        </is>
      </c>
      <c r="H22">
        <f>IF(OR(F22="",G22=""),"",INDEX(Reglas!$B$5:$D$7,MATCH(F22,Reglas!$A$5:$A$7,0),MATCH(G22,Reglas!$B$4:$D$4,0)))</f>
        <v/>
      </c>
      <c r="I22">
        <f>IF(H22="","",VLOOKUP(H22,Reglas!$A$11:$B$14,2,FALSE))</f>
        <v/>
      </c>
      <c r="J22" s="6">
        <f>IF(I22="","",B22+I22/24)</f>
        <v/>
      </c>
      <c r="K22" s="5" t="n"/>
      <c r="L22" s="7">
        <f>IF(OR(B22="",K22=""),"",(K22-B22)*24)</f>
        <v/>
      </c>
      <c r="M22">
        <f>IF(B22="","",IF(K22="",IF(Reglas!$B$16&gt;J22,"Abierto vencido","Abierto en plazo"),IF(K22&lt;=J22,"Cumplido","Incumplido")))</f>
        <v/>
      </c>
    </row>
    <row r="23">
      <c r="A23">
        <f>IF(B23="","",ROW()-3)</f>
        <v/>
      </c>
      <c r="B23" s="5" t="n">
        <v>46405.31597222222</v>
      </c>
      <c r="C23" s="4" t="inlineStr">
        <is>
          <t>Docente 20</t>
        </is>
      </c>
      <c r="D23" s="4" t="inlineStr">
        <is>
          <t>Proyector o aula</t>
        </is>
      </c>
      <c r="E23" s="4" t="inlineStr">
        <is>
          <t>Descripción breve</t>
        </is>
      </c>
      <c r="F23" s="4" t="inlineStr">
        <is>
          <t>Medio</t>
        </is>
      </c>
      <c r="G23" s="4" t="inlineStr">
        <is>
          <t>Alta</t>
        </is>
      </c>
      <c r="H23">
        <f>IF(OR(F23="",G23=""),"",INDEX(Reglas!$B$5:$D$7,MATCH(F23,Reglas!$A$5:$A$7,0),MATCH(G23,Reglas!$B$4:$D$4,0)))</f>
        <v/>
      </c>
      <c r="I23">
        <f>IF(H23="","",VLOOKUP(H23,Reglas!$A$11:$B$14,2,FALSE))</f>
        <v/>
      </c>
      <c r="J23" s="6">
        <f>IF(I23="","",B23+I23/24)</f>
        <v/>
      </c>
      <c r="K23" s="5" t="n"/>
      <c r="L23" s="7">
        <f>IF(OR(B23="",K23=""),"",(K23-B23)*24)</f>
        <v/>
      </c>
      <c r="M23">
        <f>IF(B23="","",IF(K23="",IF(Reglas!$B$16&gt;J23,"Abierto vencido","Abierto en plazo"),IF(K23&lt;=J23,"Cumplido","Incumplido")))</f>
        <v/>
      </c>
    </row>
    <row r="24">
      <c r="A24">
        <f>IF(B24="","",ROW()-3)</f>
        <v/>
      </c>
      <c r="B24" s="5" t="n"/>
      <c r="C24" s="4" t="n"/>
      <c r="D24" s="4" t="n"/>
      <c r="E24" s="4" t="n"/>
      <c r="F24" s="4" t="n"/>
      <c r="G24" s="4" t="n"/>
      <c r="H24">
        <f>IF(OR(F24="",G24=""),"",INDEX(Reglas!$B$5:$D$7,MATCH(F24,Reglas!$A$5:$A$7,0),MATCH(G24,Reglas!$B$4:$D$4,0)))</f>
        <v/>
      </c>
      <c r="I24">
        <f>IF(H24="","",VLOOKUP(H24,Reglas!$A$11:$B$14,2,FALSE))</f>
        <v/>
      </c>
      <c r="J24" s="6">
        <f>IF(I24="","",B24+I24/24)</f>
        <v/>
      </c>
      <c r="K24" s="5" t="n"/>
      <c r="L24" s="7">
        <f>IF(OR(B24="",K24=""),"",(K24-B24)*24)</f>
        <v/>
      </c>
      <c r="M24">
        <f>IF(B24="","",IF(K24="",IF(Reglas!$B$16&gt;J24,"Abierto vencido","Abierto en plazo"),IF(K24&lt;=J24,"Cumplido","Incumplido")))</f>
        <v/>
      </c>
    </row>
    <row r="25">
      <c r="A25">
        <f>IF(B25="","",ROW()-3)</f>
        <v/>
      </c>
      <c r="B25" s="5" t="n"/>
      <c r="C25" s="4" t="n"/>
      <c r="D25" s="4" t="n"/>
      <c r="E25" s="4" t="n"/>
      <c r="F25" s="4" t="n"/>
      <c r="G25" s="4" t="n"/>
      <c r="H25">
        <f>IF(OR(F25="",G25=""),"",INDEX(Reglas!$B$5:$D$7,MATCH(F25,Reglas!$A$5:$A$7,0),MATCH(G25,Reglas!$B$4:$D$4,0)))</f>
        <v/>
      </c>
      <c r="I25">
        <f>IF(H25="","",VLOOKUP(H25,Reglas!$A$11:$B$14,2,FALSE))</f>
        <v/>
      </c>
      <c r="J25" s="6">
        <f>IF(I25="","",B25+I25/24)</f>
        <v/>
      </c>
      <c r="K25" s="5" t="n"/>
      <c r="L25" s="7">
        <f>IF(OR(B25="",K25=""),"",(K25-B25)*24)</f>
        <v/>
      </c>
      <c r="M25">
        <f>IF(B25="","",IF(K25="",IF(Reglas!$B$16&gt;J25,"Abierto vencido","Abierto en plazo"),IF(K25&lt;=J25,"Cumplido","Incumplido")))</f>
        <v/>
      </c>
    </row>
    <row r="26">
      <c r="A26">
        <f>IF(B26="","",ROW()-3)</f>
        <v/>
      </c>
      <c r="B26" s="5" t="n"/>
      <c r="C26" s="4" t="n"/>
      <c r="D26" s="4" t="n"/>
      <c r="E26" s="4" t="n"/>
      <c r="F26" s="4" t="n"/>
      <c r="G26" s="4" t="n"/>
      <c r="H26">
        <f>IF(OR(F26="",G26=""),"",INDEX(Reglas!$B$5:$D$7,MATCH(F26,Reglas!$A$5:$A$7,0),MATCH(G26,Reglas!$B$4:$D$4,0)))</f>
        <v/>
      </c>
      <c r="I26">
        <f>IF(H26="","",VLOOKUP(H26,Reglas!$A$11:$B$14,2,FALSE))</f>
        <v/>
      </c>
      <c r="J26" s="6">
        <f>IF(I26="","",B26+I26/24)</f>
        <v/>
      </c>
      <c r="K26" s="5" t="n"/>
      <c r="L26" s="7">
        <f>IF(OR(B26="",K26=""),"",(K26-B26)*24)</f>
        <v/>
      </c>
      <c r="M26">
        <f>IF(B26="","",IF(K26="",IF(Reglas!$B$16&gt;J26,"Abierto vencido","Abierto en plazo"),IF(K26&lt;=J26,"Cumplido","Incumplido")))</f>
        <v/>
      </c>
    </row>
    <row r="27">
      <c r="A27">
        <f>IF(B27="","",ROW()-3)</f>
        <v/>
      </c>
      <c r="B27" s="5" t="n"/>
      <c r="C27" s="4" t="n"/>
      <c r="D27" s="4" t="n"/>
      <c r="E27" s="4" t="n"/>
      <c r="F27" s="4" t="n"/>
      <c r="G27" s="4" t="n"/>
      <c r="H27">
        <f>IF(OR(F27="",G27=""),"",INDEX(Reglas!$B$5:$D$7,MATCH(F27,Reglas!$A$5:$A$7,0),MATCH(G27,Reglas!$B$4:$D$4,0)))</f>
        <v/>
      </c>
      <c r="I27">
        <f>IF(H27="","",VLOOKUP(H27,Reglas!$A$11:$B$14,2,FALSE))</f>
        <v/>
      </c>
      <c r="J27" s="6">
        <f>IF(I27="","",B27+I27/24)</f>
        <v/>
      </c>
      <c r="K27" s="5" t="n"/>
      <c r="L27" s="7">
        <f>IF(OR(B27="",K27=""),"",(K27-B27)*24)</f>
        <v/>
      </c>
      <c r="M27">
        <f>IF(B27="","",IF(K27="",IF(Reglas!$B$16&gt;J27,"Abierto vencido","Abierto en plazo"),IF(K27&lt;=J27,"Cumplido","Incumplido")))</f>
        <v/>
      </c>
    </row>
    <row r="28">
      <c r="A28">
        <f>IF(B28="","",ROW()-3)</f>
        <v/>
      </c>
      <c r="B28" s="5" t="n"/>
      <c r="C28" s="4" t="n"/>
      <c r="D28" s="4" t="n"/>
      <c r="E28" s="4" t="n"/>
      <c r="F28" s="4" t="n"/>
      <c r="G28" s="4" t="n"/>
      <c r="H28">
        <f>IF(OR(F28="",G28=""),"",INDEX(Reglas!$B$5:$D$7,MATCH(F28,Reglas!$A$5:$A$7,0),MATCH(G28,Reglas!$B$4:$D$4,0)))</f>
        <v/>
      </c>
      <c r="I28">
        <f>IF(H28="","",VLOOKUP(H28,Reglas!$A$11:$B$14,2,FALSE))</f>
        <v/>
      </c>
      <c r="J28" s="6">
        <f>IF(I28="","",B28+I28/24)</f>
        <v/>
      </c>
      <c r="K28" s="5" t="n"/>
      <c r="L28" s="7">
        <f>IF(OR(B28="",K28=""),"",(K28-B28)*24)</f>
        <v/>
      </c>
      <c r="M28">
        <f>IF(B28="","",IF(K28="",IF(Reglas!$B$16&gt;J28,"Abierto vencido","Abierto en plazo"),IF(K28&lt;=J28,"Cumplido","Incumplido")))</f>
        <v/>
      </c>
    </row>
    <row r="29">
      <c r="A29">
        <f>IF(B29="","",ROW()-3)</f>
        <v/>
      </c>
      <c r="B29" s="5" t="n"/>
      <c r="C29" s="4" t="n"/>
      <c r="D29" s="4" t="n"/>
      <c r="E29" s="4" t="n"/>
      <c r="F29" s="4" t="n"/>
      <c r="G29" s="4" t="n"/>
      <c r="H29">
        <f>IF(OR(F29="",G29=""),"",INDEX(Reglas!$B$5:$D$7,MATCH(F29,Reglas!$A$5:$A$7,0),MATCH(G29,Reglas!$B$4:$D$4,0)))</f>
        <v/>
      </c>
      <c r="I29">
        <f>IF(H29="","",VLOOKUP(H29,Reglas!$A$11:$B$14,2,FALSE))</f>
        <v/>
      </c>
      <c r="J29" s="6">
        <f>IF(I29="","",B29+I29/24)</f>
        <v/>
      </c>
      <c r="K29" s="5" t="n"/>
      <c r="L29" s="7">
        <f>IF(OR(B29="",K29=""),"",(K29-B29)*24)</f>
        <v/>
      </c>
      <c r="M29">
        <f>IF(B29="","",IF(K29="",IF(Reglas!$B$16&gt;J29,"Abierto vencido","Abierto en plazo"),IF(K29&lt;=J29,"Cumplido","Incumplido")))</f>
        <v/>
      </c>
    </row>
    <row r="30">
      <c r="A30">
        <f>IF(B30="","",ROW()-3)</f>
        <v/>
      </c>
      <c r="B30" s="5" t="n"/>
      <c r="C30" s="4" t="n"/>
      <c r="D30" s="4" t="n"/>
      <c r="E30" s="4" t="n"/>
      <c r="F30" s="4" t="n"/>
      <c r="G30" s="4" t="n"/>
      <c r="H30">
        <f>IF(OR(F30="",G30=""),"",INDEX(Reglas!$B$5:$D$7,MATCH(F30,Reglas!$A$5:$A$7,0),MATCH(G30,Reglas!$B$4:$D$4,0)))</f>
        <v/>
      </c>
      <c r="I30">
        <f>IF(H30="","",VLOOKUP(H30,Reglas!$A$11:$B$14,2,FALSE))</f>
        <v/>
      </c>
      <c r="J30" s="6">
        <f>IF(I30="","",B30+I30/24)</f>
        <v/>
      </c>
      <c r="K30" s="5" t="n"/>
      <c r="L30" s="7">
        <f>IF(OR(B30="",K30=""),"",(K30-B30)*24)</f>
        <v/>
      </c>
      <c r="M30">
        <f>IF(B30="","",IF(K30="",IF(Reglas!$B$16&gt;J30,"Abierto vencido","Abierto en plazo"),IF(K30&lt;=J30,"Cumplido","Incumplido")))</f>
        <v/>
      </c>
    </row>
    <row r="31">
      <c r="A31">
        <f>IF(B31="","",ROW()-3)</f>
        <v/>
      </c>
      <c r="B31" s="5" t="n"/>
      <c r="C31" s="4" t="n"/>
      <c r="D31" s="4" t="n"/>
      <c r="E31" s="4" t="n"/>
      <c r="F31" s="4" t="n"/>
      <c r="G31" s="4" t="n"/>
      <c r="H31">
        <f>IF(OR(F31="",G31=""),"",INDEX(Reglas!$B$5:$D$7,MATCH(F31,Reglas!$A$5:$A$7,0),MATCH(G31,Reglas!$B$4:$D$4,0)))</f>
        <v/>
      </c>
      <c r="I31">
        <f>IF(H31="","",VLOOKUP(H31,Reglas!$A$11:$B$14,2,FALSE))</f>
        <v/>
      </c>
      <c r="J31" s="6">
        <f>IF(I31="","",B31+I31/24)</f>
        <v/>
      </c>
      <c r="K31" s="5" t="n"/>
      <c r="L31" s="7">
        <f>IF(OR(B31="",K31=""),"",(K31-B31)*24)</f>
        <v/>
      </c>
      <c r="M31">
        <f>IF(B31="","",IF(K31="",IF(Reglas!$B$16&gt;J31,"Abierto vencido","Abierto en plazo"),IF(K31&lt;=J31,"Cumplido","Incumplido")))</f>
        <v/>
      </c>
    </row>
    <row r="32">
      <c r="A32">
        <f>IF(B32="","",ROW()-3)</f>
        <v/>
      </c>
      <c r="B32" s="5" t="n"/>
      <c r="C32" s="4" t="n"/>
      <c r="D32" s="4" t="n"/>
      <c r="E32" s="4" t="n"/>
      <c r="F32" s="4" t="n"/>
      <c r="G32" s="4" t="n"/>
      <c r="H32">
        <f>IF(OR(F32="",G32=""),"",INDEX(Reglas!$B$5:$D$7,MATCH(F32,Reglas!$A$5:$A$7,0),MATCH(G32,Reglas!$B$4:$D$4,0)))</f>
        <v/>
      </c>
      <c r="I32">
        <f>IF(H32="","",VLOOKUP(H32,Reglas!$A$11:$B$14,2,FALSE))</f>
        <v/>
      </c>
      <c r="J32" s="6">
        <f>IF(I32="","",B32+I32/24)</f>
        <v/>
      </c>
      <c r="K32" s="5" t="n"/>
      <c r="L32" s="7">
        <f>IF(OR(B32="",K32=""),"",(K32-B32)*24)</f>
        <v/>
      </c>
      <c r="M32">
        <f>IF(B32="","",IF(K32="",IF(Reglas!$B$16&gt;J32,"Abierto vencido","Abierto en plazo"),IF(K32&lt;=J32,"Cumplido","Incumplido")))</f>
        <v/>
      </c>
    </row>
    <row r="33">
      <c r="A33">
        <f>IF(B33="","",ROW()-3)</f>
        <v/>
      </c>
      <c r="B33" s="5" t="n"/>
      <c r="C33" s="4" t="n"/>
      <c r="D33" s="4" t="n"/>
      <c r="E33" s="4" t="n"/>
      <c r="F33" s="4" t="n"/>
      <c r="G33" s="4" t="n"/>
      <c r="H33">
        <f>IF(OR(F33="",G33=""),"",INDEX(Reglas!$B$5:$D$7,MATCH(F33,Reglas!$A$5:$A$7,0),MATCH(G33,Reglas!$B$4:$D$4,0)))</f>
        <v/>
      </c>
      <c r="I33">
        <f>IF(H33="","",VLOOKUP(H33,Reglas!$A$11:$B$14,2,FALSE))</f>
        <v/>
      </c>
      <c r="J33" s="6">
        <f>IF(I33="","",B33+I33/24)</f>
        <v/>
      </c>
      <c r="K33" s="5" t="n"/>
      <c r="L33" s="7">
        <f>IF(OR(B33="",K33=""),"",(K33-B33)*24)</f>
        <v/>
      </c>
      <c r="M33">
        <f>IF(B33="","",IF(K33="",IF(Reglas!$B$16&gt;J33,"Abierto vencido","Abierto en plazo"),IF(K33&lt;=J33,"Cumplido","Incumplido")))</f>
        <v/>
      </c>
    </row>
    <row r="34">
      <c r="A34">
        <f>IF(B34="","",ROW()-3)</f>
        <v/>
      </c>
      <c r="B34" s="5" t="n"/>
      <c r="C34" s="4" t="n"/>
      <c r="D34" s="4" t="n"/>
      <c r="E34" s="4" t="n"/>
      <c r="F34" s="4" t="n"/>
      <c r="G34" s="4" t="n"/>
      <c r="H34">
        <f>IF(OR(F34="",G34=""),"",INDEX(Reglas!$B$5:$D$7,MATCH(F34,Reglas!$A$5:$A$7,0),MATCH(G34,Reglas!$B$4:$D$4,0)))</f>
        <v/>
      </c>
      <c r="I34">
        <f>IF(H34="","",VLOOKUP(H34,Reglas!$A$11:$B$14,2,FALSE))</f>
        <v/>
      </c>
      <c r="J34" s="6">
        <f>IF(I34="","",B34+I34/24)</f>
        <v/>
      </c>
      <c r="K34" s="5" t="n"/>
      <c r="L34" s="7">
        <f>IF(OR(B34="",K34=""),"",(K34-B34)*24)</f>
        <v/>
      </c>
      <c r="M34">
        <f>IF(B34="","",IF(K34="",IF(Reglas!$B$16&gt;J34,"Abierto vencido","Abierto en plazo"),IF(K34&lt;=J34,"Cumplido","Incumplido")))</f>
        <v/>
      </c>
    </row>
    <row r="35">
      <c r="A35">
        <f>IF(B35="","",ROW()-3)</f>
        <v/>
      </c>
      <c r="B35" s="5" t="n"/>
      <c r="C35" s="4" t="n"/>
      <c r="D35" s="4" t="n"/>
      <c r="E35" s="4" t="n"/>
      <c r="F35" s="4" t="n"/>
      <c r="G35" s="4" t="n"/>
      <c r="H35">
        <f>IF(OR(F35="",G35=""),"",INDEX(Reglas!$B$5:$D$7,MATCH(F35,Reglas!$A$5:$A$7,0),MATCH(G35,Reglas!$B$4:$D$4,0)))</f>
        <v/>
      </c>
      <c r="I35">
        <f>IF(H35="","",VLOOKUP(H35,Reglas!$A$11:$B$14,2,FALSE))</f>
        <v/>
      </c>
      <c r="J35" s="6">
        <f>IF(I35="","",B35+I35/24)</f>
        <v/>
      </c>
      <c r="K35" s="5" t="n"/>
      <c r="L35" s="7">
        <f>IF(OR(B35="",K35=""),"",(K35-B35)*24)</f>
        <v/>
      </c>
      <c r="M35">
        <f>IF(B35="","",IF(K35="",IF(Reglas!$B$16&gt;J35,"Abierto vencido","Abierto en plazo"),IF(K35&lt;=J35,"Cumplido","Incumplido")))</f>
        <v/>
      </c>
    </row>
    <row r="36">
      <c r="A36">
        <f>IF(B36="","",ROW()-3)</f>
        <v/>
      </c>
      <c r="B36" s="5" t="n"/>
      <c r="C36" s="4" t="n"/>
      <c r="D36" s="4" t="n"/>
      <c r="E36" s="4" t="n"/>
      <c r="F36" s="4" t="n"/>
      <c r="G36" s="4" t="n"/>
      <c r="H36">
        <f>IF(OR(F36="",G36=""),"",INDEX(Reglas!$B$5:$D$7,MATCH(F36,Reglas!$A$5:$A$7,0),MATCH(G36,Reglas!$B$4:$D$4,0)))</f>
        <v/>
      </c>
      <c r="I36">
        <f>IF(H36="","",VLOOKUP(H36,Reglas!$A$11:$B$14,2,FALSE))</f>
        <v/>
      </c>
      <c r="J36" s="6">
        <f>IF(I36="","",B36+I36/24)</f>
        <v/>
      </c>
      <c r="K36" s="5" t="n"/>
      <c r="L36" s="7">
        <f>IF(OR(B36="",K36=""),"",(K36-B36)*24)</f>
        <v/>
      </c>
      <c r="M36">
        <f>IF(B36="","",IF(K36="",IF(Reglas!$B$16&gt;J36,"Abierto vencido","Abierto en plazo"),IF(K36&lt;=J36,"Cumplido","Incumplido")))</f>
        <v/>
      </c>
    </row>
    <row r="37">
      <c r="A37">
        <f>IF(B37="","",ROW()-3)</f>
        <v/>
      </c>
      <c r="B37" s="5" t="n"/>
      <c r="C37" s="4" t="n"/>
      <c r="D37" s="4" t="n"/>
      <c r="E37" s="4" t="n"/>
      <c r="F37" s="4" t="n"/>
      <c r="G37" s="4" t="n"/>
      <c r="H37">
        <f>IF(OR(F37="",G37=""),"",INDEX(Reglas!$B$5:$D$7,MATCH(F37,Reglas!$A$5:$A$7,0),MATCH(G37,Reglas!$B$4:$D$4,0)))</f>
        <v/>
      </c>
      <c r="I37">
        <f>IF(H37="","",VLOOKUP(H37,Reglas!$A$11:$B$14,2,FALSE))</f>
        <v/>
      </c>
      <c r="J37" s="6">
        <f>IF(I37="","",B37+I37/24)</f>
        <v/>
      </c>
      <c r="K37" s="5" t="n"/>
      <c r="L37" s="7">
        <f>IF(OR(B37="",K37=""),"",(K37-B37)*24)</f>
        <v/>
      </c>
      <c r="M37">
        <f>IF(B37="","",IF(K37="",IF(Reglas!$B$16&gt;J37,"Abierto vencido","Abierto en plazo"),IF(K37&lt;=J37,"Cumplido","Incumplido")))</f>
        <v/>
      </c>
    </row>
    <row r="38">
      <c r="A38">
        <f>IF(B38="","",ROW()-3)</f>
        <v/>
      </c>
      <c r="B38" s="5" t="n"/>
      <c r="C38" s="4" t="n"/>
      <c r="D38" s="4" t="n"/>
      <c r="E38" s="4" t="n"/>
      <c r="F38" s="4" t="n"/>
      <c r="G38" s="4" t="n"/>
      <c r="H38">
        <f>IF(OR(F38="",G38=""),"",INDEX(Reglas!$B$5:$D$7,MATCH(F38,Reglas!$A$5:$A$7,0),MATCH(G38,Reglas!$B$4:$D$4,0)))</f>
        <v/>
      </c>
      <c r="I38">
        <f>IF(H38="","",VLOOKUP(H38,Reglas!$A$11:$B$14,2,FALSE))</f>
        <v/>
      </c>
      <c r="J38" s="6">
        <f>IF(I38="","",B38+I38/24)</f>
        <v/>
      </c>
      <c r="K38" s="5" t="n"/>
      <c r="L38" s="7">
        <f>IF(OR(B38="",K38=""),"",(K38-B38)*24)</f>
        <v/>
      </c>
      <c r="M38">
        <f>IF(B38="","",IF(K38="",IF(Reglas!$B$16&gt;J38,"Abierto vencido","Abierto en plazo"),IF(K38&lt;=J38,"Cumplido","Incumplido")))</f>
        <v/>
      </c>
    </row>
    <row r="39">
      <c r="A39">
        <f>IF(B39="","",ROW()-3)</f>
        <v/>
      </c>
      <c r="B39" s="5" t="n"/>
      <c r="C39" s="4" t="n"/>
      <c r="D39" s="4" t="n"/>
      <c r="E39" s="4" t="n"/>
      <c r="F39" s="4" t="n"/>
      <c r="G39" s="4" t="n"/>
      <c r="H39">
        <f>IF(OR(F39="",G39=""),"",INDEX(Reglas!$B$5:$D$7,MATCH(F39,Reglas!$A$5:$A$7,0),MATCH(G39,Reglas!$B$4:$D$4,0)))</f>
        <v/>
      </c>
      <c r="I39">
        <f>IF(H39="","",VLOOKUP(H39,Reglas!$A$11:$B$14,2,FALSE))</f>
        <v/>
      </c>
      <c r="J39" s="6">
        <f>IF(I39="","",B39+I39/24)</f>
        <v/>
      </c>
      <c r="K39" s="5" t="n"/>
      <c r="L39" s="7">
        <f>IF(OR(B39="",K39=""),"",(K39-B39)*24)</f>
        <v/>
      </c>
      <c r="M39">
        <f>IF(B39="","",IF(K39="",IF(Reglas!$B$16&gt;J39,"Abierto vencido","Abierto en plazo"),IF(K39&lt;=J39,"Cumplido","Incumplido")))</f>
        <v/>
      </c>
    </row>
    <row r="40">
      <c r="A40">
        <f>IF(B40="","",ROW()-3)</f>
        <v/>
      </c>
      <c r="B40" s="5" t="n"/>
      <c r="C40" s="4" t="n"/>
      <c r="D40" s="4" t="n"/>
      <c r="E40" s="4" t="n"/>
      <c r="F40" s="4" t="n"/>
      <c r="G40" s="4" t="n"/>
      <c r="H40">
        <f>IF(OR(F40="",G40=""),"",INDEX(Reglas!$B$5:$D$7,MATCH(F40,Reglas!$A$5:$A$7,0),MATCH(G40,Reglas!$B$4:$D$4,0)))</f>
        <v/>
      </c>
      <c r="I40">
        <f>IF(H40="","",VLOOKUP(H40,Reglas!$A$11:$B$14,2,FALSE))</f>
        <v/>
      </c>
      <c r="J40" s="6">
        <f>IF(I40="","",B40+I40/24)</f>
        <v/>
      </c>
      <c r="K40" s="5" t="n"/>
      <c r="L40" s="7">
        <f>IF(OR(B40="",K40=""),"",(K40-B40)*24)</f>
        <v/>
      </c>
      <c r="M40">
        <f>IF(B40="","",IF(K40="",IF(Reglas!$B$16&gt;J40,"Abierto vencido","Abierto en plazo"),IF(K40&lt;=J40,"Cumplido","Incumplido")))</f>
        <v/>
      </c>
    </row>
    <row r="41">
      <c r="A41">
        <f>IF(B41="","",ROW()-3)</f>
        <v/>
      </c>
      <c r="B41" s="5" t="n"/>
      <c r="C41" s="4" t="n"/>
      <c r="D41" s="4" t="n"/>
      <c r="E41" s="4" t="n"/>
      <c r="F41" s="4" t="n"/>
      <c r="G41" s="4" t="n"/>
      <c r="H41">
        <f>IF(OR(F41="",G41=""),"",INDEX(Reglas!$B$5:$D$7,MATCH(F41,Reglas!$A$5:$A$7,0),MATCH(G41,Reglas!$B$4:$D$4,0)))</f>
        <v/>
      </c>
      <c r="I41">
        <f>IF(H41="","",VLOOKUP(H41,Reglas!$A$11:$B$14,2,FALSE))</f>
        <v/>
      </c>
      <c r="J41" s="6">
        <f>IF(I41="","",B41+I41/24)</f>
        <v/>
      </c>
      <c r="K41" s="5" t="n"/>
      <c r="L41" s="7">
        <f>IF(OR(B41="",K41=""),"",(K41-B41)*24)</f>
        <v/>
      </c>
      <c r="M41">
        <f>IF(B41="","",IF(K41="",IF(Reglas!$B$16&gt;J41,"Abierto vencido","Abierto en plazo"),IF(K41&lt;=J41,"Cumplido","Incumplido")))</f>
        <v/>
      </c>
    </row>
    <row r="42">
      <c r="A42">
        <f>IF(B42="","",ROW()-3)</f>
        <v/>
      </c>
      <c r="B42" s="5" t="n"/>
      <c r="C42" s="4" t="n"/>
      <c r="D42" s="4" t="n"/>
      <c r="E42" s="4" t="n"/>
      <c r="F42" s="4" t="n"/>
      <c r="G42" s="4" t="n"/>
      <c r="H42">
        <f>IF(OR(F42="",G42=""),"",INDEX(Reglas!$B$5:$D$7,MATCH(F42,Reglas!$A$5:$A$7,0),MATCH(G42,Reglas!$B$4:$D$4,0)))</f>
        <v/>
      </c>
      <c r="I42">
        <f>IF(H42="","",VLOOKUP(H42,Reglas!$A$11:$B$14,2,FALSE))</f>
        <v/>
      </c>
      <c r="J42" s="6">
        <f>IF(I42="","",B42+I42/24)</f>
        <v/>
      </c>
      <c r="K42" s="5" t="n"/>
      <c r="L42" s="7">
        <f>IF(OR(B42="",K42=""),"",(K42-B42)*24)</f>
        <v/>
      </c>
      <c r="M42">
        <f>IF(B42="","",IF(K42="",IF(Reglas!$B$16&gt;J42,"Abierto vencido","Abierto en plazo"),IF(K42&lt;=J42,"Cumplido","Incumplido")))</f>
        <v/>
      </c>
    </row>
    <row r="43">
      <c r="A43">
        <f>IF(B43="","",ROW()-3)</f>
        <v/>
      </c>
      <c r="B43" s="5" t="n"/>
      <c r="C43" s="4" t="n"/>
      <c r="D43" s="4" t="n"/>
      <c r="E43" s="4" t="n"/>
      <c r="F43" s="4" t="n"/>
      <c r="G43" s="4" t="n"/>
      <c r="H43">
        <f>IF(OR(F43="",G43=""),"",INDEX(Reglas!$B$5:$D$7,MATCH(F43,Reglas!$A$5:$A$7,0),MATCH(G43,Reglas!$B$4:$D$4,0)))</f>
        <v/>
      </c>
      <c r="I43">
        <f>IF(H43="","",VLOOKUP(H43,Reglas!$A$11:$B$14,2,FALSE))</f>
        <v/>
      </c>
      <c r="J43" s="6">
        <f>IF(I43="","",B43+I43/24)</f>
        <v/>
      </c>
      <c r="K43" s="5" t="n"/>
      <c r="L43" s="7">
        <f>IF(OR(B43="",K43=""),"",(K43-B43)*24)</f>
        <v/>
      </c>
      <c r="M43">
        <f>IF(B43="","",IF(K43="",IF(Reglas!$B$16&gt;J43,"Abierto vencido","Abierto en plazo"),IF(K43&lt;=J43,"Cumplido","Incumplido")))</f>
        <v/>
      </c>
    </row>
    <row r="44">
      <c r="A44">
        <f>IF(B44="","",ROW()-3)</f>
        <v/>
      </c>
      <c r="B44" s="5" t="n"/>
      <c r="C44" s="4" t="n"/>
      <c r="D44" s="4" t="n"/>
      <c r="E44" s="4" t="n"/>
      <c r="F44" s="4" t="n"/>
      <c r="G44" s="4" t="n"/>
      <c r="H44">
        <f>IF(OR(F44="",G44=""),"",INDEX(Reglas!$B$5:$D$7,MATCH(F44,Reglas!$A$5:$A$7,0),MATCH(G44,Reglas!$B$4:$D$4,0)))</f>
        <v/>
      </c>
      <c r="I44">
        <f>IF(H44="","",VLOOKUP(H44,Reglas!$A$11:$B$14,2,FALSE))</f>
        <v/>
      </c>
      <c r="J44" s="6">
        <f>IF(I44="","",B44+I44/24)</f>
        <v/>
      </c>
      <c r="K44" s="5" t="n"/>
      <c r="L44" s="7">
        <f>IF(OR(B44="",K44=""),"",(K44-B44)*24)</f>
        <v/>
      </c>
      <c r="M44">
        <f>IF(B44="","",IF(K44="",IF(Reglas!$B$16&gt;J44,"Abierto vencido","Abierto en plazo"),IF(K44&lt;=J44,"Cumplido","Incumplido")))</f>
        <v/>
      </c>
    </row>
    <row r="45">
      <c r="A45">
        <f>IF(B45="","",ROW()-3)</f>
        <v/>
      </c>
      <c r="B45" s="5" t="n"/>
      <c r="C45" s="4" t="n"/>
      <c r="D45" s="4" t="n"/>
      <c r="E45" s="4" t="n"/>
      <c r="F45" s="4" t="n"/>
      <c r="G45" s="4" t="n"/>
      <c r="H45">
        <f>IF(OR(F45="",G45=""),"",INDEX(Reglas!$B$5:$D$7,MATCH(F45,Reglas!$A$5:$A$7,0),MATCH(G45,Reglas!$B$4:$D$4,0)))</f>
        <v/>
      </c>
      <c r="I45">
        <f>IF(H45="","",VLOOKUP(H45,Reglas!$A$11:$B$14,2,FALSE))</f>
        <v/>
      </c>
      <c r="J45" s="6">
        <f>IF(I45="","",B45+I45/24)</f>
        <v/>
      </c>
      <c r="K45" s="5" t="n"/>
      <c r="L45" s="7">
        <f>IF(OR(B45="",K45=""),"",(K45-B45)*24)</f>
        <v/>
      </c>
      <c r="M45">
        <f>IF(B45="","",IF(K45="",IF(Reglas!$B$16&gt;J45,"Abierto vencido","Abierto en plazo"),IF(K45&lt;=J45,"Cumplido","Incumplido")))</f>
        <v/>
      </c>
    </row>
    <row r="46">
      <c r="A46">
        <f>IF(B46="","",ROW()-3)</f>
        <v/>
      </c>
      <c r="B46" s="5" t="n"/>
      <c r="C46" s="4" t="n"/>
      <c r="D46" s="4" t="n"/>
      <c r="E46" s="4" t="n"/>
      <c r="F46" s="4" t="n"/>
      <c r="G46" s="4" t="n"/>
      <c r="H46">
        <f>IF(OR(F46="",G46=""),"",INDEX(Reglas!$B$5:$D$7,MATCH(F46,Reglas!$A$5:$A$7,0),MATCH(G46,Reglas!$B$4:$D$4,0)))</f>
        <v/>
      </c>
      <c r="I46">
        <f>IF(H46="","",VLOOKUP(H46,Reglas!$A$11:$B$14,2,FALSE))</f>
        <v/>
      </c>
      <c r="J46" s="6">
        <f>IF(I46="","",B46+I46/24)</f>
        <v/>
      </c>
      <c r="K46" s="5" t="n"/>
      <c r="L46" s="7">
        <f>IF(OR(B46="",K46=""),"",(K46-B46)*24)</f>
        <v/>
      </c>
      <c r="M46">
        <f>IF(B46="","",IF(K46="",IF(Reglas!$B$16&gt;J46,"Abierto vencido","Abierto en plazo"),IF(K46&lt;=J46,"Cumplido","Incumplido")))</f>
        <v/>
      </c>
    </row>
    <row r="47">
      <c r="A47">
        <f>IF(B47="","",ROW()-3)</f>
        <v/>
      </c>
      <c r="B47" s="5" t="n"/>
      <c r="C47" s="4" t="n"/>
      <c r="D47" s="4" t="n"/>
      <c r="E47" s="4" t="n"/>
      <c r="F47" s="4" t="n"/>
      <c r="G47" s="4" t="n"/>
      <c r="H47">
        <f>IF(OR(F47="",G47=""),"",INDEX(Reglas!$B$5:$D$7,MATCH(F47,Reglas!$A$5:$A$7,0),MATCH(G47,Reglas!$B$4:$D$4,0)))</f>
        <v/>
      </c>
      <c r="I47">
        <f>IF(H47="","",VLOOKUP(H47,Reglas!$A$11:$B$14,2,FALSE))</f>
        <v/>
      </c>
      <c r="J47" s="6">
        <f>IF(I47="","",B47+I47/24)</f>
        <v/>
      </c>
      <c r="K47" s="5" t="n"/>
      <c r="L47" s="7">
        <f>IF(OR(B47="",K47=""),"",(K47-B47)*24)</f>
        <v/>
      </c>
      <c r="M47">
        <f>IF(B47="","",IF(K47="",IF(Reglas!$B$16&gt;J47,"Abierto vencido","Abierto en plazo"),IF(K47&lt;=J47,"Cumplido","Incumplido")))</f>
        <v/>
      </c>
    </row>
    <row r="48">
      <c r="A48">
        <f>IF(B48="","",ROW()-3)</f>
        <v/>
      </c>
      <c r="B48" s="5" t="n"/>
      <c r="C48" s="4" t="n"/>
      <c r="D48" s="4" t="n"/>
      <c r="E48" s="4" t="n"/>
      <c r="F48" s="4" t="n"/>
      <c r="G48" s="4" t="n"/>
      <c r="H48">
        <f>IF(OR(F48="",G48=""),"",INDEX(Reglas!$B$5:$D$7,MATCH(F48,Reglas!$A$5:$A$7,0),MATCH(G48,Reglas!$B$4:$D$4,0)))</f>
        <v/>
      </c>
      <c r="I48">
        <f>IF(H48="","",VLOOKUP(H48,Reglas!$A$11:$B$14,2,FALSE))</f>
        <v/>
      </c>
      <c r="J48" s="6">
        <f>IF(I48="","",B48+I48/24)</f>
        <v/>
      </c>
      <c r="K48" s="5" t="n"/>
      <c r="L48" s="7">
        <f>IF(OR(B48="",K48=""),"",(K48-B48)*24)</f>
        <v/>
      </c>
      <c r="M48">
        <f>IF(B48="","",IF(K48="",IF(Reglas!$B$16&gt;J48,"Abierto vencido","Abierto en plazo"),IF(K48&lt;=J48,"Cumplido","Incumplido")))</f>
        <v/>
      </c>
    </row>
    <row r="49">
      <c r="A49">
        <f>IF(B49="","",ROW()-3)</f>
        <v/>
      </c>
      <c r="B49" s="5" t="n"/>
      <c r="C49" s="4" t="n"/>
      <c r="D49" s="4" t="n"/>
      <c r="E49" s="4" t="n"/>
      <c r="F49" s="4" t="n"/>
      <c r="G49" s="4" t="n"/>
      <c r="H49">
        <f>IF(OR(F49="",G49=""),"",INDEX(Reglas!$B$5:$D$7,MATCH(F49,Reglas!$A$5:$A$7,0),MATCH(G49,Reglas!$B$4:$D$4,0)))</f>
        <v/>
      </c>
      <c r="I49">
        <f>IF(H49="","",VLOOKUP(H49,Reglas!$A$11:$B$14,2,FALSE))</f>
        <v/>
      </c>
      <c r="J49" s="6">
        <f>IF(I49="","",B49+I49/24)</f>
        <v/>
      </c>
      <c r="K49" s="5" t="n"/>
      <c r="L49" s="7">
        <f>IF(OR(B49="",K49=""),"",(K49-B49)*24)</f>
        <v/>
      </c>
      <c r="M49">
        <f>IF(B49="","",IF(K49="",IF(Reglas!$B$16&gt;J49,"Abierto vencido","Abierto en plazo"),IF(K49&lt;=J49,"Cumplido","Incumplido")))</f>
        <v/>
      </c>
    </row>
    <row r="50">
      <c r="A50">
        <f>IF(B50="","",ROW()-3)</f>
        <v/>
      </c>
      <c r="B50" s="5" t="n"/>
      <c r="C50" s="4" t="n"/>
      <c r="D50" s="4" t="n"/>
      <c r="E50" s="4" t="n"/>
      <c r="F50" s="4" t="n"/>
      <c r="G50" s="4" t="n"/>
      <c r="H50">
        <f>IF(OR(F50="",G50=""),"",INDEX(Reglas!$B$5:$D$7,MATCH(F50,Reglas!$A$5:$A$7,0),MATCH(G50,Reglas!$B$4:$D$4,0)))</f>
        <v/>
      </c>
      <c r="I50">
        <f>IF(H50="","",VLOOKUP(H50,Reglas!$A$11:$B$14,2,FALSE))</f>
        <v/>
      </c>
      <c r="J50" s="6">
        <f>IF(I50="","",B50+I50/24)</f>
        <v/>
      </c>
      <c r="K50" s="5" t="n"/>
      <c r="L50" s="7">
        <f>IF(OR(B50="",K50=""),"",(K50-B50)*24)</f>
        <v/>
      </c>
      <c r="M50">
        <f>IF(B50="","",IF(K50="",IF(Reglas!$B$16&gt;J50,"Abierto vencido","Abierto en plazo"),IF(K50&lt;=J50,"Cumplido","Incumplido")))</f>
        <v/>
      </c>
    </row>
    <row r="51">
      <c r="A51">
        <f>IF(B51="","",ROW()-3)</f>
        <v/>
      </c>
      <c r="B51" s="5" t="n"/>
      <c r="C51" s="4" t="n"/>
      <c r="D51" s="4" t="n"/>
      <c r="E51" s="4" t="n"/>
      <c r="F51" s="4" t="n"/>
      <c r="G51" s="4" t="n"/>
      <c r="H51">
        <f>IF(OR(F51="",G51=""),"",INDEX(Reglas!$B$5:$D$7,MATCH(F51,Reglas!$A$5:$A$7,0),MATCH(G51,Reglas!$B$4:$D$4,0)))</f>
        <v/>
      </c>
      <c r="I51">
        <f>IF(H51="","",VLOOKUP(H51,Reglas!$A$11:$B$14,2,FALSE))</f>
        <v/>
      </c>
      <c r="J51" s="6">
        <f>IF(I51="","",B51+I51/24)</f>
        <v/>
      </c>
      <c r="K51" s="5" t="n"/>
      <c r="L51" s="7">
        <f>IF(OR(B51="",K51=""),"",(K51-B51)*24)</f>
        <v/>
      </c>
      <c r="M51">
        <f>IF(B51="","",IF(K51="",IF(Reglas!$B$16&gt;J51,"Abierto vencido","Abierto en plazo"),IF(K51&lt;=J51,"Cumplido","Incumplido")))</f>
        <v/>
      </c>
    </row>
    <row r="52">
      <c r="A52">
        <f>IF(B52="","",ROW()-3)</f>
        <v/>
      </c>
      <c r="B52" s="5" t="n"/>
      <c r="C52" s="4" t="n"/>
      <c r="D52" s="4" t="n"/>
      <c r="E52" s="4" t="n"/>
      <c r="F52" s="4" t="n"/>
      <c r="G52" s="4" t="n"/>
      <c r="H52">
        <f>IF(OR(F52="",G52=""),"",INDEX(Reglas!$B$5:$D$7,MATCH(F52,Reglas!$A$5:$A$7,0),MATCH(G52,Reglas!$B$4:$D$4,0)))</f>
        <v/>
      </c>
      <c r="I52">
        <f>IF(H52="","",VLOOKUP(H52,Reglas!$A$11:$B$14,2,FALSE))</f>
        <v/>
      </c>
      <c r="J52" s="6">
        <f>IF(I52="","",B52+I52/24)</f>
        <v/>
      </c>
      <c r="K52" s="5" t="n"/>
      <c r="L52" s="7">
        <f>IF(OR(B52="",K52=""),"",(K52-B52)*24)</f>
        <v/>
      </c>
      <c r="M52">
        <f>IF(B52="","",IF(K52="",IF(Reglas!$B$16&gt;J52,"Abierto vencido","Abierto en plazo"),IF(K52&lt;=J52,"Cumplido","Incumplido")))</f>
        <v/>
      </c>
    </row>
    <row r="53">
      <c r="A53">
        <f>IF(B53="","",ROW()-3)</f>
        <v/>
      </c>
      <c r="B53" s="5" t="n"/>
      <c r="C53" s="4" t="n"/>
      <c r="D53" s="4" t="n"/>
      <c r="E53" s="4" t="n"/>
      <c r="F53" s="4" t="n"/>
      <c r="G53" s="4" t="n"/>
      <c r="H53">
        <f>IF(OR(F53="",G53=""),"",INDEX(Reglas!$B$5:$D$7,MATCH(F53,Reglas!$A$5:$A$7,0),MATCH(G53,Reglas!$B$4:$D$4,0)))</f>
        <v/>
      </c>
      <c r="I53">
        <f>IF(H53="","",VLOOKUP(H53,Reglas!$A$11:$B$14,2,FALSE))</f>
        <v/>
      </c>
      <c r="J53" s="6">
        <f>IF(I53="","",B53+I53/24)</f>
        <v/>
      </c>
      <c r="K53" s="5" t="n"/>
      <c r="L53" s="7">
        <f>IF(OR(B53="",K53=""),"",(K53-B53)*24)</f>
        <v/>
      </c>
      <c r="M53">
        <f>IF(B53="","",IF(K53="",IF(Reglas!$B$16&gt;J53,"Abierto vencido","Abierto en plazo"),IF(K53&lt;=J53,"Cumplido","Incumplido")))</f>
        <v/>
      </c>
    </row>
    <row r="54">
      <c r="A54">
        <f>IF(B54="","",ROW()-3)</f>
        <v/>
      </c>
      <c r="B54" s="5" t="n"/>
      <c r="C54" s="4" t="n"/>
      <c r="D54" s="4" t="n"/>
      <c r="E54" s="4" t="n"/>
      <c r="F54" s="4" t="n"/>
      <c r="G54" s="4" t="n"/>
      <c r="H54">
        <f>IF(OR(F54="",G54=""),"",INDEX(Reglas!$B$5:$D$7,MATCH(F54,Reglas!$A$5:$A$7,0),MATCH(G54,Reglas!$B$4:$D$4,0)))</f>
        <v/>
      </c>
      <c r="I54">
        <f>IF(H54="","",VLOOKUP(H54,Reglas!$A$11:$B$14,2,FALSE))</f>
        <v/>
      </c>
      <c r="J54" s="6">
        <f>IF(I54="","",B54+I54/24)</f>
        <v/>
      </c>
      <c r="K54" s="5" t="n"/>
      <c r="L54" s="7">
        <f>IF(OR(B54="",K54=""),"",(K54-B54)*24)</f>
        <v/>
      </c>
      <c r="M54">
        <f>IF(B54="","",IF(K54="",IF(Reglas!$B$16&gt;J54,"Abierto vencido","Abierto en plazo"),IF(K54&lt;=J54,"Cumplido","Incumplido")))</f>
        <v/>
      </c>
    </row>
    <row r="55">
      <c r="A55">
        <f>IF(B55="","",ROW()-3)</f>
        <v/>
      </c>
      <c r="B55" s="5" t="n"/>
      <c r="C55" s="4" t="n"/>
      <c r="D55" s="4" t="n"/>
      <c r="E55" s="4" t="n"/>
      <c r="F55" s="4" t="n"/>
      <c r="G55" s="4" t="n"/>
      <c r="H55">
        <f>IF(OR(F55="",G55=""),"",INDEX(Reglas!$B$5:$D$7,MATCH(F55,Reglas!$A$5:$A$7,0),MATCH(G55,Reglas!$B$4:$D$4,0)))</f>
        <v/>
      </c>
      <c r="I55">
        <f>IF(H55="","",VLOOKUP(H55,Reglas!$A$11:$B$14,2,FALSE))</f>
        <v/>
      </c>
      <c r="J55" s="6">
        <f>IF(I55="","",B55+I55/24)</f>
        <v/>
      </c>
      <c r="K55" s="5" t="n"/>
      <c r="L55" s="7">
        <f>IF(OR(B55="",K55=""),"",(K55-B55)*24)</f>
        <v/>
      </c>
      <c r="M55">
        <f>IF(B55="","",IF(K55="",IF(Reglas!$B$16&gt;J55,"Abierto vencido","Abierto en plazo"),IF(K55&lt;=J55,"Cumplido","Incumplido")))</f>
        <v/>
      </c>
    </row>
    <row r="56">
      <c r="A56">
        <f>IF(B56="","",ROW()-3)</f>
        <v/>
      </c>
      <c r="B56" s="5" t="n"/>
      <c r="C56" s="4" t="n"/>
      <c r="D56" s="4" t="n"/>
      <c r="E56" s="4" t="n"/>
      <c r="F56" s="4" t="n"/>
      <c r="G56" s="4" t="n"/>
      <c r="H56">
        <f>IF(OR(F56="",G56=""),"",INDEX(Reglas!$B$5:$D$7,MATCH(F56,Reglas!$A$5:$A$7,0),MATCH(G56,Reglas!$B$4:$D$4,0)))</f>
        <v/>
      </c>
      <c r="I56">
        <f>IF(H56="","",VLOOKUP(H56,Reglas!$A$11:$B$14,2,FALSE))</f>
        <v/>
      </c>
      <c r="J56" s="6">
        <f>IF(I56="","",B56+I56/24)</f>
        <v/>
      </c>
      <c r="K56" s="5" t="n"/>
      <c r="L56" s="7">
        <f>IF(OR(B56="",K56=""),"",(K56-B56)*24)</f>
        <v/>
      </c>
      <c r="M56">
        <f>IF(B56="","",IF(K56="",IF(Reglas!$B$16&gt;J56,"Abierto vencido","Abierto en plazo"),IF(K56&lt;=J56,"Cumplido","Incumplido")))</f>
        <v/>
      </c>
    </row>
    <row r="57">
      <c r="A57">
        <f>IF(B57="","",ROW()-3)</f>
        <v/>
      </c>
      <c r="B57" s="5" t="n"/>
      <c r="C57" s="4" t="n"/>
      <c r="D57" s="4" t="n"/>
      <c r="E57" s="4" t="n"/>
      <c r="F57" s="4" t="n"/>
      <c r="G57" s="4" t="n"/>
      <c r="H57">
        <f>IF(OR(F57="",G57=""),"",INDEX(Reglas!$B$5:$D$7,MATCH(F57,Reglas!$A$5:$A$7,0),MATCH(G57,Reglas!$B$4:$D$4,0)))</f>
        <v/>
      </c>
      <c r="I57">
        <f>IF(H57="","",VLOOKUP(H57,Reglas!$A$11:$B$14,2,FALSE))</f>
        <v/>
      </c>
      <c r="J57" s="6">
        <f>IF(I57="","",B57+I57/24)</f>
        <v/>
      </c>
      <c r="K57" s="5" t="n"/>
      <c r="L57" s="7">
        <f>IF(OR(B57="",K57=""),"",(K57-B57)*24)</f>
        <v/>
      </c>
      <c r="M57">
        <f>IF(B57="","",IF(K57="",IF(Reglas!$B$16&gt;J57,"Abierto vencido","Abierto en plazo"),IF(K57&lt;=J57,"Cumplido","Incumplido")))</f>
        <v/>
      </c>
    </row>
    <row r="58">
      <c r="A58">
        <f>IF(B58="","",ROW()-3)</f>
        <v/>
      </c>
      <c r="B58" s="5" t="n"/>
      <c r="C58" s="4" t="n"/>
      <c r="D58" s="4" t="n"/>
      <c r="E58" s="4" t="n"/>
      <c r="F58" s="4" t="n"/>
      <c r="G58" s="4" t="n"/>
      <c r="H58">
        <f>IF(OR(F58="",G58=""),"",INDEX(Reglas!$B$5:$D$7,MATCH(F58,Reglas!$A$5:$A$7,0),MATCH(G58,Reglas!$B$4:$D$4,0)))</f>
        <v/>
      </c>
      <c r="I58">
        <f>IF(H58="","",VLOOKUP(H58,Reglas!$A$11:$B$14,2,FALSE))</f>
        <v/>
      </c>
      <c r="J58" s="6">
        <f>IF(I58="","",B58+I58/24)</f>
        <v/>
      </c>
      <c r="K58" s="5" t="n"/>
      <c r="L58" s="7">
        <f>IF(OR(B58="",K58=""),"",(K58-B58)*24)</f>
        <v/>
      </c>
      <c r="M58">
        <f>IF(B58="","",IF(K58="",IF(Reglas!$B$16&gt;J58,"Abierto vencido","Abierto en plazo"),IF(K58&lt;=J58,"Cumplido","Incumplido")))</f>
        <v/>
      </c>
    </row>
    <row r="59">
      <c r="A59">
        <f>IF(B59="","",ROW()-3)</f>
        <v/>
      </c>
      <c r="B59" s="5" t="n"/>
      <c r="C59" s="4" t="n"/>
      <c r="D59" s="4" t="n"/>
      <c r="E59" s="4" t="n"/>
      <c r="F59" s="4" t="n"/>
      <c r="G59" s="4" t="n"/>
      <c r="H59">
        <f>IF(OR(F59="",G59=""),"",INDEX(Reglas!$B$5:$D$7,MATCH(F59,Reglas!$A$5:$A$7,0),MATCH(G59,Reglas!$B$4:$D$4,0)))</f>
        <v/>
      </c>
      <c r="I59">
        <f>IF(H59="","",VLOOKUP(H59,Reglas!$A$11:$B$14,2,FALSE))</f>
        <v/>
      </c>
      <c r="J59" s="6">
        <f>IF(I59="","",B59+I59/24)</f>
        <v/>
      </c>
      <c r="K59" s="5" t="n"/>
      <c r="L59" s="7">
        <f>IF(OR(B59="",K59=""),"",(K59-B59)*24)</f>
        <v/>
      </c>
      <c r="M59">
        <f>IF(B59="","",IF(K59="",IF(Reglas!$B$16&gt;J59,"Abierto vencido","Abierto en plazo"),IF(K59&lt;=J59,"Cumplido","Incumplido")))</f>
        <v/>
      </c>
    </row>
    <row r="60">
      <c r="A60">
        <f>IF(B60="","",ROW()-3)</f>
        <v/>
      </c>
      <c r="B60" s="5" t="n"/>
      <c r="C60" s="4" t="n"/>
      <c r="D60" s="4" t="n"/>
      <c r="E60" s="4" t="n"/>
      <c r="F60" s="4" t="n"/>
      <c r="G60" s="4" t="n"/>
      <c r="H60">
        <f>IF(OR(F60="",G60=""),"",INDEX(Reglas!$B$5:$D$7,MATCH(F60,Reglas!$A$5:$A$7,0),MATCH(G60,Reglas!$B$4:$D$4,0)))</f>
        <v/>
      </c>
      <c r="I60">
        <f>IF(H60="","",VLOOKUP(H60,Reglas!$A$11:$B$14,2,FALSE))</f>
        <v/>
      </c>
      <c r="J60" s="6">
        <f>IF(I60="","",B60+I60/24)</f>
        <v/>
      </c>
      <c r="K60" s="5" t="n"/>
      <c r="L60" s="7">
        <f>IF(OR(B60="",K60=""),"",(K60-B60)*24)</f>
        <v/>
      </c>
      <c r="M60">
        <f>IF(B60="","",IF(K60="",IF(Reglas!$B$16&gt;J60,"Abierto vencido","Abierto en plazo"),IF(K60&lt;=J60,"Cumplido","Incumplido")))</f>
        <v/>
      </c>
    </row>
    <row r="61">
      <c r="A61">
        <f>IF(B61="","",ROW()-3)</f>
        <v/>
      </c>
      <c r="B61" s="5" t="n"/>
      <c r="C61" s="4" t="n"/>
      <c r="D61" s="4" t="n"/>
      <c r="E61" s="4" t="n"/>
      <c r="F61" s="4" t="n"/>
      <c r="G61" s="4" t="n"/>
      <c r="H61">
        <f>IF(OR(F61="",G61=""),"",INDEX(Reglas!$B$5:$D$7,MATCH(F61,Reglas!$A$5:$A$7,0),MATCH(G61,Reglas!$B$4:$D$4,0)))</f>
        <v/>
      </c>
      <c r="I61">
        <f>IF(H61="","",VLOOKUP(H61,Reglas!$A$11:$B$14,2,FALSE))</f>
        <v/>
      </c>
      <c r="J61" s="6">
        <f>IF(I61="","",B61+I61/24)</f>
        <v/>
      </c>
      <c r="K61" s="5" t="n"/>
      <c r="L61" s="7">
        <f>IF(OR(B61="",K61=""),"",(K61-B61)*24)</f>
        <v/>
      </c>
      <c r="M61">
        <f>IF(B61="","",IF(K61="",IF(Reglas!$B$16&gt;J61,"Abierto vencido","Abierto en plazo"),IF(K61&lt;=J61,"Cumplido","Incumplido")))</f>
        <v/>
      </c>
    </row>
    <row r="62">
      <c r="A62">
        <f>IF(B62="","",ROW()-3)</f>
        <v/>
      </c>
      <c r="B62" s="5" t="n"/>
      <c r="C62" s="4" t="n"/>
      <c r="D62" s="4" t="n"/>
      <c r="E62" s="4" t="n"/>
      <c r="F62" s="4" t="n"/>
      <c r="G62" s="4" t="n"/>
      <c r="H62">
        <f>IF(OR(F62="",G62=""),"",INDEX(Reglas!$B$5:$D$7,MATCH(F62,Reglas!$A$5:$A$7,0),MATCH(G62,Reglas!$B$4:$D$4,0)))</f>
        <v/>
      </c>
      <c r="I62">
        <f>IF(H62="","",VLOOKUP(H62,Reglas!$A$11:$B$14,2,FALSE))</f>
        <v/>
      </c>
      <c r="J62" s="6">
        <f>IF(I62="","",B62+I62/24)</f>
        <v/>
      </c>
      <c r="K62" s="5" t="n"/>
      <c r="L62" s="7">
        <f>IF(OR(B62="",K62=""),"",(K62-B62)*24)</f>
        <v/>
      </c>
      <c r="M62">
        <f>IF(B62="","",IF(K62="",IF(Reglas!$B$16&gt;J62,"Abierto vencido","Abierto en plazo"),IF(K62&lt;=J62,"Cumplido","Incumplido")))</f>
        <v/>
      </c>
    </row>
    <row r="63">
      <c r="A63">
        <f>IF(B63="","",ROW()-3)</f>
        <v/>
      </c>
      <c r="B63" s="5" t="n"/>
      <c r="C63" s="4" t="n"/>
      <c r="D63" s="4" t="n"/>
      <c r="E63" s="4" t="n"/>
      <c r="F63" s="4" t="n"/>
      <c r="G63" s="4" t="n"/>
      <c r="H63">
        <f>IF(OR(F63="",G63=""),"",INDEX(Reglas!$B$5:$D$7,MATCH(F63,Reglas!$A$5:$A$7,0),MATCH(G63,Reglas!$B$4:$D$4,0)))</f>
        <v/>
      </c>
      <c r="I63">
        <f>IF(H63="","",VLOOKUP(H63,Reglas!$A$11:$B$14,2,FALSE))</f>
        <v/>
      </c>
      <c r="J63" s="6">
        <f>IF(I63="","",B63+I63/24)</f>
        <v/>
      </c>
      <c r="K63" s="5" t="n"/>
      <c r="L63" s="7">
        <f>IF(OR(B63="",K63=""),"",(K63-B63)*24)</f>
        <v/>
      </c>
      <c r="M63">
        <f>IF(B63="","",IF(K63="",IF(Reglas!$B$16&gt;J63,"Abierto vencido","Abierto en plazo"),IF(K63&lt;=J63,"Cumplido","Incumplido")))</f>
        <v/>
      </c>
    </row>
    <row r="64">
      <c r="A64">
        <f>IF(B64="","",ROW()-3)</f>
        <v/>
      </c>
      <c r="B64" s="5" t="n"/>
      <c r="C64" s="4" t="n"/>
      <c r="D64" s="4" t="n"/>
      <c r="E64" s="4" t="n"/>
      <c r="F64" s="4" t="n"/>
      <c r="G64" s="4" t="n"/>
      <c r="H64">
        <f>IF(OR(F64="",G64=""),"",INDEX(Reglas!$B$5:$D$7,MATCH(F64,Reglas!$A$5:$A$7,0),MATCH(G64,Reglas!$B$4:$D$4,0)))</f>
        <v/>
      </c>
      <c r="I64">
        <f>IF(H64="","",VLOOKUP(H64,Reglas!$A$11:$B$14,2,FALSE))</f>
        <v/>
      </c>
      <c r="J64" s="6">
        <f>IF(I64="","",B64+I64/24)</f>
        <v/>
      </c>
      <c r="K64" s="5" t="n"/>
      <c r="L64" s="7">
        <f>IF(OR(B64="",K64=""),"",(K64-B64)*24)</f>
        <v/>
      </c>
      <c r="M64">
        <f>IF(B64="","",IF(K64="",IF(Reglas!$B$16&gt;J64,"Abierto vencido","Abierto en plazo"),IF(K64&lt;=J64,"Cumplido","Incumplido")))</f>
        <v/>
      </c>
    </row>
    <row r="65">
      <c r="A65">
        <f>IF(B65="","",ROW()-3)</f>
        <v/>
      </c>
      <c r="B65" s="5" t="n"/>
      <c r="C65" s="4" t="n"/>
      <c r="D65" s="4" t="n"/>
      <c r="E65" s="4" t="n"/>
      <c r="F65" s="4" t="n"/>
      <c r="G65" s="4" t="n"/>
      <c r="H65">
        <f>IF(OR(F65="",G65=""),"",INDEX(Reglas!$B$5:$D$7,MATCH(F65,Reglas!$A$5:$A$7,0),MATCH(G65,Reglas!$B$4:$D$4,0)))</f>
        <v/>
      </c>
      <c r="I65">
        <f>IF(H65="","",VLOOKUP(H65,Reglas!$A$11:$B$14,2,FALSE))</f>
        <v/>
      </c>
      <c r="J65" s="6">
        <f>IF(I65="","",B65+I65/24)</f>
        <v/>
      </c>
      <c r="K65" s="5" t="n"/>
      <c r="L65" s="7">
        <f>IF(OR(B65="",K65=""),"",(K65-B65)*24)</f>
        <v/>
      </c>
      <c r="M65">
        <f>IF(B65="","",IF(K65="",IF(Reglas!$B$16&gt;J65,"Abierto vencido","Abierto en plazo"),IF(K65&lt;=J65,"Cumplido","Incumplido")))</f>
        <v/>
      </c>
    </row>
    <row r="66">
      <c r="A66">
        <f>IF(B66="","",ROW()-3)</f>
        <v/>
      </c>
      <c r="B66" s="5" t="n"/>
      <c r="C66" s="4" t="n"/>
      <c r="D66" s="4" t="n"/>
      <c r="E66" s="4" t="n"/>
      <c r="F66" s="4" t="n"/>
      <c r="G66" s="4" t="n"/>
      <c r="H66">
        <f>IF(OR(F66="",G66=""),"",INDEX(Reglas!$B$5:$D$7,MATCH(F66,Reglas!$A$5:$A$7,0),MATCH(G66,Reglas!$B$4:$D$4,0)))</f>
        <v/>
      </c>
      <c r="I66">
        <f>IF(H66="","",VLOOKUP(H66,Reglas!$A$11:$B$14,2,FALSE))</f>
        <v/>
      </c>
      <c r="J66" s="6">
        <f>IF(I66="","",B66+I66/24)</f>
        <v/>
      </c>
      <c r="K66" s="5" t="n"/>
      <c r="L66" s="7">
        <f>IF(OR(B66="",K66=""),"",(K66-B66)*24)</f>
        <v/>
      </c>
      <c r="M66">
        <f>IF(B66="","",IF(K66="",IF(Reglas!$B$16&gt;J66,"Abierto vencido","Abierto en plazo"),IF(K66&lt;=J66,"Cumplido","Incumplido")))</f>
        <v/>
      </c>
    </row>
    <row r="67">
      <c r="A67">
        <f>IF(B67="","",ROW()-3)</f>
        <v/>
      </c>
      <c r="B67" s="5" t="n"/>
      <c r="C67" s="4" t="n"/>
      <c r="D67" s="4" t="n"/>
      <c r="E67" s="4" t="n"/>
      <c r="F67" s="4" t="n"/>
      <c r="G67" s="4" t="n"/>
      <c r="H67">
        <f>IF(OR(F67="",G67=""),"",INDEX(Reglas!$B$5:$D$7,MATCH(F67,Reglas!$A$5:$A$7,0),MATCH(G67,Reglas!$B$4:$D$4,0)))</f>
        <v/>
      </c>
      <c r="I67">
        <f>IF(H67="","",VLOOKUP(H67,Reglas!$A$11:$B$14,2,FALSE))</f>
        <v/>
      </c>
      <c r="J67" s="6">
        <f>IF(I67="","",B67+I67/24)</f>
        <v/>
      </c>
      <c r="K67" s="5" t="n"/>
      <c r="L67" s="7">
        <f>IF(OR(B67="",K67=""),"",(K67-B67)*24)</f>
        <v/>
      </c>
      <c r="M67">
        <f>IF(B67="","",IF(K67="",IF(Reglas!$B$16&gt;J67,"Abierto vencido","Abierto en plazo"),IF(K67&lt;=J67,"Cumplido","Incumplido")))</f>
        <v/>
      </c>
    </row>
    <row r="68">
      <c r="A68">
        <f>IF(B68="","",ROW()-3)</f>
        <v/>
      </c>
      <c r="B68" s="5" t="n"/>
      <c r="C68" s="4" t="n"/>
      <c r="D68" s="4" t="n"/>
      <c r="E68" s="4" t="n"/>
      <c r="F68" s="4" t="n"/>
      <c r="G68" s="4" t="n"/>
      <c r="H68">
        <f>IF(OR(F68="",G68=""),"",INDEX(Reglas!$B$5:$D$7,MATCH(F68,Reglas!$A$5:$A$7,0),MATCH(G68,Reglas!$B$4:$D$4,0)))</f>
        <v/>
      </c>
      <c r="I68">
        <f>IF(H68="","",VLOOKUP(H68,Reglas!$A$11:$B$14,2,FALSE))</f>
        <v/>
      </c>
      <c r="J68" s="6">
        <f>IF(I68="","",B68+I68/24)</f>
        <v/>
      </c>
      <c r="K68" s="5" t="n"/>
      <c r="L68" s="7">
        <f>IF(OR(B68="",K68=""),"",(K68-B68)*24)</f>
        <v/>
      </c>
      <c r="M68">
        <f>IF(B68="","",IF(K68="",IF(Reglas!$B$16&gt;J68,"Abierto vencido","Abierto en plazo"),IF(K68&lt;=J68,"Cumplido","Incumplido")))</f>
        <v/>
      </c>
    </row>
    <row r="69">
      <c r="A69">
        <f>IF(B69="","",ROW()-3)</f>
        <v/>
      </c>
      <c r="B69" s="5" t="n"/>
      <c r="C69" s="4" t="n"/>
      <c r="D69" s="4" t="n"/>
      <c r="E69" s="4" t="n"/>
      <c r="F69" s="4" t="n"/>
      <c r="G69" s="4" t="n"/>
      <c r="H69">
        <f>IF(OR(F69="",G69=""),"",INDEX(Reglas!$B$5:$D$7,MATCH(F69,Reglas!$A$5:$A$7,0),MATCH(G69,Reglas!$B$4:$D$4,0)))</f>
        <v/>
      </c>
      <c r="I69">
        <f>IF(H69="","",VLOOKUP(H69,Reglas!$A$11:$B$14,2,FALSE))</f>
        <v/>
      </c>
      <c r="J69" s="6">
        <f>IF(I69="","",B69+I69/24)</f>
        <v/>
      </c>
      <c r="K69" s="5" t="n"/>
      <c r="L69" s="7">
        <f>IF(OR(B69="",K69=""),"",(K69-B69)*24)</f>
        <v/>
      </c>
      <c r="M69">
        <f>IF(B69="","",IF(K69="",IF(Reglas!$B$16&gt;J69,"Abierto vencido","Abierto en plazo"),IF(K69&lt;=J69,"Cumplido","Incumplido")))</f>
        <v/>
      </c>
    </row>
    <row r="70">
      <c r="A70">
        <f>IF(B70="","",ROW()-3)</f>
        <v/>
      </c>
      <c r="B70" s="5" t="n"/>
      <c r="C70" s="4" t="n"/>
      <c r="D70" s="4" t="n"/>
      <c r="E70" s="4" t="n"/>
      <c r="F70" s="4" t="n"/>
      <c r="G70" s="4" t="n"/>
      <c r="H70">
        <f>IF(OR(F70="",G70=""),"",INDEX(Reglas!$B$5:$D$7,MATCH(F70,Reglas!$A$5:$A$7,0),MATCH(G70,Reglas!$B$4:$D$4,0)))</f>
        <v/>
      </c>
      <c r="I70">
        <f>IF(H70="","",VLOOKUP(H70,Reglas!$A$11:$B$14,2,FALSE))</f>
        <v/>
      </c>
      <c r="J70" s="6">
        <f>IF(I70="","",B70+I70/24)</f>
        <v/>
      </c>
      <c r="K70" s="5" t="n"/>
      <c r="L70" s="7">
        <f>IF(OR(B70="",K70=""),"",(K70-B70)*24)</f>
        <v/>
      </c>
      <c r="M70">
        <f>IF(B70="","",IF(K70="",IF(Reglas!$B$16&gt;J70,"Abierto vencido","Abierto en plazo"),IF(K70&lt;=J70,"Cumplido","Incumplido")))</f>
        <v/>
      </c>
    </row>
    <row r="71">
      <c r="A71">
        <f>IF(B71="","",ROW()-3)</f>
        <v/>
      </c>
      <c r="B71" s="5" t="n"/>
      <c r="C71" s="4" t="n"/>
      <c r="D71" s="4" t="n"/>
      <c r="E71" s="4" t="n"/>
      <c r="F71" s="4" t="n"/>
      <c r="G71" s="4" t="n"/>
      <c r="H71">
        <f>IF(OR(F71="",G71=""),"",INDEX(Reglas!$B$5:$D$7,MATCH(F71,Reglas!$A$5:$A$7,0),MATCH(G71,Reglas!$B$4:$D$4,0)))</f>
        <v/>
      </c>
      <c r="I71">
        <f>IF(H71="","",VLOOKUP(H71,Reglas!$A$11:$B$14,2,FALSE))</f>
        <v/>
      </c>
      <c r="J71" s="6">
        <f>IF(I71="","",B71+I71/24)</f>
        <v/>
      </c>
      <c r="K71" s="5" t="n"/>
      <c r="L71" s="7">
        <f>IF(OR(B71="",K71=""),"",(K71-B71)*24)</f>
        <v/>
      </c>
      <c r="M71">
        <f>IF(B71="","",IF(K71="",IF(Reglas!$B$16&gt;J71,"Abierto vencido","Abierto en plazo"),IF(K71&lt;=J71,"Cumplido","Incumplido")))</f>
        <v/>
      </c>
    </row>
    <row r="72">
      <c r="A72">
        <f>IF(B72="","",ROW()-3)</f>
        <v/>
      </c>
      <c r="B72" s="5" t="n"/>
      <c r="C72" s="4" t="n"/>
      <c r="D72" s="4" t="n"/>
      <c r="E72" s="4" t="n"/>
      <c r="F72" s="4" t="n"/>
      <c r="G72" s="4" t="n"/>
      <c r="H72">
        <f>IF(OR(F72="",G72=""),"",INDEX(Reglas!$B$5:$D$7,MATCH(F72,Reglas!$A$5:$A$7,0),MATCH(G72,Reglas!$B$4:$D$4,0)))</f>
        <v/>
      </c>
      <c r="I72">
        <f>IF(H72="","",VLOOKUP(H72,Reglas!$A$11:$B$14,2,FALSE))</f>
        <v/>
      </c>
      <c r="J72" s="6">
        <f>IF(I72="","",B72+I72/24)</f>
        <v/>
      </c>
      <c r="K72" s="5" t="n"/>
      <c r="L72" s="7">
        <f>IF(OR(B72="",K72=""),"",(K72-B72)*24)</f>
        <v/>
      </c>
      <c r="M72">
        <f>IF(B72="","",IF(K72="",IF(Reglas!$B$16&gt;J72,"Abierto vencido","Abierto en plazo"),IF(K72&lt;=J72,"Cumplido","Incumplido")))</f>
        <v/>
      </c>
    </row>
    <row r="73">
      <c r="A73">
        <f>IF(B73="","",ROW()-3)</f>
        <v/>
      </c>
      <c r="B73" s="5" t="n"/>
      <c r="C73" s="4" t="n"/>
      <c r="D73" s="4" t="n"/>
      <c r="E73" s="4" t="n"/>
      <c r="F73" s="4" t="n"/>
      <c r="G73" s="4" t="n"/>
      <c r="H73">
        <f>IF(OR(F73="",G73=""),"",INDEX(Reglas!$B$5:$D$7,MATCH(F73,Reglas!$A$5:$A$7,0),MATCH(G73,Reglas!$B$4:$D$4,0)))</f>
        <v/>
      </c>
      <c r="I73">
        <f>IF(H73="","",VLOOKUP(H73,Reglas!$A$11:$B$14,2,FALSE))</f>
        <v/>
      </c>
      <c r="J73" s="6">
        <f>IF(I73="","",B73+I73/24)</f>
        <v/>
      </c>
      <c r="K73" s="5" t="n"/>
      <c r="L73" s="7">
        <f>IF(OR(B73="",K73=""),"",(K73-B73)*24)</f>
        <v/>
      </c>
      <c r="M73">
        <f>IF(B73="","",IF(K73="",IF(Reglas!$B$16&gt;J73,"Abierto vencido","Abierto en plazo"),IF(K73&lt;=J73,"Cumplido","Incumplido")))</f>
        <v/>
      </c>
    </row>
    <row r="74">
      <c r="A74">
        <f>IF(B74="","",ROW()-3)</f>
        <v/>
      </c>
      <c r="B74" s="5" t="n"/>
      <c r="C74" s="4" t="n"/>
      <c r="D74" s="4" t="n"/>
      <c r="E74" s="4" t="n"/>
      <c r="F74" s="4" t="n"/>
      <c r="G74" s="4" t="n"/>
      <c r="H74">
        <f>IF(OR(F74="",G74=""),"",INDEX(Reglas!$B$5:$D$7,MATCH(F74,Reglas!$A$5:$A$7,0),MATCH(G74,Reglas!$B$4:$D$4,0)))</f>
        <v/>
      </c>
      <c r="I74">
        <f>IF(H74="","",VLOOKUP(H74,Reglas!$A$11:$B$14,2,FALSE))</f>
        <v/>
      </c>
      <c r="J74" s="6">
        <f>IF(I74="","",B74+I74/24)</f>
        <v/>
      </c>
      <c r="K74" s="5" t="n"/>
      <c r="L74" s="7">
        <f>IF(OR(B74="",K74=""),"",(K74-B74)*24)</f>
        <v/>
      </c>
      <c r="M74">
        <f>IF(B74="","",IF(K74="",IF(Reglas!$B$16&gt;J74,"Abierto vencido","Abierto en plazo"),IF(K74&lt;=J74,"Cumplido","Incumplido")))</f>
        <v/>
      </c>
    </row>
    <row r="75">
      <c r="A75">
        <f>IF(B75="","",ROW()-3)</f>
        <v/>
      </c>
      <c r="B75" s="5" t="n"/>
      <c r="C75" s="4" t="n"/>
      <c r="D75" s="4" t="n"/>
      <c r="E75" s="4" t="n"/>
      <c r="F75" s="4" t="n"/>
      <c r="G75" s="4" t="n"/>
      <c r="H75">
        <f>IF(OR(F75="",G75=""),"",INDEX(Reglas!$B$5:$D$7,MATCH(F75,Reglas!$A$5:$A$7,0),MATCH(G75,Reglas!$B$4:$D$4,0)))</f>
        <v/>
      </c>
      <c r="I75">
        <f>IF(H75="","",VLOOKUP(H75,Reglas!$A$11:$B$14,2,FALSE))</f>
        <v/>
      </c>
      <c r="J75" s="6">
        <f>IF(I75="","",B75+I75/24)</f>
        <v/>
      </c>
      <c r="K75" s="5" t="n"/>
      <c r="L75" s="7">
        <f>IF(OR(B75="",K75=""),"",(K75-B75)*24)</f>
        <v/>
      </c>
      <c r="M75">
        <f>IF(B75="","",IF(K75="",IF(Reglas!$B$16&gt;J75,"Abierto vencido","Abierto en plazo"),IF(K75&lt;=J75,"Cumplido","Incumplido")))</f>
        <v/>
      </c>
    </row>
    <row r="76">
      <c r="A76">
        <f>IF(B76="","",ROW()-3)</f>
        <v/>
      </c>
      <c r="B76" s="5" t="n"/>
      <c r="C76" s="4" t="n"/>
      <c r="D76" s="4" t="n"/>
      <c r="E76" s="4" t="n"/>
      <c r="F76" s="4" t="n"/>
      <c r="G76" s="4" t="n"/>
      <c r="H76">
        <f>IF(OR(F76="",G76=""),"",INDEX(Reglas!$B$5:$D$7,MATCH(F76,Reglas!$A$5:$A$7,0),MATCH(G76,Reglas!$B$4:$D$4,0)))</f>
        <v/>
      </c>
      <c r="I76">
        <f>IF(H76="","",VLOOKUP(H76,Reglas!$A$11:$B$14,2,FALSE))</f>
        <v/>
      </c>
      <c r="J76" s="6">
        <f>IF(I76="","",B76+I76/24)</f>
        <v/>
      </c>
      <c r="K76" s="5" t="n"/>
      <c r="L76" s="7">
        <f>IF(OR(B76="",K76=""),"",(K76-B76)*24)</f>
        <v/>
      </c>
      <c r="M76">
        <f>IF(B76="","",IF(K76="",IF(Reglas!$B$16&gt;J76,"Abierto vencido","Abierto en plazo"),IF(K76&lt;=J76,"Cumplido","Incumplido")))</f>
        <v/>
      </c>
    </row>
    <row r="77">
      <c r="A77">
        <f>IF(B77="","",ROW()-3)</f>
        <v/>
      </c>
      <c r="B77" s="5" t="n"/>
      <c r="C77" s="4" t="n"/>
      <c r="D77" s="4" t="n"/>
      <c r="E77" s="4" t="n"/>
      <c r="F77" s="4" t="n"/>
      <c r="G77" s="4" t="n"/>
      <c r="H77">
        <f>IF(OR(F77="",G77=""),"",INDEX(Reglas!$B$5:$D$7,MATCH(F77,Reglas!$A$5:$A$7,0),MATCH(G77,Reglas!$B$4:$D$4,0)))</f>
        <v/>
      </c>
      <c r="I77">
        <f>IF(H77="","",VLOOKUP(H77,Reglas!$A$11:$B$14,2,FALSE))</f>
        <v/>
      </c>
      <c r="J77" s="6">
        <f>IF(I77="","",B77+I77/24)</f>
        <v/>
      </c>
      <c r="K77" s="5" t="n"/>
      <c r="L77" s="7">
        <f>IF(OR(B77="",K77=""),"",(K77-B77)*24)</f>
        <v/>
      </c>
      <c r="M77">
        <f>IF(B77="","",IF(K77="",IF(Reglas!$B$16&gt;J77,"Abierto vencido","Abierto en plazo"),IF(K77&lt;=J77,"Cumplido","Incumplido")))</f>
        <v/>
      </c>
    </row>
    <row r="78">
      <c r="A78">
        <f>IF(B78="","",ROW()-3)</f>
        <v/>
      </c>
      <c r="B78" s="5" t="n"/>
      <c r="C78" s="4" t="n"/>
      <c r="D78" s="4" t="n"/>
      <c r="E78" s="4" t="n"/>
      <c r="F78" s="4" t="n"/>
      <c r="G78" s="4" t="n"/>
      <c r="H78">
        <f>IF(OR(F78="",G78=""),"",INDEX(Reglas!$B$5:$D$7,MATCH(F78,Reglas!$A$5:$A$7,0),MATCH(G78,Reglas!$B$4:$D$4,0)))</f>
        <v/>
      </c>
      <c r="I78">
        <f>IF(H78="","",VLOOKUP(H78,Reglas!$A$11:$B$14,2,FALSE))</f>
        <v/>
      </c>
      <c r="J78" s="6">
        <f>IF(I78="","",B78+I78/24)</f>
        <v/>
      </c>
      <c r="K78" s="5" t="n"/>
      <c r="L78" s="7">
        <f>IF(OR(B78="",K78=""),"",(K78-B78)*24)</f>
        <v/>
      </c>
      <c r="M78">
        <f>IF(B78="","",IF(K78="",IF(Reglas!$B$16&gt;J78,"Abierto vencido","Abierto en plazo"),IF(K78&lt;=J78,"Cumplido","Incumplido")))</f>
        <v/>
      </c>
    </row>
    <row r="79">
      <c r="A79">
        <f>IF(B79="","",ROW()-3)</f>
        <v/>
      </c>
      <c r="B79" s="5" t="n"/>
      <c r="C79" s="4" t="n"/>
      <c r="D79" s="4" t="n"/>
      <c r="E79" s="4" t="n"/>
      <c r="F79" s="4" t="n"/>
      <c r="G79" s="4" t="n"/>
      <c r="H79">
        <f>IF(OR(F79="",G79=""),"",INDEX(Reglas!$B$5:$D$7,MATCH(F79,Reglas!$A$5:$A$7,0),MATCH(G79,Reglas!$B$4:$D$4,0)))</f>
        <v/>
      </c>
      <c r="I79">
        <f>IF(H79="","",VLOOKUP(H79,Reglas!$A$11:$B$14,2,FALSE))</f>
        <v/>
      </c>
      <c r="J79" s="6">
        <f>IF(I79="","",B79+I79/24)</f>
        <v/>
      </c>
      <c r="K79" s="5" t="n"/>
      <c r="L79" s="7">
        <f>IF(OR(B79="",K79=""),"",(K79-B79)*24)</f>
        <v/>
      </c>
      <c r="M79">
        <f>IF(B79="","",IF(K79="",IF(Reglas!$B$16&gt;J79,"Abierto vencido","Abierto en plazo"),IF(K79&lt;=J79,"Cumplido","Incumplido")))</f>
        <v/>
      </c>
    </row>
    <row r="80">
      <c r="A80">
        <f>IF(B80="","",ROW()-3)</f>
        <v/>
      </c>
      <c r="B80" s="5" t="n"/>
      <c r="C80" s="4" t="n"/>
      <c r="D80" s="4" t="n"/>
      <c r="E80" s="4" t="n"/>
      <c r="F80" s="4" t="n"/>
      <c r="G80" s="4" t="n"/>
      <c r="H80">
        <f>IF(OR(F80="",G80=""),"",INDEX(Reglas!$B$5:$D$7,MATCH(F80,Reglas!$A$5:$A$7,0),MATCH(G80,Reglas!$B$4:$D$4,0)))</f>
        <v/>
      </c>
      <c r="I80">
        <f>IF(H80="","",VLOOKUP(H80,Reglas!$A$11:$B$14,2,FALSE))</f>
        <v/>
      </c>
      <c r="J80" s="6">
        <f>IF(I80="","",B80+I80/24)</f>
        <v/>
      </c>
      <c r="K80" s="5" t="n"/>
      <c r="L80" s="7">
        <f>IF(OR(B80="",K80=""),"",(K80-B80)*24)</f>
        <v/>
      </c>
      <c r="M80">
        <f>IF(B80="","",IF(K80="",IF(Reglas!$B$16&gt;J80,"Abierto vencido","Abierto en plazo"),IF(K80&lt;=J80,"Cumplido","Incumplido")))</f>
        <v/>
      </c>
    </row>
    <row r="81">
      <c r="A81">
        <f>IF(B81="","",ROW()-3)</f>
        <v/>
      </c>
      <c r="B81" s="5" t="n"/>
      <c r="C81" s="4" t="n"/>
      <c r="D81" s="4" t="n"/>
      <c r="E81" s="4" t="n"/>
      <c r="F81" s="4" t="n"/>
      <c r="G81" s="4" t="n"/>
      <c r="H81">
        <f>IF(OR(F81="",G81=""),"",INDEX(Reglas!$B$5:$D$7,MATCH(F81,Reglas!$A$5:$A$7,0),MATCH(G81,Reglas!$B$4:$D$4,0)))</f>
        <v/>
      </c>
      <c r="I81">
        <f>IF(H81="","",VLOOKUP(H81,Reglas!$A$11:$B$14,2,FALSE))</f>
        <v/>
      </c>
      <c r="J81" s="6">
        <f>IF(I81="","",B81+I81/24)</f>
        <v/>
      </c>
      <c r="K81" s="5" t="n"/>
      <c r="L81" s="7">
        <f>IF(OR(B81="",K81=""),"",(K81-B81)*24)</f>
        <v/>
      </c>
      <c r="M81">
        <f>IF(B81="","",IF(K81="",IF(Reglas!$B$16&gt;J81,"Abierto vencido","Abierto en plazo"),IF(K81&lt;=J81,"Cumplido","Incumplido")))</f>
        <v/>
      </c>
    </row>
    <row r="82">
      <c r="A82">
        <f>IF(B82="","",ROW()-3)</f>
        <v/>
      </c>
      <c r="B82" s="5" t="n"/>
      <c r="C82" s="4" t="n"/>
      <c r="D82" s="4" t="n"/>
      <c r="E82" s="4" t="n"/>
      <c r="F82" s="4" t="n"/>
      <c r="G82" s="4" t="n"/>
      <c r="H82">
        <f>IF(OR(F82="",G82=""),"",INDEX(Reglas!$B$5:$D$7,MATCH(F82,Reglas!$A$5:$A$7,0),MATCH(G82,Reglas!$B$4:$D$4,0)))</f>
        <v/>
      </c>
      <c r="I82">
        <f>IF(H82="","",VLOOKUP(H82,Reglas!$A$11:$B$14,2,FALSE))</f>
        <v/>
      </c>
      <c r="J82" s="6">
        <f>IF(I82="","",B82+I82/24)</f>
        <v/>
      </c>
      <c r="K82" s="5" t="n"/>
      <c r="L82" s="7">
        <f>IF(OR(B82="",K82=""),"",(K82-B82)*24)</f>
        <v/>
      </c>
      <c r="M82">
        <f>IF(B82="","",IF(K82="",IF(Reglas!$B$16&gt;J82,"Abierto vencido","Abierto en plazo"),IF(K82&lt;=J82,"Cumplido","Incumplido")))</f>
        <v/>
      </c>
    </row>
    <row r="83">
      <c r="A83">
        <f>IF(B83="","",ROW()-3)</f>
        <v/>
      </c>
      <c r="B83" s="5" t="n"/>
      <c r="C83" s="4" t="n"/>
      <c r="D83" s="4" t="n"/>
      <c r="E83" s="4" t="n"/>
      <c r="F83" s="4" t="n"/>
      <c r="G83" s="4" t="n"/>
      <c r="H83">
        <f>IF(OR(F83="",G83=""),"",INDEX(Reglas!$B$5:$D$7,MATCH(F83,Reglas!$A$5:$A$7,0),MATCH(G83,Reglas!$B$4:$D$4,0)))</f>
        <v/>
      </c>
      <c r="I83">
        <f>IF(H83="","",VLOOKUP(H83,Reglas!$A$11:$B$14,2,FALSE))</f>
        <v/>
      </c>
      <c r="J83" s="6">
        <f>IF(I83="","",B83+I83/24)</f>
        <v/>
      </c>
      <c r="K83" s="5" t="n"/>
      <c r="L83" s="7">
        <f>IF(OR(B83="",K83=""),"",(K83-B83)*24)</f>
        <v/>
      </c>
      <c r="M83">
        <f>IF(B83="","",IF(K83="",IF(Reglas!$B$16&gt;J83,"Abierto vencido","Abierto en plazo"),IF(K83&lt;=J83,"Cumplido","Incumplido")))</f>
        <v/>
      </c>
    </row>
    <row r="84">
      <c r="A84">
        <f>IF(B84="","",ROW()-3)</f>
        <v/>
      </c>
      <c r="B84" s="5" t="n"/>
      <c r="C84" s="4" t="n"/>
      <c r="D84" s="4" t="n"/>
      <c r="E84" s="4" t="n"/>
      <c r="F84" s="4" t="n"/>
      <c r="G84" s="4" t="n"/>
      <c r="H84">
        <f>IF(OR(F84="",G84=""),"",INDEX(Reglas!$B$5:$D$7,MATCH(F84,Reglas!$A$5:$A$7,0),MATCH(G84,Reglas!$B$4:$D$4,0)))</f>
        <v/>
      </c>
      <c r="I84">
        <f>IF(H84="","",VLOOKUP(H84,Reglas!$A$11:$B$14,2,FALSE))</f>
        <v/>
      </c>
      <c r="J84" s="6">
        <f>IF(I84="","",B84+I84/24)</f>
        <v/>
      </c>
      <c r="K84" s="5" t="n"/>
      <c r="L84" s="7">
        <f>IF(OR(B84="",K84=""),"",(K84-B84)*24)</f>
        <v/>
      </c>
      <c r="M84">
        <f>IF(B84="","",IF(K84="",IF(Reglas!$B$16&gt;J84,"Abierto vencido","Abierto en plazo"),IF(K84&lt;=J84,"Cumplido","Incumplido")))</f>
        <v/>
      </c>
    </row>
    <row r="85">
      <c r="A85">
        <f>IF(B85="","",ROW()-3)</f>
        <v/>
      </c>
      <c r="B85" s="5" t="n"/>
      <c r="C85" s="4" t="n"/>
      <c r="D85" s="4" t="n"/>
      <c r="E85" s="4" t="n"/>
      <c r="F85" s="4" t="n"/>
      <c r="G85" s="4" t="n"/>
      <c r="H85">
        <f>IF(OR(F85="",G85=""),"",INDEX(Reglas!$B$5:$D$7,MATCH(F85,Reglas!$A$5:$A$7,0),MATCH(G85,Reglas!$B$4:$D$4,0)))</f>
        <v/>
      </c>
      <c r="I85">
        <f>IF(H85="","",VLOOKUP(H85,Reglas!$A$11:$B$14,2,FALSE))</f>
        <v/>
      </c>
      <c r="J85" s="6">
        <f>IF(I85="","",B85+I85/24)</f>
        <v/>
      </c>
      <c r="K85" s="5" t="n"/>
      <c r="L85" s="7">
        <f>IF(OR(B85="",K85=""),"",(K85-B85)*24)</f>
        <v/>
      </c>
      <c r="M85">
        <f>IF(B85="","",IF(K85="",IF(Reglas!$B$16&gt;J85,"Abierto vencido","Abierto en plazo"),IF(K85&lt;=J85,"Cumplido","Incumplido")))</f>
        <v/>
      </c>
    </row>
    <row r="86">
      <c r="A86">
        <f>IF(B86="","",ROW()-3)</f>
        <v/>
      </c>
      <c r="B86" s="5" t="n"/>
      <c r="C86" s="4" t="n"/>
      <c r="D86" s="4" t="n"/>
      <c r="E86" s="4" t="n"/>
      <c r="F86" s="4" t="n"/>
      <c r="G86" s="4" t="n"/>
      <c r="H86">
        <f>IF(OR(F86="",G86=""),"",INDEX(Reglas!$B$5:$D$7,MATCH(F86,Reglas!$A$5:$A$7,0),MATCH(G86,Reglas!$B$4:$D$4,0)))</f>
        <v/>
      </c>
      <c r="I86">
        <f>IF(H86="","",VLOOKUP(H86,Reglas!$A$11:$B$14,2,FALSE))</f>
        <v/>
      </c>
      <c r="J86" s="6">
        <f>IF(I86="","",B86+I86/24)</f>
        <v/>
      </c>
      <c r="K86" s="5" t="n"/>
      <c r="L86" s="7">
        <f>IF(OR(B86="",K86=""),"",(K86-B86)*24)</f>
        <v/>
      </c>
      <c r="M86">
        <f>IF(B86="","",IF(K86="",IF(Reglas!$B$16&gt;J86,"Abierto vencido","Abierto en plazo"),IF(K86&lt;=J86,"Cumplido","Incumplido")))</f>
        <v/>
      </c>
    </row>
    <row r="87">
      <c r="A87">
        <f>IF(B87="","",ROW()-3)</f>
        <v/>
      </c>
      <c r="B87" s="5" t="n"/>
      <c r="C87" s="4" t="n"/>
      <c r="D87" s="4" t="n"/>
      <c r="E87" s="4" t="n"/>
      <c r="F87" s="4" t="n"/>
      <c r="G87" s="4" t="n"/>
      <c r="H87">
        <f>IF(OR(F87="",G87=""),"",INDEX(Reglas!$B$5:$D$7,MATCH(F87,Reglas!$A$5:$A$7,0),MATCH(G87,Reglas!$B$4:$D$4,0)))</f>
        <v/>
      </c>
      <c r="I87">
        <f>IF(H87="","",VLOOKUP(H87,Reglas!$A$11:$B$14,2,FALSE))</f>
        <v/>
      </c>
      <c r="J87" s="6">
        <f>IF(I87="","",B87+I87/24)</f>
        <v/>
      </c>
      <c r="K87" s="5" t="n"/>
      <c r="L87" s="7">
        <f>IF(OR(B87="",K87=""),"",(K87-B87)*24)</f>
        <v/>
      </c>
      <c r="M87">
        <f>IF(B87="","",IF(K87="",IF(Reglas!$B$16&gt;J87,"Abierto vencido","Abierto en plazo"),IF(K87&lt;=J87,"Cumplido","Incumplido")))</f>
        <v/>
      </c>
    </row>
    <row r="88">
      <c r="A88">
        <f>IF(B88="","",ROW()-3)</f>
        <v/>
      </c>
      <c r="B88" s="5" t="n"/>
      <c r="C88" s="4" t="n"/>
      <c r="D88" s="4" t="n"/>
      <c r="E88" s="4" t="n"/>
      <c r="F88" s="4" t="n"/>
      <c r="G88" s="4" t="n"/>
      <c r="H88">
        <f>IF(OR(F88="",G88=""),"",INDEX(Reglas!$B$5:$D$7,MATCH(F88,Reglas!$A$5:$A$7,0),MATCH(G88,Reglas!$B$4:$D$4,0)))</f>
        <v/>
      </c>
      <c r="I88">
        <f>IF(H88="","",VLOOKUP(H88,Reglas!$A$11:$B$14,2,FALSE))</f>
        <v/>
      </c>
      <c r="J88" s="6">
        <f>IF(I88="","",B88+I88/24)</f>
        <v/>
      </c>
      <c r="K88" s="5" t="n"/>
      <c r="L88" s="7">
        <f>IF(OR(B88="",K88=""),"",(K88-B88)*24)</f>
        <v/>
      </c>
      <c r="M88">
        <f>IF(B88="","",IF(K88="",IF(Reglas!$B$16&gt;J88,"Abierto vencido","Abierto en plazo"),IF(K88&lt;=J88,"Cumplido","Incumplido")))</f>
        <v/>
      </c>
    </row>
    <row r="89">
      <c r="A89">
        <f>IF(B89="","",ROW()-3)</f>
        <v/>
      </c>
      <c r="B89" s="5" t="n"/>
      <c r="C89" s="4" t="n"/>
      <c r="D89" s="4" t="n"/>
      <c r="E89" s="4" t="n"/>
      <c r="F89" s="4" t="n"/>
      <c r="G89" s="4" t="n"/>
      <c r="H89">
        <f>IF(OR(F89="",G89=""),"",INDEX(Reglas!$B$5:$D$7,MATCH(F89,Reglas!$A$5:$A$7,0),MATCH(G89,Reglas!$B$4:$D$4,0)))</f>
        <v/>
      </c>
      <c r="I89">
        <f>IF(H89="","",VLOOKUP(H89,Reglas!$A$11:$B$14,2,FALSE))</f>
        <v/>
      </c>
      <c r="J89" s="6">
        <f>IF(I89="","",B89+I89/24)</f>
        <v/>
      </c>
      <c r="K89" s="5" t="n"/>
      <c r="L89" s="7">
        <f>IF(OR(B89="",K89=""),"",(K89-B89)*24)</f>
        <v/>
      </c>
      <c r="M89">
        <f>IF(B89="","",IF(K89="",IF(Reglas!$B$16&gt;J89,"Abierto vencido","Abierto en plazo"),IF(K89&lt;=J89,"Cumplido","Incumplido")))</f>
        <v/>
      </c>
    </row>
    <row r="90">
      <c r="A90">
        <f>IF(B90="","",ROW()-3)</f>
        <v/>
      </c>
      <c r="B90" s="5" t="n"/>
      <c r="C90" s="4" t="n"/>
      <c r="D90" s="4" t="n"/>
      <c r="E90" s="4" t="n"/>
      <c r="F90" s="4" t="n"/>
      <c r="G90" s="4" t="n"/>
      <c r="H90">
        <f>IF(OR(F90="",G90=""),"",INDEX(Reglas!$B$5:$D$7,MATCH(F90,Reglas!$A$5:$A$7,0),MATCH(G90,Reglas!$B$4:$D$4,0)))</f>
        <v/>
      </c>
      <c r="I90">
        <f>IF(H90="","",VLOOKUP(H90,Reglas!$A$11:$B$14,2,FALSE))</f>
        <v/>
      </c>
      <c r="J90" s="6">
        <f>IF(I90="","",B90+I90/24)</f>
        <v/>
      </c>
      <c r="K90" s="5" t="n"/>
      <c r="L90" s="7">
        <f>IF(OR(B90="",K90=""),"",(K90-B90)*24)</f>
        <v/>
      </c>
      <c r="M90">
        <f>IF(B90="","",IF(K90="",IF(Reglas!$B$16&gt;J90,"Abierto vencido","Abierto en plazo"),IF(K90&lt;=J90,"Cumplido","Incumplido")))</f>
        <v/>
      </c>
    </row>
    <row r="91">
      <c r="A91">
        <f>IF(B91="","",ROW()-3)</f>
        <v/>
      </c>
      <c r="B91" s="5" t="n"/>
      <c r="C91" s="4" t="n"/>
      <c r="D91" s="4" t="n"/>
      <c r="E91" s="4" t="n"/>
      <c r="F91" s="4" t="n"/>
      <c r="G91" s="4" t="n"/>
      <c r="H91">
        <f>IF(OR(F91="",G91=""),"",INDEX(Reglas!$B$5:$D$7,MATCH(F91,Reglas!$A$5:$A$7,0),MATCH(G91,Reglas!$B$4:$D$4,0)))</f>
        <v/>
      </c>
      <c r="I91">
        <f>IF(H91="","",VLOOKUP(H91,Reglas!$A$11:$B$14,2,FALSE))</f>
        <v/>
      </c>
      <c r="J91" s="6">
        <f>IF(I91="","",B91+I91/24)</f>
        <v/>
      </c>
      <c r="K91" s="5" t="n"/>
      <c r="L91" s="7">
        <f>IF(OR(B91="",K91=""),"",(K91-B91)*24)</f>
        <v/>
      </c>
      <c r="M91">
        <f>IF(B91="","",IF(K91="",IF(Reglas!$B$16&gt;J91,"Abierto vencido","Abierto en plazo"),IF(K91&lt;=J91,"Cumplido","Incumplido")))</f>
        <v/>
      </c>
    </row>
    <row r="92">
      <c r="A92">
        <f>IF(B92="","",ROW()-3)</f>
        <v/>
      </c>
      <c r="B92" s="5" t="n"/>
      <c r="C92" s="4" t="n"/>
      <c r="D92" s="4" t="n"/>
      <c r="E92" s="4" t="n"/>
      <c r="F92" s="4" t="n"/>
      <c r="G92" s="4" t="n"/>
      <c r="H92">
        <f>IF(OR(F92="",G92=""),"",INDEX(Reglas!$B$5:$D$7,MATCH(F92,Reglas!$A$5:$A$7,0),MATCH(G92,Reglas!$B$4:$D$4,0)))</f>
        <v/>
      </c>
      <c r="I92">
        <f>IF(H92="","",VLOOKUP(H92,Reglas!$A$11:$B$14,2,FALSE))</f>
        <v/>
      </c>
      <c r="J92" s="6">
        <f>IF(I92="","",B92+I92/24)</f>
        <v/>
      </c>
      <c r="K92" s="5" t="n"/>
      <c r="L92" s="7">
        <f>IF(OR(B92="",K92=""),"",(K92-B92)*24)</f>
        <v/>
      </c>
      <c r="M92">
        <f>IF(B92="","",IF(K92="",IF(Reglas!$B$16&gt;J92,"Abierto vencido","Abierto en plazo"),IF(K92&lt;=J92,"Cumplido","Incumplido")))</f>
        <v/>
      </c>
    </row>
    <row r="93">
      <c r="A93">
        <f>IF(B93="","",ROW()-3)</f>
        <v/>
      </c>
      <c r="B93" s="5" t="n"/>
      <c r="C93" s="4" t="n"/>
      <c r="D93" s="4" t="n"/>
      <c r="E93" s="4" t="n"/>
      <c r="F93" s="4" t="n"/>
      <c r="G93" s="4" t="n"/>
      <c r="H93">
        <f>IF(OR(F93="",G93=""),"",INDEX(Reglas!$B$5:$D$7,MATCH(F93,Reglas!$A$5:$A$7,0),MATCH(G93,Reglas!$B$4:$D$4,0)))</f>
        <v/>
      </c>
      <c r="I93">
        <f>IF(H93="","",VLOOKUP(H93,Reglas!$A$11:$B$14,2,FALSE))</f>
        <v/>
      </c>
      <c r="J93" s="6">
        <f>IF(I93="","",B93+I93/24)</f>
        <v/>
      </c>
      <c r="K93" s="5" t="n"/>
      <c r="L93" s="7">
        <f>IF(OR(B93="",K93=""),"",(K93-B93)*24)</f>
        <v/>
      </c>
      <c r="M93">
        <f>IF(B93="","",IF(K93="",IF(Reglas!$B$16&gt;J93,"Abierto vencido","Abierto en plazo"),IF(K93&lt;=J93,"Cumplido","Incumplido")))</f>
        <v/>
      </c>
    </row>
    <row r="94">
      <c r="A94">
        <f>IF(B94="","",ROW()-3)</f>
        <v/>
      </c>
      <c r="B94" s="5" t="n"/>
      <c r="C94" s="4" t="n"/>
      <c r="D94" s="4" t="n"/>
      <c r="E94" s="4" t="n"/>
      <c r="F94" s="4" t="n"/>
      <c r="G94" s="4" t="n"/>
      <c r="H94">
        <f>IF(OR(F94="",G94=""),"",INDEX(Reglas!$B$5:$D$7,MATCH(F94,Reglas!$A$5:$A$7,0),MATCH(G94,Reglas!$B$4:$D$4,0)))</f>
        <v/>
      </c>
      <c r="I94">
        <f>IF(H94="","",VLOOKUP(H94,Reglas!$A$11:$B$14,2,FALSE))</f>
        <v/>
      </c>
      <c r="J94" s="6">
        <f>IF(I94="","",B94+I94/24)</f>
        <v/>
      </c>
      <c r="K94" s="5" t="n"/>
      <c r="L94" s="7">
        <f>IF(OR(B94="",K94=""),"",(K94-B94)*24)</f>
        <v/>
      </c>
      <c r="M94">
        <f>IF(B94="","",IF(K94="",IF(Reglas!$B$16&gt;J94,"Abierto vencido","Abierto en plazo"),IF(K94&lt;=J94,"Cumplido","Incumplido")))</f>
        <v/>
      </c>
    </row>
    <row r="95">
      <c r="A95">
        <f>IF(B95="","",ROW()-3)</f>
        <v/>
      </c>
      <c r="B95" s="5" t="n"/>
      <c r="C95" s="4" t="n"/>
      <c r="D95" s="4" t="n"/>
      <c r="E95" s="4" t="n"/>
      <c r="F95" s="4" t="n"/>
      <c r="G95" s="4" t="n"/>
      <c r="H95">
        <f>IF(OR(F95="",G95=""),"",INDEX(Reglas!$B$5:$D$7,MATCH(F95,Reglas!$A$5:$A$7,0),MATCH(G95,Reglas!$B$4:$D$4,0)))</f>
        <v/>
      </c>
      <c r="I95">
        <f>IF(H95="","",VLOOKUP(H95,Reglas!$A$11:$B$14,2,FALSE))</f>
        <v/>
      </c>
      <c r="J95" s="6">
        <f>IF(I95="","",B95+I95/24)</f>
        <v/>
      </c>
      <c r="K95" s="5" t="n"/>
      <c r="L95" s="7">
        <f>IF(OR(B95="",K95=""),"",(K95-B95)*24)</f>
        <v/>
      </c>
      <c r="M95">
        <f>IF(B95="","",IF(K95="",IF(Reglas!$B$16&gt;J95,"Abierto vencido","Abierto en plazo"),IF(K95&lt;=J95,"Cumplido","Incumplido")))</f>
        <v/>
      </c>
    </row>
    <row r="96">
      <c r="A96">
        <f>IF(B96="","",ROW()-3)</f>
        <v/>
      </c>
      <c r="B96" s="5" t="n"/>
      <c r="C96" s="4" t="n"/>
      <c r="D96" s="4" t="n"/>
      <c r="E96" s="4" t="n"/>
      <c r="F96" s="4" t="n"/>
      <c r="G96" s="4" t="n"/>
      <c r="H96">
        <f>IF(OR(F96="",G96=""),"",INDEX(Reglas!$B$5:$D$7,MATCH(F96,Reglas!$A$5:$A$7,0),MATCH(G96,Reglas!$B$4:$D$4,0)))</f>
        <v/>
      </c>
      <c r="I96">
        <f>IF(H96="","",VLOOKUP(H96,Reglas!$A$11:$B$14,2,FALSE))</f>
        <v/>
      </c>
      <c r="J96" s="6">
        <f>IF(I96="","",B96+I96/24)</f>
        <v/>
      </c>
      <c r="K96" s="5" t="n"/>
      <c r="L96" s="7">
        <f>IF(OR(B96="",K96=""),"",(K96-B96)*24)</f>
        <v/>
      </c>
      <c r="M96">
        <f>IF(B96="","",IF(K96="",IF(Reglas!$B$16&gt;J96,"Abierto vencido","Abierto en plazo"),IF(K96&lt;=J96,"Cumplido","Incumplido")))</f>
        <v/>
      </c>
    </row>
    <row r="97">
      <c r="A97">
        <f>IF(B97="","",ROW()-3)</f>
        <v/>
      </c>
      <c r="B97" s="5" t="n"/>
      <c r="C97" s="4" t="n"/>
      <c r="D97" s="4" t="n"/>
      <c r="E97" s="4" t="n"/>
      <c r="F97" s="4" t="n"/>
      <c r="G97" s="4" t="n"/>
      <c r="H97">
        <f>IF(OR(F97="",G97=""),"",INDEX(Reglas!$B$5:$D$7,MATCH(F97,Reglas!$A$5:$A$7,0),MATCH(G97,Reglas!$B$4:$D$4,0)))</f>
        <v/>
      </c>
      <c r="I97">
        <f>IF(H97="","",VLOOKUP(H97,Reglas!$A$11:$B$14,2,FALSE))</f>
        <v/>
      </c>
      <c r="J97" s="6">
        <f>IF(I97="","",B97+I97/24)</f>
        <v/>
      </c>
      <c r="K97" s="5" t="n"/>
      <c r="L97" s="7">
        <f>IF(OR(B97="",K97=""),"",(K97-B97)*24)</f>
        <v/>
      </c>
      <c r="M97">
        <f>IF(B97="","",IF(K97="",IF(Reglas!$B$16&gt;J97,"Abierto vencido","Abierto en plazo"),IF(K97&lt;=J97,"Cumplido","Incumplido")))</f>
        <v/>
      </c>
    </row>
    <row r="98">
      <c r="A98">
        <f>IF(B98="","",ROW()-3)</f>
        <v/>
      </c>
      <c r="B98" s="5" t="n"/>
      <c r="C98" s="4" t="n"/>
      <c r="D98" s="4" t="n"/>
      <c r="E98" s="4" t="n"/>
      <c r="F98" s="4" t="n"/>
      <c r="G98" s="4" t="n"/>
      <c r="H98">
        <f>IF(OR(F98="",G98=""),"",INDEX(Reglas!$B$5:$D$7,MATCH(F98,Reglas!$A$5:$A$7,0),MATCH(G98,Reglas!$B$4:$D$4,0)))</f>
        <v/>
      </c>
      <c r="I98">
        <f>IF(H98="","",VLOOKUP(H98,Reglas!$A$11:$B$14,2,FALSE))</f>
        <v/>
      </c>
      <c r="J98" s="6">
        <f>IF(I98="","",B98+I98/24)</f>
        <v/>
      </c>
      <c r="K98" s="5" t="n"/>
      <c r="L98" s="7">
        <f>IF(OR(B98="",K98=""),"",(K98-B98)*24)</f>
        <v/>
      </c>
      <c r="M98">
        <f>IF(B98="","",IF(K98="",IF(Reglas!$B$16&gt;J98,"Abierto vencido","Abierto en plazo"),IF(K98&lt;=J98,"Cumplido","Incumplido")))</f>
        <v/>
      </c>
    </row>
    <row r="99">
      <c r="A99">
        <f>IF(B99="","",ROW()-3)</f>
        <v/>
      </c>
      <c r="B99" s="5" t="n"/>
      <c r="C99" s="4" t="n"/>
      <c r="D99" s="4" t="n"/>
      <c r="E99" s="4" t="n"/>
      <c r="F99" s="4" t="n"/>
      <c r="G99" s="4" t="n"/>
      <c r="H99">
        <f>IF(OR(F99="",G99=""),"",INDEX(Reglas!$B$5:$D$7,MATCH(F99,Reglas!$A$5:$A$7,0),MATCH(G99,Reglas!$B$4:$D$4,0)))</f>
        <v/>
      </c>
      <c r="I99">
        <f>IF(H99="","",VLOOKUP(H99,Reglas!$A$11:$B$14,2,FALSE))</f>
        <v/>
      </c>
      <c r="J99" s="6">
        <f>IF(I99="","",B99+I99/24)</f>
        <v/>
      </c>
      <c r="K99" s="5" t="n"/>
      <c r="L99" s="7">
        <f>IF(OR(B99="",K99=""),"",(K99-B99)*24)</f>
        <v/>
      </c>
      <c r="M99">
        <f>IF(B99="","",IF(K99="",IF(Reglas!$B$16&gt;J99,"Abierto vencido","Abierto en plazo"),IF(K99&lt;=J99,"Cumplido","Incumplido")))</f>
        <v/>
      </c>
    </row>
    <row r="100">
      <c r="A100">
        <f>IF(B100="","",ROW()-3)</f>
        <v/>
      </c>
      <c r="B100" s="5" t="n"/>
      <c r="C100" s="4" t="n"/>
      <c r="D100" s="4" t="n"/>
      <c r="E100" s="4" t="n"/>
      <c r="F100" s="4" t="n"/>
      <c r="G100" s="4" t="n"/>
      <c r="H100">
        <f>IF(OR(F100="",G100=""),"",INDEX(Reglas!$B$5:$D$7,MATCH(F100,Reglas!$A$5:$A$7,0),MATCH(G100,Reglas!$B$4:$D$4,0)))</f>
        <v/>
      </c>
      <c r="I100">
        <f>IF(H100="","",VLOOKUP(H100,Reglas!$A$11:$B$14,2,FALSE))</f>
        <v/>
      </c>
      <c r="J100" s="6">
        <f>IF(I100="","",B100+I100/24)</f>
        <v/>
      </c>
      <c r="K100" s="5" t="n"/>
      <c r="L100" s="7">
        <f>IF(OR(B100="",K100=""),"",(K100-B100)*24)</f>
        <v/>
      </c>
      <c r="M100">
        <f>IF(B100="","",IF(K100="",IF(Reglas!$B$16&gt;J100,"Abierto vencido","Abierto en plazo"),IF(K100&lt;=J100,"Cumplido","Incumplido")))</f>
        <v/>
      </c>
    </row>
    <row r="101">
      <c r="A101">
        <f>IF(B101="","",ROW()-3)</f>
        <v/>
      </c>
      <c r="B101" s="5" t="n"/>
      <c r="C101" s="4" t="n"/>
      <c r="D101" s="4" t="n"/>
      <c r="E101" s="4" t="n"/>
      <c r="F101" s="4" t="n"/>
      <c r="G101" s="4" t="n"/>
      <c r="H101">
        <f>IF(OR(F101="",G101=""),"",INDEX(Reglas!$B$5:$D$7,MATCH(F101,Reglas!$A$5:$A$7,0),MATCH(G101,Reglas!$B$4:$D$4,0)))</f>
        <v/>
      </c>
      <c r="I101">
        <f>IF(H101="","",VLOOKUP(H101,Reglas!$A$11:$B$14,2,FALSE))</f>
        <v/>
      </c>
      <c r="J101" s="6">
        <f>IF(I101="","",B101+I101/24)</f>
        <v/>
      </c>
      <c r="K101" s="5" t="n"/>
      <c r="L101" s="7">
        <f>IF(OR(B101="",K101=""),"",(K101-B101)*24)</f>
        <v/>
      </c>
      <c r="M101">
        <f>IF(B101="","",IF(K101="",IF(Reglas!$B$16&gt;J101,"Abierto vencido","Abierto en plazo"),IF(K101&lt;=J101,"Cumplido","Incumplido")))</f>
        <v/>
      </c>
    </row>
    <row r="102">
      <c r="A102">
        <f>IF(B102="","",ROW()-3)</f>
        <v/>
      </c>
      <c r="B102" s="5" t="n"/>
      <c r="C102" s="4" t="n"/>
      <c r="D102" s="4" t="n"/>
      <c r="E102" s="4" t="n"/>
      <c r="F102" s="4" t="n"/>
      <c r="G102" s="4" t="n"/>
      <c r="H102">
        <f>IF(OR(F102="",G102=""),"",INDEX(Reglas!$B$5:$D$7,MATCH(F102,Reglas!$A$5:$A$7,0),MATCH(G102,Reglas!$B$4:$D$4,0)))</f>
        <v/>
      </c>
      <c r="I102">
        <f>IF(H102="","",VLOOKUP(H102,Reglas!$A$11:$B$14,2,FALSE))</f>
        <v/>
      </c>
      <c r="J102" s="6">
        <f>IF(I102="","",B102+I102/24)</f>
        <v/>
      </c>
      <c r="K102" s="5" t="n"/>
      <c r="L102" s="7">
        <f>IF(OR(B102="",K102=""),"",(K102-B102)*24)</f>
        <v/>
      </c>
      <c r="M102">
        <f>IF(B102="","",IF(K102="",IF(Reglas!$B$16&gt;J102,"Abierto vencido","Abierto en plazo"),IF(K102&lt;=J102,"Cumplido","Incumplido")))</f>
        <v/>
      </c>
    </row>
    <row r="103">
      <c r="A103">
        <f>IF(B103="","",ROW()-3)</f>
        <v/>
      </c>
      <c r="B103" s="5" t="n"/>
      <c r="C103" s="4" t="n"/>
      <c r="D103" s="4" t="n"/>
      <c r="E103" s="4" t="n"/>
      <c r="F103" s="4" t="n"/>
      <c r="G103" s="4" t="n"/>
      <c r="H103">
        <f>IF(OR(F103="",G103=""),"",INDEX(Reglas!$B$5:$D$7,MATCH(F103,Reglas!$A$5:$A$7,0),MATCH(G103,Reglas!$B$4:$D$4,0)))</f>
        <v/>
      </c>
      <c r="I103">
        <f>IF(H103="","",VLOOKUP(H103,Reglas!$A$11:$B$14,2,FALSE))</f>
        <v/>
      </c>
      <c r="J103" s="6">
        <f>IF(I103="","",B103+I103/24)</f>
        <v/>
      </c>
      <c r="K103" s="5" t="n"/>
      <c r="L103" s="7">
        <f>IF(OR(B103="",K103=""),"",(K103-B103)*24)</f>
        <v/>
      </c>
      <c r="M103">
        <f>IF(B103="","",IF(K103="",IF(Reglas!$B$16&gt;J103,"Abierto vencido","Abierto en plazo"),IF(K103&lt;=J103,"Cumplido","Incumplido")))</f>
        <v/>
      </c>
    </row>
    <row r="104">
      <c r="A104">
        <f>IF(B104="","",ROW()-3)</f>
        <v/>
      </c>
      <c r="B104" s="5" t="n"/>
      <c r="C104" s="4" t="n"/>
      <c r="D104" s="4" t="n"/>
      <c r="E104" s="4" t="n"/>
      <c r="F104" s="4" t="n"/>
      <c r="G104" s="4" t="n"/>
      <c r="H104">
        <f>IF(OR(F104="",G104=""),"",INDEX(Reglas!$B$5:$D$7,MATCH(F104,Reglas!$A$5:$A$7,0),MATCH(G104,Reglas!$B$4:$D$4,0)))</f>
        <v/>
      </c>
      <c r="I104">
        <f>IF(H104="","",VLOOKUP(H104,Reglas!$A$11:$B$14,2,FALSE))</f>
        <v/>
      </c>
      <c r="J104" s="6">
        <f>IF(I104="","",B104+I104/24)</f>
        <v/>
      </c>
      <c r="K104" s="5" t="n"/>
      <c r="L104" s="7">
        <f>IF(OR(B104="",K104=""),"",(K104-B104)*24)</f>
        <v/>
      </c>
      <c r="M104">
        <f>IF(B104="","",IF(K104="",IF(Reglas!$B$16&gt;J104,"Abierto vencido","Abierto en plazo"),IF(K104&lt;=J104,"Cumplido","Incumplido")))</f>
        <v/>
      </c>
    </row>
    <row r="105">
      <c r="A105">
        <f>IF(B105="","",ROW()-3)</f>
        <v/>
      </c>
      <c r="B105" s="5" t="n"/>
      <c r="C105" s="4" t="n"/>
      <c r="D105" s="4" t="n"/>
      <c r="E105" s="4" t="n"/>
      <c r="F105" s="4" t="n"/>
      <c r="G105" s="4" t="n"/>
      <c r="H105">
        <f>IF(OR(F105="",G105=""),"",INDEX(Reglas!$B$5:$D$7,MATCH(F105,Reglas!$A$5:$A$7,0),MATCH(G105,Reglas!$B$4:$D$4,0)))</f>
        <v/>
      </c>
      <c r="I105">
        <f>IF(H105="","",VLOOKUP(H105,Reglas!$A$11:$B$14,2,FALSE))</f>
        <v/>
      </c>
      <c r="J105" s="6">
        <f>IF(I105="","",B105+I105/24)</f>
        <v/>
      </c>
      <c r="K105" s="5" t="n"/>
      <c r="L105" s="7">
        <f>IF(OR(B105="",K105=""),"",(K105-B105)*24)</f>
        <v/>
      </c>
      <c r="M105">
        <f>IF(B105="","",IF(K105="",IF(Reglas!$B$16&gt;J105,"Abierto vencido","Abierto en plazo"),IF(K105&lt;=J105,"Cumplido","Incumplido")))</f>
        <v/>
      </c>
    </row>
    <row r="106">
      <c r="A106">
        <f>IF(B106="","",ROW()-3)</f>
        <v/>
      </c>
      <c r="B106" s="5" t="n"/>
      <c r="C106" s="4" t="n"/>
      <c r="D106" s="4" t="n"/>
      <c r="E106" s="4" t="n"/>
      <c r="F106" s="4" t="n"/>
      <c r="G106" s="4" t="n"/>
      <c r="H106">
        <f>IF(OR(F106="",G106=""),"",INDEX(Reglas!$B$5:$D$7,MATCH(F106,Reglas!$A$5:$A$7,0),MATCH(G106,Reglas!$B$4:$D$4,0)))</f>
        <v/>
      </c>
      <c r="I106">
        <f>IF(H106="","",VLOOKUP(H106,Reglas!$A$11:$B$14,2,FALSE))</f>
        <v/>
      </c>
      <c r="J106" s="6">
        <f>IF(I106="","",B106+I106/24)</f>
        <v/>
      </c>
      <c r="K106" s="5" t="n"/>
      <c r="L106" s="7">
        <f>IF(OR(B106="",K106=""),"",(K106-B106)*24)</f>
        <v/>
      </c>
      <c r="M106">
        <f>IF(B106="","",IF(K106="",IF(Reglas!$B$16&gt;J106,"Abierto vencido","Abierto en plazo"),IF(K106&lt;=J106,"Cumplido","Incumplido")))</f>
        <v/>
      </c>
    </row>
    <row r="107">
      <c r="A107">
        <f>IF(B107="","",ROW()-3)</f>
        <v/>
      </c>
      <c r="B107" s="5" t="n"/>
      <c r="C107" s="4" t="n"/>
      <c r="D107" s="4" t="n"/>
      <c r="E107" s="4" t="n"/>
      <c r="F107" s="4" t="n"/>
      <c r="G107" s="4" t="n"/>
      <c r="H107">
        <f>IF(OR(F107="",G107=""),"",INDEX(Reglas!$B$5:$D$7,MATCH(F107,Reglas!$A$5:$A$7,0),MATCH(G107,Reglas!$B$4:$D$4,0)))</f>
        <v/>
      </c>
      <c r="I107">
        <f>IF(H107="","",VLOOKUP(H107,Reglas!$A$11:$B$14,2,FALSE))</f>
        <v/>
      </c>
      <c r="J107" s="6">
        <f>IF(I107="","",B107+I107/24)</f>
        <v/>
      </c>
      <c r="K107" s="5" t="n"/>
      <c r="L107" s="7">
        <f>IF(OR(B107="",K107=""),"",(K107-B107)*24)</f>
        <v/>
      </c>
      <c r="M107">
        <f>IF(B107="","",IF(K107="",IF(Reglas!$B$16&gt;J107,"Abierto vencido","Abierto en plazo"),IF(K107&lt;=J107,"Cumplido","Incumplido")))</f>
        <v/>
      </c>
    </row>
    <row r="108">
      <c r="A108">
        <f>IF(B108="","",ROW()-3)</f>
        <v/>
      </c>
      <c r="B108" s="5" t="n"/>
      <c r="C108" s="4" t="n"/>
      <c r="D108" s="4" t="n"/>
      <c r="E108" s="4" t="n"/>
      <c r="F108" s="4" t="n"/>
      <c r="G108" s="4" t="n"/>
      <c r="H108">
        <f>IF(OR(F108="",G108=""),"",INDEX(Reglas!$B$5:$D$7,MATCH(F108,Reglas!$A$5:$A$7,0),MATCH(G108,Reglas!$B$4:$D$4,0)))</f>
        <v/>
      </c>
      <c r="I108">
        <f>IF(H108="","",VLOOKUP(H108,Reglas!$A$11:$B$14,2,FALSE))</f>
        <v/>
      </c>
      <c r="J108" s="6">
        <f>IF(I108="","",B108+I108/24)</f>
        <v/>
      </c>
      <c r="K108" s="5" t="n"/>
      <c r="L108" s="7">
        <f>IF(OR(B108="",K108=""),"",(K108-B108)*24)</f>
        <v/>
      </c>
      <c r="M108">
        <f>IF(B108="","",IF(K108="",IF(Reglas!$B$16&gt;J108,"Abierto vencido","Abierto en plazo"),IF(K108&lt;=J108,"Cumplido","Incumplido")))</f>
        <v/>
      </c>
    </row>
    <row r="109">
      <c r="A109">
        <f>IF(B109="","",ROW()-3)</f>
        <v/>
      </c>
      <c r="B109" s="5" t="n"/>
      <c r="C109" s="4" t="n"/>
      <c r="D109" s="4" t="n"/>
      <c r="E109" s="4" t="n"/>
      <c r="F109" s="4" t="n"/>
      <c r="G109" s="4" t="n"/>
      <c r="H109">
        <f>IF(OR(F109="",G109=""),"",INDEX(Reglas!$B$5:$D$7,MATCH(F109,Reglas!$A$5:$A$7,0),MATCH(G109,Reglas!$B$4:$D$4,0)))</f>
        <v/>
      </c>
      <c r="I109">
        <f>IF(H109="","",VLOOKUP(H109,Reglas!$A$11:$B$14,2,FALSE))</f>
        <v/>
      </c>
      <c r="J109" s="6">
        <f>IF(I109="","",B109+I109/24)</f>
        <v/>
      </c>
      <c r="K109" s="5" t="n"/>
      <c r="L109" s="7">
        <f>IF(OR(B109="",K109=""),"",(K109-B109)*24)</f>
        <v/>
      </c>
      <c r="M109">
        <f>IF(B109="","",IF(K109="",IF(Reglas!$B$16&gt;J109,"Abierto vencido","Abierto en plazo"),IF(K109&lt;=J109,"Cumplido","Incumplido")))</f>
        <v/>
      </c>
    </row>
    <row r="110">
      <c r="A110">
        <f>IF(B110="","",ROW()-3)</f>
        <v/>
      </c>
      <c r="B110" s="5" t="n"/>
      <c r="C110" s="4" t="n"/>
      <c r="D110" s="4" t="n"/>
      <c r="E110" s="4" t="n"/>
      <c r="F110" s="4" t="n"/>
      <c r="G110" s="4" t="n"/>
      <c r="H110">
        <f>IF(OR(F110="",G110=""),"",INDEX(Reglas!$B$5:$D$7,MATCH(F110,Reglas!$A$5:$A$7,0),MATCH(G110,Reglas!$B$4:$D$4,0)))</f>
        <v/>
      </c>
      <c r="I110">
        <f>IF(H110="","",VLOOKUP(H110,Reglas!$A$11:$B$14,2,FALSE))</f>
        <v/>
      </c>
      <c r="J110" s="6">
        <f>IF(I110="","",B110+I110/24)</f>
        <v/>
      </c>
      <c r="K110" s="5" t="n"/>
      <c r="L110" s="7">
        <f>IF(OR(B110="",K110=""),"",(K110-B110)*24)</f>
        <v/>
      </c>
      <c r="M110">
        <f>IF(B110="","",IF(K110="",IF(Reglas!$B$16&gt;J110,"Abierto vencido","Abierto en plazo"),IF(K110&lt;=J110,"Cumplido","Incumplido")))</f>
        <v/>
      </c>
    </row>
    <row r="111">
      <c r="A111">
        <f>IF(B111="","",ROW()-3)</f>
        <v/>
      </c>
      <c r="B111" s="5" t="n"/>
      <c r="C111" s="4" t="n"/>
      <c r="D111" s="4" t="n"/>
      <c r="E111" s="4" t="n"/>
      <c r="F111" s="4" t="n"/>
      <c r="G111" s="4" t="n"/>
      <c r="H111">
        <f>IF(OR(F111="",G111=""),"",INDEX(Reglas!$B$5:$D$7,MATCH(F111,Reglas!$A$5:$A$7,0),MATCH(G111,Reglas!$B$4:$D$4,0)))</f>
        <v/>
      </c>
      <c r="I111">
        <f>IF(H111="","",VLOOKUP(H111,Reglas!$A$11:$B$14,2,FALSE))</f>
        <v/>
      </c>
      <c r="J111" s="6">
        <f>IF(I111="","",B111+I111/24)</f>
        <v/>
      </c>
      <c r="K111" s="5" t="n"/>
      <c r="L111" s="7">
        <f>IF(OR(B111="",K111=""),"",(K111-B111)*24)</f>
        <v/>
      </c>
      <c r="M111">
        <f>IF(B111="","",IF(K111="",IF(Reglas!$B$16&gt;J111,"Abierto vencido","Abierto en plazo"),IF(K111&lt;=J111,"Cumplido","Incumplido")))</f>
        <v/>
      </c>
    </row>
    <row r="112">
      <c r="A112">
        <f>IF(B112="","",ROW()-3)</f>
        <v/>
      </c>
      <c r="B112" s="5" t="n"/>
      <c r="C112" s="4" t="n"/>
      <c r="D112" s="4" t="n"/>
      <c r="E112" s="4" t="n"/>
      <c r="F112" s="4" t="n"/>
      <c r="G112" s="4" t="n"/>
      <c r="H112">
        <f>IF(OR(F112="",G112=""),"",INDEX(Reglas!$B$5:$D$7,MATCH(F112,Reglas!$A$5:$A$7,0),MATCH(G112,Reglas!$B$4:$D$4,0)))</f>
        <v/>
      </c>
      <c r="I112">
        <f>IF(H112="","",VLOOKUP(H112,Reglas!$A$11:$B$14,2,FALSE))</f>
        <v/>
      </c>
      <c r="J112" s="6">
        <f>IF(I112="","",B112+I112/24)</f>
        <v/>
      </c>
      <c r="K112" s="5" t="n"/>
      <c r="L112" s="7">
        <f>IF(OR(B112="",K112=""),"",(K112-B112)*24)</f>
        <v/>
      </c>
      <c r="M112">
        <f>IF(B112="","",IF(K112="",IF(Reglas!$B$16&gt;J112,"Abierto vencido","Abierto en plazo"),IF(K112&lt;=J112,"Cumplido","Incumplido")))</f>
        <v/>
      </c>
    </row>
    <row r="113">
      <c r="A113">
        <f>IF(B113="","",ROW()-3)</f>
        <v/>
      </c>
      <c r="B113" s="5" t="n"/>
      <c r="C113" s="4" t="n"/>
      <c r="D113" s="4" t="n"/>
      <c r="E113" s="4" t="n"/>
      <c r="F113" s="4" t="n"/>
      <c r="G113" s="4" t="n"/>
      <c r="H113">
        <f>IF(OR(F113="",G113=""),"",INDEX(Reglas!$B$5:$D$7,MATCH(F113,Reglas!$A$5:$A$7,0),MATCH(G113,Reglas!$B$4:$D$4,0)))</f>
        <v/>
      </c>
      <c r="I113">
        <f>IF(H113="","",VLOOKUP(H113,Reglas!$A$11:$B$14,2,FALSE))</f>
        <v/>
      </c>
      <c r="J113" s="6">
        <f>IF(I113="","",B113+I113/24)</f>
        <v/>
      </c>
      <c r="K113" s="5" t="n"/>
      <c r="L113" s="7">
        <f>IF(OR(B113="",K113=""),"",(K113-B113)*24)</f>
        <v/>
      </c>
      <c r="M113">
        <f>IF(B113="","",IF(K113="",IF(Reglas!$B$16&gt;J113,"Abierto vencido","Abierto en plazo"),IF(K113&lt;=J113,"Cumplido","Incumplido")))</f>
        <v/>
      </c>
    </row>
    <row r="114">
      <c r="A114">
        <f>IF(B114="","",ROW()-3)</f>
        <v/>
      </c>
      <c r="B114" s="5" t="n"/>
      <c r="C114" s="4" t="n"/>
      <c r="D114" s="4" t="n"/>
      <c r="E114" s="4" t="n"/>
      <c r="F114" s="4" t="n"/>
      <c r="G114" s="4" t="n"/>
      <c r="H114">
        <f>IF(OR(F114="",G114=""),"",INDEX(Reglas!$B$5:$D$7,MATCH(F114,Reglas!$A$5:$A$7,0),MATCH(G114,Reglas!$B$4:$D$4,0)))</f>
        <v/>
      </c>
      <c r="I114">
        <f>IF(H114="","",VLOOKUP(H114,Reglas!$A$11:$B$14,2,FALSE))</f>
        <v/>
      </c>
      <c r="J114" s="6">
        <f>IF(I114="","",B114+I114/24)</f>
        <v/>
      </c>
      <c r="K114" s="5" t="n"/>
      <c r="L114" s="7">
        <f>IF(OR(B114="",K114=""),"",(K114-B114)*24)</f>
        <v/>
      </c>
      <c r="M114">
        <f>IF(B114="","",IF(K114="",IF(Reglas!$B$16&gt;J114,"Abierto vencido","Abierto en plazo"),IF(K114&lt;=J114,"Cumplido","Incumplido")))</f>
        <v/>
      </c>
    </row>
    <row r="115">
      <c r="A115">
        <f>IF(B115="","",ROW()-3)</f>
        <v/>
      </c>
      <c r="B115" s="5" t="n"/>
      <c r="C115" s="4" t="n"/>
      <c r="D115" s="4" t="n"/>
      <c r="E115" s="4" t="n"/>
      <c r="F115" s="4" t="n"/>
      <c r="G115" s="4" t="n"/>
      <c r="H115">
        <f>IF(OR(F115="",G115=""),"",INDEX(Reglas!$B$5:$D$7,MATCH(F115,Reglas!$A$5:$A$7,0),MATCH(G115,Reglas!$B$4:$D$4,0)))</f>
        <v/>
      </c>
      <c r="I115">
        <f>IF(H115="","",VLOOKUP(H115,Reglas!$A$11:$B$14,2,FALSE))</f>
        <v/>
      </c>
      <c r="J115" s="6">
        <f>IF(I115="","",B115+I115/24)</f>
        <v/>
      </c>
      <c r="K115" s="5" t="n"/>
      <c r="L115" s="7">
        <f>IF(OR(B115="",K115=""),"",(K115-B115)*24)</f>
        <v/>
      </c>
      <c r="M115">
        <f>IF(B115="","",IF(K115="",IF(Reglas!$B$16&gt;J115,"Abierto vencido","Abierto en plazo"),IF(K115&lt;=J115,"Cumplido","Incumplido")))</f>
        <v/>
      </c>
    </row>
    <row r="116">
      <c r="A116">
        <f>IF(B116="","",ROW()-3)</f>
        <v/>
      </c>
      <c r="B116" s="5" t="n"/>
      <c r="C116" s="4" t="n"/>
      <c r="D116" s="4" t="n"/>
      <c r="E116" s="4" t="n"/>
      <c r="F116" s="4" t="n"/>
      <c r="G116" s="4" t="n"/>
      <c r="H116">
        <f>IF(OR(F116="",G116=""),"",INDEX(Reglas!$B$5:$D$7,MATCH(F116,Reglas!$A$5:$A$7,0),MATCH(G116,Reglas!$B$4:$D$4,0)))</f>
        <v/>
      </c>
      <c r="I116">
        <f>IF(H116="","",VLOOKUP(H116,Reglas!$A$11:$B$14,2,FALSE))</f>
        <v/>
      </c>
      <c r="J116" s="6">
        <f>IF(I116="","",B116+I116/24)</f>
        <v/>
      </c>
      <c r="K116" s="5" t="n"/>
      <c r="L116" s="7">
        <f>IF(OR(B116="",K116=""),"",(K116-B116)*24)</f>
        <v/>
      </c>
      <c r="M116">
        <f>IF(B116="","",IF(K116="",IF(Reglas!$B$16&gt;J116,"Abierto vencido","Abierto en plazo"),IF(K116&lt;=J116,"Cumplido","Incumplido")))</f>
        <v/>
      </c>
    </row>
    <row r="117">
      <c r="A117">
        <f>IF(B117="","",ROW()-3)</f>
        <v/>
      </c>
      <c r="B117" s="5" t="n"/>
      <c r="C117" s="4" t="n"/>
      <c r="D117" s="4" t="n"/>
      <c r="E117" s="4" t="n"/>
      <c r="F117" s="4" t="n"/>
      <c r="G117" s="4" t="n"/>
      <c r="H117">
        <f>IF(OR(F117="",G117=""),"",INDEX(Reglas!$B$5:$D$7,MATCH(F117,Reglas!$A$5:$A$7,0),MATCH(G117,Reglas!$B$4:$D$4,0)))</f>
        <v/>
      </c>
      <c r="I117">
        <f>IF(H117="","",VLOOKUP(H117,Reglas!$A$11:$B$14,2,FALSE))</f>
        <v/>
      </c>
      <c r="J117" s="6">
        <f>IF(I117="","",B117+I117/24)</f>
        <v/>
      </c>
      <c r="K117" s="5" t="n"/>
      <c r="L117" s="7">
        <f>IF(OR(B117="",K117=""),"",(K117-B117)*24)</f>
        <v/>
      </c>
      <c r="M117">
        <f>IF(B117="","",IF(K117="",IF(Reglas!$B$16&gt;J117,"Abierto vencido","Abierto en plazo"),IF(K117&lt;=J117,"Cumplido","Incumplido")))</f>
        <v/>
      </c>
    </row>
    <row r="118">
      <c r="A118">
        <f>IF(B118="","",ROW()-3)</f>
        <v/>
      </c>
      <c r="B118" s="5" t="n"/>
      <c r="C118" s="4" t="n"/>
      <c r="D118" s="4" t="n"/>
      <c r="E118" s="4" t="n"/>
      <c r="F118" s="4" t="n"/>
      <c r="G118" s="4" t="n"/>
      <c r="H118">
        <f>IF(OR(F118="",G118=""),"",INDEX(Reglas!$B$5:$D$7,MATCH(F118,Reglas!$A$5:$A$7,0),MATCH(G118,Reglas!$B$4:$D$4,0)))</f>
        <v/>
      </c>
      <c r="I118">
        <f>IF(H118="","",VLOOKUP(H118,Reglas!$A$11:$B$14,2,FALSE))</f>
        <v/>
      </c>
      <c r="J118" s="6">
        <f>IF(I118="","",B118+I118/24)</f>
        <v/>
      </c>
      <c r="K118" s="5" t="n"/>
      <c r="L118" s="7">
        <f>IF(OR(B118="",K118=""),"",(K118-B118)*24)</f>
        <v/>
      </c>
      <c r="M118">
        <f>IF(B118="","",IF(K118="",IF(Reglas!$B$16&gt;J118,"Abierto vencido","Abierto en plazo"),IF(K118&lt;=J118,"Cumplido","Incumplido")))</f>
        <v/>
      </c>
    </row>
    <row r="119">
      <c r="A119">
        <f>IF(B119="","",ROW()-3)</f>
        <v/>
      </c>
      <c r="B119" s="5" t="n"/>
      <c r="C119" s="4" t="n"/>
      <c r="D119" s="4" t="n"/>
      <c r="E119" s="4" t="n"/>
      <c r="F119" s="4" t="n"/>
      <c r="G119" s="4" t="n"/>
      <c r="H119">
        <f>IF(OR(F119="",G119=""),"",INDEX(Reglas!$B$5:$D$7,MATCH(F119,Reglas!$A$5:$A$7,0),MATCH(G119,Reglas!$B$4:$D$4,0)))</f>
        <v/>
      </c>
      <c r="I119">
        <f>IF(H119="","",VLOOKUP(H119,Reglas!$A$11:$B$14,2,FALSE))</f>
        <v/>
      </c>
      <c r="J119" s="6">
        <f>IF(I119="","",B119+I119/24)</f>
        <v/>
      </c>
      <c r="K119" s="5" t="n"/>
      <c r="L119" s="7">
        <f>IF(OR(B119="",K119=""),"",(K119-B119)*24)</f>
        <v/>
      </c>
      <c r="M119">
        <f>IF(B119="","",IF(K119="",IF(Reglas!$B$16&gt;J119,"Abierto vencido","Abierto en plazo"),IF(K119&lt;=J119,"Cumplido","Incumplido")))</f>
        <v/>
      </c>
    </row>
    <row r="120">
      <c r="A120">
        <f>IF(B120="","",ROW()-3)</f>
        <v/>
      </c>
      <c r="B120" s="5" t="n"/>
      <c r="C120" s="4" t="n"/>
      <c r="D120" s="4" t="n"/>
      <c r="E120" s="4" t="n"/>
      <c r="F120" s="4" t="n"/>
      <c r="G120" s="4" t="n"/>
      <c r="H120">
        <f>IF(OR(F120="",G120=""),"",INDEX(Reglas!$B$5:$D$7,MATCH(F120,Reglas!$A$5:$A$7,0),MATCH(G120,Reglas!$B$4:$D$4,0)))</f>
        <v/>
      </c>
      <c r="I120">
        <f>IF(H120="","",VLOOKUP(H120,Reglas!$A$11:$B$14,2,FALSE))</f>
        <v/>
      </c>
      <c r="J120" s="6">
        <f>IF(I120="","",B120+I120/24)</f>
        <v/>
      </c>
      <c r="K120" s="5" t="n"/>
      <c r="L120" s="7">
        <f>IF(OR(B120="",K120=""),"",(K120-B120)*24)</f>
        <v/>
      </c>
      <c r="M120">
        <f>IF(B120="","",IF(K120="",IF(Reglas!$B$16&gt;J120,"Abierto vencido","Abierto en plazo"),IF(K120&lt;=J120,"Cumplido","Incumplido")))</f>
        <v/>
      </c>
    </row>
    <row r="121">
      <c r="A121">
        <f>IF(B121="","",ROW()-3)</f>
        <v/>
      </c>
      <c r="B121" s="5" t="n"/>
      <c r="C121" s="4" t="n"/>
      <c r="D121" s="4" t="n"/>
      <c r="E121" s="4" t="n"/>
      <c r="F121" s="4" t="n"/>
      <c r="G121" s="4" t="n"/>
      <c r="H121">
        <f>IF(OR(F121="",G121=""),"",INDEX(Reglas!$B$5:$D$7,MATCH(F121,Reglas!$A$5:$A$7,0),MATCH(G121,Reglas!$B$4:$D$4,0)))</f>
        <v/>
      </c>
      <c r="I121">
        <f>IF(H121="","",VLOOKUP(H121,Reglas!$A$11:$B$14,2,FALSE))</f>
        <v/>
      </c>
      <c r="J121" s="6">
        <f>IF(I121="","",B121+I121/24)</f>
        <v/>
      </c>
      <c r="K121" s="5" t="n"/>
      <c r="L121" s="7">
        <f>IF(OR(B121="",K121=""),"",(K121-B121)*24)</f>
        <v/>
      </c>
      <c r="M121">
        <f>IF(B121="","",IF(K121="",IF(Reglas!$B$16&gt;J121,"Abierto vencido","Abierto en plazo"),IF(K121&lt;=J121,"Cumplido","Incumplido")))</f>
        <v/>
      </c>
    </row>
    <row r="122">
      <c r="A122">
        <f>IF(B122="","",ROW()-3)</f>
        <v/>
      </c>
      <c r="B122" s="5" t="n"/>
      <c r="C122" s="4" t="n"/>
      <c r="D122" s="4" t="n"/>
      <c r="E122" s="4" t="n"/>
      <c r="F122" s="4" t="n"/>
      <c r="G122" s="4" t="n"/>
      <c r="H122">
        <f>IF(OR(F122="",G122=""),"",INDEX(Reglas!$B$5:$D$7,MATCH(F122,Reglas!$A$5:$A$7,0),MATCH(G122,Reglas!$B$4:$D$4,0)))</f>
        <v/>
      </c>
      <c r="I122">
        <f>IF(H122="","",VLOOKUP(H122,Reglas!$A$11:$B$14,2,FALSE))</f>
        <v/>
      </c>
      <c r="J122" s="6">
        <f>IF(I122="","",B122+I122/24)</f>
        <v/>
      </c>
      <c r="K122" s="5" t="n"/>
      <c r="L122" s="7">
        <f>IF(OR(B122="",K122=""),"",(K122-B122)*24)</f>
        <v/>
      </c>
      <c r="M122">
        <f>IF(B122="","",IF(K122="",IF(Reglas!$B$16&gt;J122,"Abierto vencido","Abierto en plazo"),IF(K122&lt;=J122,"Cumplido","Incumplido")))</f>
        <v/>
      </c>
    </row>
    <row r="123">
      <c r="A123">
        <f>IF(B123="","",ROW()-3)</f>
        <v/>
      </c>
      <c r="B123" s="5" t="n"/>
      <c r="C123" s="4" t="n"/>
      <c r="D123" s="4" t="n"/>
      <c r="E123" s="4" t="n"/>
      <c r="F123" s="4" t="n"/>
      <c r="G123" s="4" t="n"/>
      <c r="H123">
        <f>IF(OR(F123="",G123=""),"",INDEX(Reglas!$B$5:$D$7,MATCH(F123,Reglas!$A$5:$A$7,0),MATCH(G123,Reglas!$B$4:$D$4,0)))</f>
        <v/>
      </c>
      <c r="I123">
        <f>IF(H123="","",VLOOKUP(H123,Reglas!$A$11:$B$14,2,FALSE))</f>
        <v/>
      </c>
      <c r="J123" s="6">
        <f>IF(I123="","",B123+I123/24)</f>
        <v/>
      </c>
      <c r="K123" s="5" t="n"/>
      <c r="L123" s="7">
        <f>IF(OR(B123="",K123=""),"",(K123-B123)*24)</f>
        <v/>
      </c>
      <c r="M123">
        <f>IF(B123="","",IF(K123="",IF(Reglas!$B$16&gt;J123,"Abierto vencido","Abierto en plazo"),IF(K123&lt;=J123,"Cumplido","Incumplido")))</f>
        <v/>
      </c>
    </row>
    <row r="124">
      <c r="A124">
        <f>IF(B124="","",ROW()-3)</f>
        <v/>
      </c>
      <c r="B124" s="5" t="n"/>
      <c r="C124" s="4" t="n"/>
      <c r="D124" s="4" t="n"/>
      <c r="E124" s="4" t="n"/>
      <c r="F124" s="4" t="n"/>
      <c r="G124" s="4" t="n"/>
      <c r="H124">
        <f>IF(OR(F124="",G124=""),"",INDEX(Reglas!$B$5:$D$7,MATCH(F124,Reglas!$A$5:$A$7,0),MATCH(G124,Reglas!$B$4:$D$4,0)))</f>
        <v/>
      </c>
      <c r="I124">
        <f>IF(H124="","",VLOOKUP(H124,Reglas!$A$11:$B$14,2,FALSE))</f>
        <v/>
      </c>
      <c r="J124" s="6">
        <f>IF(I124="","",B124+I124/24)</f>
        <v/>
      </c>
      <c r="K124" s="5" t="n"/>
      <c r="L124" s="7">
        <f>IF(OR(B124="",K124=""),"",(K124-B124)*24)</f>
        <v/>
      </c>
      <c r="M124">
        <f>IF(B124="","",IF(K124="",IF(Reglas!$B$16&gt;J124,"Abierto vencido","Abierto en plazo"),IF(K124&lt;=J124,"Cumplido","Incumplido")))</f>
        <v/>
      </c>
    </row>
    <row r="125">
      <c r="A125">
        <f>IF(B125="","",ROW()-3)</f>
        <v/>
      </c>
      <c r="B125" s="5" t="n"/>
      <c r="C125" s="4" t="n"/>
      <c r="D125" s="4" t="n"/>
      <c r="E125" s="4" t="n"/>
      <c r="F125" s="4" t="n"/>
      <c r="G125" s="4" t="n"/>
      <c r="H125">
        <f>IF(OR(F125="",G125=""),"",INDEX(Reglas!$B$5:$D$7,MATCH(F125,Reglas!$A$5:$A$7,0),MATCH(G125,Reglas!$B$4:$D$4,0)))</f>
        <v/>
      </c>
      <c r="I125">
        <f>IF(H125="","",VLOOKUP(H125,Reglas!$A$11:$B$14,2,FALSE))</f>
        <v/>
      </c>
      <c r="J125" s="6">
        <f>IF(I125="","",B125+I125/24)</f>
        <v/>
      </c>
      <c r="K125" s="5" t="n"/>
      <c r="L125" s="7">
        <f>IF(OR(B125="",K125=""),"",(K125-B125)*24)</f>
        <v/>
      </c>
      <c r="M125">
        <f>IF(B125="","",IF(K125="",IF(Reglas!$B$16&gt;J125,"Abierto vencido","Abierto en plazo"),IF(K125&lt;=J125,"Cumplido","Incumplido")))</f>
        <v/>
      </c>
    </row>
    <row r="126">
      <c r="A126">
        <f>IF(B126="","",ROW()-3)</f>
        <v/>
      </c>
      <c r="B126" s="5" t="n"/>
      <c r="C126" s="4" t="n"/>
      <c r="D126" s="4" t="n"/>
      <c r="E126" s="4" t="n"/>
      <c r="F126" s="4" t="n"/>
      <c r="G126" s="4" t="n"/>
      <c r="H126">
        <f>IF(OR(F126="",G126=""),"",INDEX(Reglas!$B$5:$D$7,MATCH(F126,Reglas!$A$5:$A$7,0),MATCH(G126,Reglas!$B$4:$D$4,0)))</f>
        <v/>
      </c>
      <c r="I126">
        <f>IF(H126="","",VLOOKUP(H126,Reglas!$A$11:$B$14,2,FALSE))</f>
        <v/>
      </c>
      <c r="J126" s="6">
        <f>IF(I126="","",B126+I126/24)</f>
        <v/>
      </c>
      <c r="K126" s="5" t="n"/>
      <c r="L126" s="7">
        <f>IF(OR(B126="",K126=""),"",(K126-B126)*24)</f>
        <v/>
      </c>
      <c r="M126">
        <f>IF(B126="","",IF(K126="",IF(Reglas!$B$16&gt;J126,"Abierto vencido","Abierto en plazo"),IF(K126&lt;=J126,"Cumplido","Incumplido")))</f>
        <v/>
      </c>
    </row>
    <row r="127">
      <c r="A127">
        <f>IF(B127="","",ROW()-3)</f>
        <v/>
      </c>
      <c r="B127" s="5" t="n"/>
      <c r="C127" s="4" t="n"/>
      <c r="D127" s="4" t="n"/>
      <c r="E127" s="4" t="n"/>
      <c r="F127" s="4" t="n"/>
      <c r="G127" s="4" t="n"/>
      <c r="H127">
        <f>IF(OR(F127="",G127=""),"",INDEX(Reglas!$B$5:$D$7,MATCH(F127,Reglas!$A$5:$A$7,0),MATCH(G127,Reglas!$B$4:$D$4,0)))</f>
        <v/>
      </c>
      <c r="I127">
        <f>IF(H127="","",VLOOKUP(H127,Reglas!$A$11:$B$14,2,FALSE))</f>
        <v/>
      </c>
      <c r="J127" s="6">
        <f>IF(I127="","",B127+I127/24)</f>
        <v/>
      </c>
      <c r="K127" s="5" t="n"/>
      <c r="L127" s="7">
        <f>IF(OR(B127="",K127=""),"",(K127-B127)*24)</f>
        <v/>
      </c>
      <c r="M127">
        <f>IF(B127="","",IF(K127="",IF(Reglas!$B$16&gt;J127,"Abierto vencido","Abierto en plazo"),IF(K127&lt;=J127,"Cumplido","Incumplido")))</f>
        <v/>
      </c>
    </row>
    <row r="128">
      <c r="A128">
        <f>IF(B128="","",ROW()-3)</f>
        <v/>
      </c>
      <c r="B128" s="5" t="n"/>
      <c r="C128" s="4" t="n"/>
      <c r="D128" s="4" t="n"/>
      <c r="E128" s="4" t="n"/>
      <c r="F128" s="4" t="n"/>
      <c r="G128" s="4" t="n"/>
      <c r="H128">
        <f>IF(OR(F128="",G128=""),"",INDEX(Reglas!$B$5:$D$7,MATCH(F128,Reglas!$A$5:$A$7,0),MATCH(G128,Reglas!$B$4:$D$4,0)))</f>
        <v/>
      </c>
      <c r="I128">
        <f>IF(H128="","",VLOOKUP(H128,Reglas!$A$11:$B$14,2,FALSE))</f>
        <v/>
      </c>
      <c r="J128" s="6">
        <f>IF(I128="","",B128+I128/24)</f>
        <v/>
      </c>
      <c r="K128" s="5" t="n"/>
      <c r="L128" s="7">
        <f>IF(OR(B128="",K128=""),"",(K128-B128)*24)</f>
        <v/>
      </c>
      <c r="M128">
        <f>IF(B128="","",IF(K128="",IF(Reglas!$B$16&gt;J128,"Abierto vencido","Abierto en plazo"),IF(K128&lt;=J128,"Cumplido","Incumplido")))</f>
        <v/>
      </c>
    </row>
    <row r="129">
      <c r="A129">
        <f>IF(B129="","",ROW()-3)</f>
        <v/>
      </c>
      <c r="B129" s="5" t="n"/>
      <c r="C129" s="4" t="n"/>
      <c r="D129" s="4" t="n"/>
      <c r="E129" s="4" t="n"/>
      <c r="F129" s="4" t="n"/>
      <c r="G129" s="4" t="n"/>
      <c r="H129">
        <f>IF(OR(F129="",G129=""),"",INDEX(Reglas!$B$5:$D$7,MATCH(F129,Reglas!$A$5:$A$7,0),MATCH(G129,Reglas!$B$4:$D$4,0)))</f>
        <v/>
      </c>
      <c r="I129">
        <f>IF(H129="","",VLOOKUP(H129,Reglas!$A$11:$B$14,2,FALSE))</f>
        <v/>
      </c>
      <c r="J129" s="6">
        <f>IF(I129="","",B129+I129/24)</f>
        <v/>
      </c>
      <c r="K129" s="5" t="n"/>
      <c r="L129" s="7">
        <f>IF(OR(B129="",K129=""),"",(K129-B129)*24)</f>
        <v/>
      </c>
      <c r="M129">
        <f>IF(B129="","",IF(K129="",IF(Reglas!$B$16&gt;J129,"Abierto vencido","Abierto en plazo"),IF(K129&lt;=J129,"Cumplido","Incumplido")))</f>
        <v/>
      </c>
    </row>
    <row r="130">
      <c r="A130">
        <f>IF(B130="","",ROW()-3)</f>
        <v/>
      </c>
      <c r="B130" s="5" t="n"/>
      <c r="C130" s="4" t="n"/>
      <c r="D130" s="4" t="n"/>
      <c r="E130" s="4" t="n"/>
      <c r="F130" s="4" t="n"/>
      <c r="G130" s="4" t="n"/>
      <c r="H130">
        <f>IF(OR(F130="",G130=""),"",INDEX(Reglas!$B$5:$D$7,MATCH(F130,Reglas!$A$5:$A$7,0),MATCH(G130,Reglas!$B$4:$D$4,0)))</f>
        <v/>
      </c>
      <c r="I130">
        <f>IF(H130="","",VLOOKUP(H130,Reglas!$A$11:$B$14,2,FALSE))</f>
        <v/>
      </c>
      <c r="J130" s="6">
        <f>IF(I130="","",B130+I130/24)</f>
        <v/>
      </c>
      <c r="K130" s="5" t="n"/>
      <c r="L130" s="7">
        <f>IF(OR(B130="",K130=""),"",(K130-B130)*24)</f>
        <v/>
      </c>
      <c r="M130">
        <f>IF(B130="","",IF(K130="",IF(Reglas!$B$16&gt;J130,"Abierto vencido","Abierto en plazo"),IF(K130&lt;=J130,"Cumplido","Incumplido")))</f>
        <v/>
      </c>
    </row>
    <row r="131">
      <c r="A131">
        <f>IF(B131="","",ROW()-3)</f>
        <v/>
      </c>
      <c r="B131" s="5" t="n"/>
      <c r="C131" s="4" t="n"/>
      <c r="D131" s="4" t="n"/>
      <c r="E131" s="4" t="n"/>
      <c r="F131" s="4" t="n"/>
      <c r="G131" s="4" t="n"/>
      <c r="H131">
        <f>IF(OR(F131="",G131=""),"",INDEX(Reglas!$B$5:$D$7,MATCH(F131,Reglas!$A$5:$A$7,0),MATCH(G131,Reglas!$B$4:$D$4,0)))</f>
        <v/>
      </c>
      <c r="I131">
        <f>IF(H131="","",VLOOKUP(H131,Reglas!$A$11:$B$14,2,FALSE))</f>
        <v/>
      </c>
      <c r="J131" s="6">
        <f>IF(I131="","",B131+I131/24)</f>
        <v/>
      </c>
      <c r="K131" s="5" t="n"/>
      <c r="L131" s="7">
        <f>IF(OR(B131="",K131=""),"",(K131-B131)*24)</f>
        <v/>
      </c>
      <c r="M131">
        <f>IF(B131="","",IF(K131="",IF(Reglas!$B$16&gt;J131,"Abierto vencido","Abierto en plazo"),IF(K131&lt;=J131,"Cumplido","Incumplido")))</f>
        <v/>
      </c>
    </row>
    <row r="132">
      <c r="A132">
        <f>IF(B132="","",ROW()-3)</f>
        <v/>
      </c>
      <c r="B132" s="5" t="n"/>
      <c r="C132" s="4" t="n"/>
      <c r="D132" s="4" t="n"/>
      <c r="E132" s="4" t="n"/>
      <c r="F132" s="4" t="n"/>
      <c r="G132" s="4" t="n"/>
      <c r="H132">
        <f>IF(OR(F132="",G132=""),"",INDEX(Reglas!$B$5:$D$7,MATCH(F132,Reglas!$A$5:$A$7,0),MATCH(G132,Reglas!$B$4:$D$4,0)))</f>
        <v/>
      </c>
      <c r="I132">
        <f>IF(H132="","",VLOOKUP(H132,Reglas!$A$11:$B$14,2,FALSE))</f>
        <v/>
      </c>
      <c r="J132" s="6">
        <f>IF(I132="","",B132+I132/24)</f>
        <v/>
      </c>
      <c r="K132" s="5" t="n"/>
      <c r="L132" s="7">
        <f>IF(OR(B132="",K132=""),"",(K132-B132)*24)</f>
        <v/>
      </c>
      <c r="M132">
        <f>IF(B132="","",IF(K132="",IF(Reglas!$B$16&gt;J132,"Abierto vencido","Abierto en plazo"),IF(K132&lt;=J132,"Cumplido","Incumplido")))</f>
        <v/>
      </c>
    </row>
    <row r="133">
      <c r="A133">
        <f>IF(B133="","",ROW()-3)</f>
        <v/>
      </c>
      <c r="B133" s="5" t="n"/>
      <c r="C133" s="4" t="n"/>
      <c r="D133" s="4" t="n"/>
      <c r="E133" s="4" t="n"/>
      <c r="F133" s="4" t="n"/>
      <c r="G133" s="4" t="n"/>
      <c r="H133">
        <f>IF(OR(F133="",G133=""),"",INDEX(Reglas!$B$5:$D$7,MATCH(F133,Reglas!$A$5:$A$7,0),MATCH(G133,Reglas!$B$4:$D$4,0)))</f>
        <v/>
      </c>
      <c r="I133">
        <f>IF(H133="","",VLOOKUP(H133,Reglas!$A$11:$B$14,2,FALSE))</f>
        <v/>
      </c>
      <c r="J133" s="6">
        <f>IF(I133="","",B133+I133/24)</f>
        <v/>
      </c>
      <c r="K133" s="5" t="n"/>
      <c r="L133" s="7">
        <f>IF(OR(B133="",K133=""),"",(K133-B133)*24)</f>
        <v/>
      </c>
      <c r="M133">
        <f>IF(B133="","",IF(K133="",IF(Reglas!$B$16&gt;J133,"Abierto vencido","Abierto en plazo"),IF(K133&lt;=J133,"Cumplido","Incumplido")))</f>
        <v/>
      </c>
    </row>
    <row r="134">
      <c r="A134">
        <f>IF(B134="","",ROW()-3)</f>
        <v/>
      </c>
      <c r="B134" s="5" t="n"/>
      <c r="C134" s="4" t="n"/>
      <c r="D134" s="4" t="n"/>
      <c r="E134" s="4" t="n"/>
      <c r="F134" s="4" t="n"/>
      <c r="G134" s="4" t="n"/>
      <c r="H134">
        <f>IF(OR(F134="",G134=""),"",INDEX(Reglas!$B$5:$D$7,MATCH(F134,Reglas!$A$5:$A$7,0),MATCH(G134,Reglas!$B$4:$D$4,0)))</f>
        <v/>
      </c>
      <c r="I134">
        <f>IF(H134="","",VLOOKUP(H134,Reglas!$A$11:$B$14,2,FALSE))</f>
        <v/>
      </c>
      <c r="J134" s="6">
        <f>IF(I134="","",B134+I134/24)</f>
        <v/>
      </c>
      <c r="K134" s="5" t="n"/>
      <c r="L134" s="7">
        <f>IF(OR(B134="",K134=""),"",(K134-B134)*24)</f>
        <v/>
      </c>
      <c r="M134">
        <f>IF(B134="","",IF(K134="",IF(Reglas!$B$16&gt;J134,"Abierto vencido","Abierto en plazo"),IF(K134&lt;=J134,"Cumplido","Incumplido")))</f>
        <v/>
      </c>
    </row>
    <row r="135">
      <c r="A135">
        <f>IF(B135="","",ROW()-3)</f>
        <v/>
      </c>
      <c r="B135" s="5" t="n"/>
      <c r="C135" s="4" t="n"/>
      <c r="D135" s="4" t="n"/>
      <c r="E135" s="4" t="n"/>
      <c r="F135" s="4" t="n"/>
      <c r="G135" s="4" t="n"/>
      <c r="H135">
        <f>IF(OR(F135="",G135=""),"",INDEX(Reglas!$B$5:$D$7,MATCH(F135,Reglas!$A$5:$A$7,0),MATCH(G135,Reglas!$B$4:$D$4,0)))</f>
        <v/>
      </c>
      <c r="I135">
        <f>IF(H135="","",VLOOKUP(H135,Reglas!$A$11:$B$14,2,FALSE))</f>
        <v/>
      </c>
      <c r="J135" s="6">
        <f>IF(I135="","",B135+I135/24)</f>
        <v/>
      </c>
      <c r="K135" s="5" t="n"/>
      <c r="L135" s="7">
        <f>IF(OR(B135="",K135=""),"",(K135-B135)*24)</f>
        <v/>
      </c>
      <c r="M135">
        <f>IF(B135="","",IF(K135="",IF(Reglas!$B$16&gt;J135,"Abierto vencido","Abierto en plazo"),IF(K135&lt;=J135,"Cumplido","Incumplido")))</f>
        <v/>
      </c>
    </row>
    <row r="136">
      <c r="A136">
        <f>IF(B136="","",ROW()-3)</f>
        <v/>
      </c>
      <c r="B136" s="5" t="n"/>
      <c r="C136" s="4" t="n"/>
      <c r="D136" s="4" t="n"/>
      <c r="E136" s="4" t="n"/>
      <c r="F136" s="4" t="n"/>
      <c r="G136" s="4" t="n"/>
      <c r="H136">
        <f>IF(OR(F136="",G136=""),"",INDEX(Reglas!$B$5:$D$7,MATCH(F136,Reglas!$A$5:$A$7,0),MATCH(G136,Reglas!$B$4:$D$4,0)))</f>
        <v/>
      </c>
      <c r="I136">
        <f>IF(H136="","",VLOOKUP(H136,Reglas!$A$11:$B$14,2,FALSE))</f>
        <v/>
      </c>
      <c r="J136" s="6">
        <f>IF(I136="","",B136+I136/24)</f>
        <v/>
      </c>
      <c r="K136" s="5" t="n"/>
      <c r="L136" s="7">
        <f>IF(OR(B136="",K136=""),"",(K136-B136)*24)</f>
        <v/>
      </c>
      <c r="M136">
        <f>IF(B136="","",IF(K136="",IF(Reglas!$B$16&gt;J136,"Abierto vencido","Abierto en plazo"),IF(K136&lt;=J136,"Cumplido","Incumplido")))</f>
        <v/>
      </c>
    </row>
    <row r="137">
      <c r="A137">
        <f>IF(B137="","",ROW()-3)</f>
        <v/>
      </c>
      <c r="B137" s="5" t="n"/>
      <c r="C137" s="4" t="n"/>
      <c r="D137" s="4" t="n"/>
      <c r="E137" s="4" t="n"/>
      <c r="F137" s="4" t="n"/>
      <c r="G137" s="4" t="n"/>
      <c r="H137">
        <f>IF(OR(F137="",G137=""),"",INDEX(Reglas!$B$5:$D$7,MATCH(F137,Reglas!$A$5:$A$7,0),MATCH(G137,Reglas!$B$4:$D$4,0)))</f>
        <v/>
      </c>
      <c r="I137">
        <f>IF(H137="","",VLOOKUP(H137,Reglas!$A$11:$B$14,2,FALSE))</f>
        <v/>
      </c>
      <c r="J137" s="6">
        <f>IF(I137="","",B137+I137/24)</f>
        <v/>
      </c>
      <c r="K137" s="5" t="n"/>
      <c r="L137" s="7">
        <f>IF(OR(B137="",K137=""),"",(K137-B137)*24)</f>
        <v/>
      </c>
      <c r="M137">
        <f>IF(B137="","",IF(K137="",IF(Reglas!$B$16&gt;J137,"Abierto vencido","Abierto en plazo"),IF(K137&lt;=J137,"Cumplido","Incumplido")))</f>
        <v/>
      </c>
    </row>
    <row r="138">
      <c r="A138">
        <f>IF(B138="","",ROW()-3)</f>
        <v/>
      </c>
      <c r="B138" s="5" t="n"/>
      <c r="C138" s="4" t="n"/>
      <c r="D138" s="4" t="n"/>
      <c r="E138" s="4" t="n"/>
      <c r="F138" s="4" t="n"/>
      <c r="G138" s="4" t="n"/>
      <c r="H138">
        <f>IF(OR(F138="",G138=""),"",INDEX(Reglas!$B$5:$D$7,MATCH(F138,Reglas!$A$5:$A$7,0),MATCH(G138,Reglas!$B$4:$D$4,0)))</f>
        <v/>
      </c>
      <c r="I138">
        <f>IF(H138="","",VLOOKUP(H138,Reglas!$A$11:$B$14,2,FALSE))</f>
        <v/>
      </c>
      <c r="J138" s="6">
        <f>IF(I138="","",B138+I138/24)</f>
        <v/>
      </c>
      <c r="K138" s="5" t="n"/>
      <c r="L138" s="7">
        <f>IF(OR(B138="",K138=""),"",(K138-B138)*24)</f>
        <v/>
      </c>
      <c r="M138">
        <f>IF(B138="","",IF(K138="",IF(Reglas!$B$16&gt;J138,"Abierto vencido","Abierto en plazo"),IF(K138&lt;=J138,"Cumplido","Incumplido")))</f>
        <v/>
      </c>
    </row>
    <row r="139">
      <c r="A139">
        <f>IF(B139="","",ROW()-3)</f>
        <v/>
      </c>
      <c r="B139" s="5" t="n"/>
      <c r="C139" s="4" t="n"/>
      <c r="D139" s="4" t="n"/>
      <c r="E139" s="4" t="n"/>
      <c r="F139" s="4" t="n"/>
      <c r="G139" s="4" t="n"/>
      <c r="H139">
        <f>IF(OR(F139="",G139=""),"",INDEX(Reglas!$B$5:$D$7,MATCH(F139,Reglas!$A$5:$A$7,0),MATCH(G139,Reglas!$B$4:$D$4,0)))</f>
        <v/>
      </c>
      <c r="I139">
        <f>IF(H139="","",VLOOKUP(H139,Reglas!$A$11:$B$14,2,FALSE))</f>
        <v/>
      </c>
      <c r="J139" s="6">
        <f>IF(I139="","",B139+I139/24)</f>
        <v/>
      </c>
      <c r="K139" s="5" t="n"/>
      <c r="L139" s="7">
        <f>IF(OR(B139="",K139=""),"",(K139-B139)*24)</f>
        <v/>
      </c>
      <c r="M139">
        <f>IF(B139="","",IF(K139="",IF(Reglas!$B$16&gt;J139,"Abierto vencido","Abierto en plazo"),IF(K139&lt;=J139,"Cumplido","Incumplido")))</f>
        <v/>
      </c>
    </row>
    <row r="140">
      <c r="A140">
        <f>IF(B140="","",ROW()-3)</f>
        <v/>
      </c>
      <c r="B140" s="5" t="n"/>
      <c r="C140" s="4" t="n"/>
      <c r="D140" s="4" t="n"/>
      <c r="E140" s="4" t="n"/>
      <c r="F140" s="4" t="n"/>
      <c r="G140" s="4" t="n"/>
      <c r="H140">
        <f>IF(OR(F140="",G140=""),"",INDEX(Reglas!$B$5:$D$7,MATCH(F140,Reglas!$A$5:$A$7,0),MATCH(G140,Reglas!$B$4:$D$4,0)))</f>
        <v/>
      </c>
      <c r="I140">
        <f>IF(H140="","",VLOOKUP(H140,Reglas!$A$11:$B$14,2,FALSE))</f>
        <v/>
      </c>
      <c r="J140" s="6">
        <f>IF(I140="","",B140+I140/24)</f>
        <v/>
      </c>
      <c r="K140" s="5" t="n"/>
      <c r="L140" s="7">
        <f>IF(OR(B140="",K140=""),"",(K140-B140)*24)</f>
        <v/>
      </c>
      <c r="M140">
        <f>IF(B140="","",IF(K140="",IF(Reglas!$B$16&gt;J140,"Abierto vencido","Abierto en plazo"),IF(K140&lt;=J140,"Cumplido","Incumplido")))</f>
        <v/>
      </c>
    </row>
    <row r="141">
      <c r="A141">
        <f>IF(B141="","",ROW()-3)</f>
        <v/>
      </c>
      <c r="B141" s="5" t="n"/>
      <c r="C141" s="4" t="n"/>
      <c r="D141" s="4" t="n"/>
      <c r="E141" s="4" t="n"/>
      <c r="F141" s="4" t="n"/>
      <c r="G141" s="4" t="n"/>
      <c r="H141">
        <f>IF(OR(F141="",G141=""),"",INDEX(Reglas!$B$5:$D$7,MATCH(F141,Reglas!$A$5:$A$7,0),MATCH(G141,Reglas!$B$4:$D$4,0)))</f>
        <v/>
      </c>
      <c r="I141">
        <f>IF(H141="","",VLOOKUP(H141,Reglas!$A$11:$B$14,2,FALSE))</f>
        <v/>
      </c>
      <c r="J141" s="6">
        <f>IF(I141="","",B141+I141/24)</f>
        <v/>
      </c>
      <c r="K141" s="5" t="n"/>
      <c r="L141" s="7">
        <f>IF(OR(B141="",K141=""),"",(K141-B141)*24)</f>
        <v/>
      </c>
      <c r="M141">
        <f>IF(B141="","",IF(K141="",IF(Reglas!$B$16&gt;J141,"Abierto vencido","Abierto en plazo"),IF(K141&lt;=J141,"Cumplido","Incumplido")))</f>
        <v/>
      </c>
    </row>
    <row r="142">
      <c r="A142">
        <f>IF(B142="","",ROW()-3)</f>
        <v/>
      </c>
      <c r="B142" s="5" t="n"/>
      <c r="C142" s="4" t="n"/>
      <c r="D142" s="4" t="n"/>
      <c r="E142" s="4" t="n"/>
      <c r="F142" s="4" t="n"/>
      <c r="G142" s="4" t="n"/>
      <c r="H142">
        <f>IF(OR(F142="",G142=""),"",INDEX(Reglas!$B$5:$D$7,MATCH(F142,Reglas!$A$5:$A$7,0),MATCH(G142,Reglas!$B$4:$D$4,0)))</f>
        <v/>
      </c>
      <c r="I142">
        <f>IF(H142="","",VLOOKUP(H142,Reglas!$A$11:$B$14,2,FALSE))</f>
        <v/>
      </c>
      <c r="J142" s="6">
        <f>IF(I142="","",B142+I142/24)</f>
        <v/>
      </c>
      <c r="K142" s="5" t="n"/>
      <c r="L142" s="7">
        <f>IF(OR(B142="",K142=""),"",(K142-B142)*24)</f>
        <v/>
      </c>
      <c r="M142">
        <f>IF(B142="","",IF(K142="",IF(Reglas!$B$16&gt;J142,"Abierto vencido","Abierto en plazo"),IF(K142&lt;=J142,"Cumplido","Incumplido")))</f>
        <v/>
      </c>
    </row>
    <row r="143">
      <c r="A143">
        <f>IF(B143="","",ROW()-3)</f>
        <v/>
      </c>
      <c r="B143" s="5" t="n"/>
      <c r="C143" s="4" t="n"/>
      <c r="D143" s="4" t="n"/>
      <c r="E143" s="4" t="n"/>
      <c r="F143" s="4" t="n"/>
      <c r="G143" s="4" t="n"/>
      <c r="H143">
        <f>IF(OR(F143="",G143=""),"",INDEX(Reglas!$B$5:$D$7,MATCH(F143,Reglas!$A$5:$A$7,0),MATCH(G143,Reglas!$B$4:$D$4,0)))</f>
        <v/>
      </c>
      <c r="I143">
        <f>IF(H143="","",VLOOKUP(H143,Reglas!$A$11:$B$14,2,FALSE))</f>
        <v/>
      </c>
      <c r="J143" s="6">
        <f>IF(I143="","",B143+I143/24)</f>
        <v/>
      </c>
      <c r="K143" s="5" t="n"/>
      <c r="L143" s="7">
        <f>IF(OR(B143="",K143=""),"",(K143-B143)*24)</f>
        <v/>
      </c>
      <c r="M143">
        <f>IF(B143="","",IF(K143="",IF(Reglas!$B$16&gt;J143,"Abierto vencido","Abierto en plazo"),IF(K143&lt;=J143,"Cumplido","Incumplido")))</f>
        <v/>
      </c>
    </row>
    <row r="144">
      <c r="A144">
        <f>IF(B144="","",ROW()-3)</f>
        <v/>
      </c>
      <c r="B144" s="5" t="n"/>
      <c r="C144" s="4" t="n"/>
      <c r="D144" s="4" t="n"/>
      <c r="E144" s="4" t="n"/>
      <c r="F144" s="4" t="n"/>
      <c r="G144" s="4" t="n"/>
      <c r="H144">
        <f>IF(OR(F144="",G144=""),"",INDEX(Reglas!$B$5:$D$7,MATCH(F144,Reglas!$A$5:$A$7,0),MATCH(G144,Reglas!$B$4:$D$4,0)))</f>
        <v/>
      </c>
      <c r="I144">
        <f>IF(H144="","",VLOOKUP(H144,Reglas!$A$11:$B$14,2,FALSE))</f>
        <v/>
      </c>
      <c r="J144" s="6">
        <f>IF(I144="","",B144+I144/24)</f>
        <v/>
      </c>
      <c r="K144" s="5" t="n"/>
      <c r="L144" s="7">
        <f>IF(OR(B144="",K144=""),"",(K144-B144)*24)</f>
        <v/>
      </c>
      <c r="M144">
        <f>IF(B144="","",IF(K144="",IF(Reglas!$B$16&gt;J144,"Abierto vencido","Abierto en plazo"),IF(K144&lt;=J144,"Cumplido","Incumplido")))</f>
        <v/>
      </c>
    </row>
    <row r="145">
      <c r="A145">
        <f>IF(B145="","",ROW()-3)</f>
        <v/>
      </c>
      <c r="B145" s="5" t="n"/>
      <c r="C145" s="4" t="n"/>
      <c r="D145" s="4" t="n"/>
      <c r="E145" s="4" t="n"/>
      <c r="F145" s="4" t="n"/>
      <c r="G145" s="4" t="n"/>
      <c r="H145">
        <f>IF(OR(F145="",G145=""),"",INDEX(Reglas!$B$5:$D$7,MATCH(F145,Reglas!$A$5:$A$7,0),MATCH(G145,Reglas!$B$4:$D$4,0)))</f>
        <v/>
      </c>
      <c r="I145">
        <f>IF(H145="","",VLOOKUP(H145,Reglas!$A$11:$B$14,2,FALSE))</f>
        <v/>
      </c>
      <c r="J145" s="6">
        <f>IF(I145="","",B145+I145/24)</f>
        <v/>
      </c>
      <c r="K145" s="5" t="n"/>
      <c r="L145" s="7">
        <f>IF(OR(B145="",K145=""),"",(K145-B145)*24)</f>
        <v/>
      </c>
      <c r="M145">
        <f>IF(B145="","",IF(K145="",IF(Reglas!$B$16&gt;J145,"Abierto vencido","Abierto en plazo"),IF(K145&lt;=J145,"Cumplido","Incumplido")))</f>
        <v/>
      </c>
    </row>
    <row r="146">
      <c r="A146">
        <f>IF(B146="","",ROW()-3)</f>
        <v/>
      </c>
      <c r="B146" s="5" t="n"/>
      <c r="C146" s="4" t="n"/>
      <c r="D146" s="4" t="n"/>
      <c r="E146" s="4" t="n"/>
      <c r="F146" s="4" t="n"/>
      <c r="G146" s="4" t="n"/>
      <c r="H146">
        <f>IF(OR(F146="",G146=""),"",INDEX(Reglas!$B$5:$D$7,MATCH(F146,Reglas!$A$5:$A$7,0),MATCH(G146,Reglas!$B$4:$D$4,0)))</f>
        <v/>
      </c>
      <c r="I146">
        <f>IF(H146="","",VLOOKUP(H146,Reglas!$A$11:$B$14,2,FALSE))</f>
        <v/>
      </c>
      <c r="J146" s="6">
        <f>IF(I146="","",B146+I146/24)</f>
        <v/>
      </c>
      <c r="K146" s="5" t="n"/>
      <c r="L146" s="7">
        <f>IF(OR(B146="",K146=""),"",(K146-B146)*24)</f>
        <v/>
      </c>
      <c r="M146">
        <f>IF(B146="","",IF(K146="",IF(Reglas!$B$16&gt;J146,"Abierto vencido","Abierto en plazo"),IF(K146&lt;=J146,"Cumplido","Incumplido")))</f>
        <v/>
      </c>
    </row>
    <row r="147">
      <c r="A147">
        <f>IF(B147="","",ROW()-3)</f>
        <v/>
      </c>
      <c r="B147" s="5" t="n"/>
      <c r="C147" s="4" t="n"/>
      <c r="D147" s="4" t="n"/>
      <c r="E147" s="4" t="n"/>
      <c r="F147" s="4" t="n"/>
      <c r="G147" s="4" t="n"/>
      <c r="H147">
        <f>IF(OR(F147="",G147=""),"",INDEX(Reglas!$B$5:$D$7,MATCH(F147,Reglas!$A$5:$A$7,0),MATCH(G147,Reglas!$B$4:$D$4,0)))</f>
        <v/>
      </c>
      <c r="I147">
        <f>IF(H147="","",VLOOKUP(H147,Reglas!$A$11:$B$14,2,FALSE))</f>
        <v/>
      </c>
      <c r="J147" s="6">
        <f>IF(I147="","",B147+I147/24)</f>
        <v/>
      </c>
      <c r="K147" s="5" t="n"/>
      <c r="L147" s="7">
        <f>IF(OR(B147="",K147=""),"",(K147-B147)*24)</f>
        <v/>
      </c>
      <c r="M147">
        <f>IF(B147="","",IF(K147="",IF(Reglas!$B$16&gt;J147,"Abierto vencido","Abierto en plazo"),IF(K147&lt;=J147,"Cumplido","Incumplido")))</f>
        <v/>
      </c>
    </row>
    <row r="148">
      <c r="A148">
        <f>IF(B148="","",ROW()-3)</f>
        <v/>
      </c>
      <c r="B148" s="5" t="n"/>
      <c r="C148" s="4" t="n"/>
      <c r="D148" s="4" t="n"/>
      <c r="E148" s="4" t="n"/>
      <c r="F148" s="4" t="n"/>
      <c r="G148" s="4" t="n"/>
      <c r="H148">
        <f>IF(OR(F148="",G148=""),"",INDEX(Reglas!$B$5:$D$7,MATCH(F148,Reglas!$A$5:$A$7,0),MATCH(G148,Reglas!$B$4:$D$4,0)))</f>
        <v/>
      </c>
      <c r="I148">
        <f>IF(H148="","",VLOOKUP(H148,Reglas!$A$11:$B$14,2,FALSE))</f>
        <v/>
      </c>
      <c r="J148" s="6">
        <f>IF(I148="","",B148+I148/24)</f>
        <v/>
      </c>
      <c r="K148" s="5" t="n"/>
      <c r="L148" s="7">
        <f>IF(OR(B148="",K148=""),"",(K148-B148)*24)</f>
        <v/>
      </c>
      <c r="M148">
        <f>IF(B148="","",IF(K148="",IF(Reglas!$B$16&gt;J148,"Abierto vencido","Abierto en plazo"),IF(K148&lt;=J148,"Cumplido","Incumplido")))</f>
        <v/>
      </c>
    </row>
    <row r="149">
      <c r="A149">
        <f>IF(B149="","",ROW()-3)</f>
        <v/>
      </c>
      <c r="B149" s="5" t="n"/>
      <c r="C149" s="4" t="n"/>
      <c r="D149" s="4" t="n"/>
      <c r="E149" s="4" t="n"/>
      <c r="F149" s="4" t="n"/>
      <c r="G149" s="4" t="n"/>
      <c r="H149">
        <f>IF(OR(F149="",G149=""),"",INDEX(Reglas!$B$5:$D$7,MATCH(F149,Reglas!$A$5:$A$7,0),MATCH(G149,Reglas!$B$4:$D$4,0)))</f>
        <v/>
      </c>
      <c r="I149">
        <f>IF(H149="","",VLOOKUP(H149,Reglas!$A$11:$B$14,2,FALSE))</f>
        <v/>
      </c>
      <c r="J149" s="6">
        <f>IF(I149="","",B149+I149/24)</f>
        <v/>
      </c>
      <c r="K149" s="5" t="n"/>
      <c r="L149" s="7">
        <f>IF(OR(B149="",K149=""),"",(K149-B149)*24)</f>
        <v/>
      </c>
      <c r="M149">
        <f>IF(B149="","",IF(K149="",IF(Reglas!$B$16&gt;J149,"Abierto vencido","Abierto en plazo"),IF(K149&lt;=J149,"Cumplido","Incumplido")))</f>
        <v/>
      </c>
    </row>
    <row r="150">
      <c r="A150">
        <f>IF(B150="","",ROW()-3)</f>
        <v/>
      </c>
      <c r="B150" s="5" t="n"/>
      <c r="C150" s="4" t="n"/>
      <c r="D150" s="4" t="n"/>
      <c r="E150" s="4" t="n"/>
      <c r="F150" s="4" t="n"/>
      <c r="G150" s="4" t="n"/>
      <c r="H150">
        <f>IF(OR(F150="",G150=""),"",INDEX(Reglas!$B$5:$D$7,MATCH(F150,Reglas!$A$5:$A$7,0),MATCH(G150,Reglas!$B$4:$D$4,0)))</f>
        <v/>
      </c>
      <c r="I150">
        <f>IF(H150="","",VLOOKUP(H150,Reglas!$A$11:$B$14,2,FALSE))</f>
        <v/>
      </c>
      <c r="J150" s="6">
        <f>IF(I150="","",B150+I150/24)</f>
        <v/>
      </c>
      <c r="K150" s="5" t="n"/>
      <c r="L150" s="7">
        <f>IF(OR(B150="",K150=""),"",(K150-B150)*24)</f>
        <v/>
      </c>
      <c r="M150">
        <f>IF(B150="","",IF(K150="",IF(Reglas!$B$16&gt;J150,"Abierto vencido","Abierto en plazo"),IF(K150&lt;=J150,"Cumplido","Incumplido")))</f>
        <v/>
      </c>
    </row>
    <row r="151">
      <c r="A151">
        <f>IF(B151="","",ROW()-3)</f>
        <v/>
      </c>
      <c r="B151" s="5" t="n"/>
      <c r="C151" s="4" t="n"/>
      <c r="D151" s="4" t="n"/>
      <c r="E151" s="4" t="n"/>
      <c r="F151" s="4" t="n"/>
      <c r="G151" s="4" t="n"/>
      <c r="H151">
        <f>IF(OR(F151="",G151=""),"",INDEX(Reglas!$B$5:$D$7,MATCH(F151,Reglas!$A$5:$A$7,0),MATCH(G151,Reglas!$B$4:$D$4,0)))</f>
        <v/>
      </c>
      <c r="I151">
        <f>IF(H151="","",VLOOKUP(H151,Reglas!$A$11:$B$14,2,FALSE))</f>
        <v/>
      </c>
      <c r="J151" s="6">
        <f>IF(I151="","",B151+I151/24)</f>
        <v/>
      </c>
      <c r="K151" s="5" t="n"/>
      <c r="L151" s="7">
        <f>IF(OR(B151="",K151=""),"",(K151-B151)*24)</f>
        <v/>
      </c>
      <c r="M151">
        <f>IF(B151="","",IF(K151="",IF(Reglas!$B$16&gt;J151,"Abierto vencido","Abierto en plazo"),IF(K151&lt;=J151,"Cumplido","Incumplido")))</f>
        <v/>
      </c>
    </row>
    <row r="152">
      <c r="A152">
        <f>IF(B152="","",ROW()-3)</f>
        <v/>
      </c>
      <c r="B152" s="5" t="n"/>
      <c r="C152" s="4" t="n"/>
      <c r="D152" s="4" t="n"/>
      <c r="E152" s="4" t="n"/>
      <c r="F152" s="4" t="n"/>
      <c r="G152" s="4" t="n"/>
      <c r="H152">
        <f>IF(OR(F152="",G152=""),"",INDEX(Reglas!$B$5:$D$7,MATCH(F152,Reglas!$A$5:$A$7,0),MATCH(G152,Reglas!$B$4:$D$4,0)))</f>
        <v/>
      </c>
      <c r="I152">
        <f>IF(H152="","",VLOOKUP(H152,Reglas!$A$11:$B$14,2,FALSE))</f>
        <v/>
      </c>
      <c r="J152" s="6">
        <f>IF(I152="","",B152+I152/24)</f>
        <v/>
      </c>
      <c r="K152" s="5" t="n"/>
      <c r="L152" s="7">
        <f>IF(OR(B152="",K152=""),"",(K152-B152)*24)</f>
        <v/>
      </c>
      <c r="M152">
        <f>IF(B152="","",IF(K152="",IF(Reglas!$B$16&gt;J152,"Abierto vencido","Abierto en plazo"),IF(K152&lt;=J152,"Cumplido","Incumplido")))</f>
        <v/>
      </c>
    </row>
    <row r="153">
      <c r="A153">
        <f>IF(B153="","",ROW()-3)</f>
        <v/>
      </c>
      <c r="B153" s="5" t="n"/>
      <c r="C153" s="4" t="n"/>
      <c r="D153" s="4" t="n"/>
      <c r="E153" s="4" t="n"/>
      <c r="F153" s="4" t="n"/>
      <c r="G153" s="4" t="n"/>
      <c r="H153">
        <f>IF(OR(F153="",G153=""),"",INDEX(Reglas!$B$5:$D$7,MATCH(F153,Reglas!$A$5:$A$7,0),MATCH(G153,Reglas!$B$4:$D$4,0)))</f>
        <v/>
      </c>
      <c r="I153">
        <f>IF(H153="","",VLOOKUP(H153,Reglas!$A$11:$B$14,2,FALSE))</f>
        <v/>
      </c>
      <c r="J153" s="6">
        <f>IF(I153="","",B153+I153/24)</f>
        <v/>
      </c>
      <c r="K153" s="5" t="n"/>
      <c r="L153" s="7">
        <f>IF(OR(B153="",K153=""),"",(K153-B153)*24)</f>
        <v/>
      </c>
      <c r="M153">
        <f>IF(B153="","",IF(K153="",IF(Reglas!$B$16&gt;J153,"Abierto vencido","Abierto en plazo"),IF(K153&lt;=J153,"Cumplido","Incumplido")))</f>
        <v/>
      </c>
    </row>
    <row r="154">
      <c r="A154">
        <f>IF(B154="","",ROW()-3)</f>
        <v/>
      </c>
      <c r="B154" s="5" t="n"/>
      <c r="C154" s="4" t="n"/>
      <c r="D154" s="4" t="n"/>
      <c r="E154" s="4" t="n"/>
      <c r="F154" s="4" t="n"/>
      <c r="G154" s="4" t="n"/>
      <c r="H154">
        <f>IF(OR(F154="",G154=""),"",INDEX(Reglas!$B$5:$D$7,MATCH(F154,Reglas!$A$5:$A$7,0),MATCH(G154,Reglas!$B$4:$D$4,0)))</f>
        <v/>
      </c>
      <c r="I154">
        <f>IF(H154="","",VLOOKUP(H154,Reglas!$A$11:$B$14,2,FALSE))</f>
        <v/>
      </c>
      <c r="J154" s="6">
        <f>IF(I154="","",B154+I154/24)</f>
        <v/>
      </c>
      <c r="K154" s="5" t="n"/>
      <c r="L154" s="7">
        <f>IF(OR(B154="",K154=""),"",(K154-B154)*24)</f>
        <v/>
      </c>
      <c r="M154">
        <f>IF(B154="","",IF(K154="",IF(Reglas!$B$16&gt;J154,"Abierto vencido","Abierto en plazo"),IF(K154&lt;=J154,"Cumplido","Incumplido")))</f>
        <v/>
      </c>
    </row>
    <row r="155">
      <c r="A155">
        <f>IF(B155="","",ROW()-3)</f>
        <v/>
      </c>
      <c r="B155" s="5" t="n"/>
      <c r="C155" s="4" t="n"/>
      <c r="D155" s="4" t="n"/>
      <c r="E155" s="4" t="n"/>
      <c r="F155" s="4" t="n"/>
      <c r="G155" s="4" t="n"/>
      <c r="H155">
        <f>IF(OR(F155="",G155=""),"",INDEX(Reglas!$B$5:$D$7,MATCH(F155,Reglas!$A$5:$A$7,0),MATCH(G155,Reglas!$B$4:$D$4,0)))</f>
        <v/>
      </c>
      <c r="I155">
        <f>IF(H155="","",VLOOKUP(H155,Reglas!$A$11:$B$14,2,FALSE))</f>
        <v/>
      </c>
      <c r="J155" s="6">
        <f>IF(I155="","",B155+I155/24)</f>
        <v/>
      </c>
      <c r="K155" s="5" t="n"/>
      <c r="L155" s="7">
        <f>IF(OR(B155="",K155=""),"",(K155-B155)*24)</f>
        <v/>
      </c>
      <c r="M155">
        <f>IF(B155="","",IF(K155="",IF(Reglas!$B$16&gt;J155,"Abierto vencido","Abierto en plazo"),IF(K155&lt;=J155,"Cumplido","Incumplido")))</f>
        <v/>
      </c>
    </row>
    <row r="156">
      <c r="A156">
        <f>IF(B156="","",ROW()-3)</f>
        <v/>
      </c>
      <c r="B156" s="5" t="n"/>
      <c r="C156" s="4" t="n"/>
      <c r="D156" s="4" t="n"/>
      <c r="E156" s="4" t="n"/>
      <c r="F156" s="4" t="n"/>
      <c r="G156" s="4" t="n"/>
      <c r="H156">
        <f>IF(OR(F156="",G156=""),"",INDEX(Reglas!$B$5:$D$7,MATCH(F156,Reglas!$A$5:$A$7,0),MATCH(G156,Reglas!$B$4:$D$4,0)))</f>
        <v/>
      </c>
      <c r="I156">
        <f>IF(H156="","",VLOOKUP(H156,Reglas!$A$11:$B$14,2,FALSE))</f>
        <v/>
      </c>
      <c r="J156" s="6">
        <f>IF(I156="","",B156+I156/24)</f>
        <v/>
      </c>
      <c r="K156" s="5" t="n"/>
      <c r="L156" s="7">
        <f>IF(OR(B156="",K156=""),"",(K156-B156)*24)</f>
        <v/>
      </c>
      <c r="M156">
        <f>IF(B156="","",IF(K156="",IF(Reglas!$B$16&gt;J156,"Abierto vencido","Abierto en plazo"),IF(K156&lt;=J156,"Cumplido","Incumplido")))</f>
        <v/>
      </c>
    </row>
    <row r="157">
      <c r="A157">
        <f>IF(B157="","",ROW()-3)</f>
        <v/>
      </c>
      <c r="B157" s="5" t="n"/>
      <c r="C157" s="4" t="n"/>
      <c r="D157" s="4" t="n"/>
      <c r="E157" s="4" t="n"/>
      <c r="F157" s="4" t="n"/>
      <c r="G157" s="4" t="n"/>
      <c r="H157">
        <f>IF(OR(F157="",G157=""),"",INDEX(Reglas!$B$5:$D$7,MATCH(F157,Reglas!$A$5:$A$7,0),MATCH(G157,Reglas!$B$4:$D$4,0)))</f>
        <v/>
      </c>
      <c r="I157">
        <f>IF(H157="","",VLOOKUP(H157,Reglas!$A$11:$B$14,2,FALSE))</f>
        <v/>
      </c>
      <c r="J157" s="6">
        <f>IF(I157="","",B157+I157/24)</f>
        <v/>
      </c>
      <c r="K157" s="5" t="n"/>
      <c r="L157" s="7">
        <f>IF(OR(B157="",K157=""),"",(K157-B157)*24)</f>
        <v/>
      </c>
      <c r="M157">
        <f>IF(B157="","",IF(K157="",IF(Reglas!$B$16&gt;J157,"Abierto vencido","Abierto en plazo"),IF(K157&lt;=J157,"Cumplido","Incumplido")))</f>
        <v/>
      </c>
    </row>
    <row r="158">
      <c r="A158">
        <f>IF(B158="","",ROW()-3)</f>
        <v/>
      </c>
      <c r="B158" s="5" t="n"/>
      <c r="C158" s="4" t="n"/>
      <c r="D158" s="4" t="n"/>
      <c r="E158" s="4" t="n"/>
      <c r="F158" s="4" t="n"/>
      <c r="G158" s="4" t="n"/>
      <c r="H158">
        <f>IF(OR(F158="",G158=""),"",INDEX(Reglas!$B$5:$D$7,MATCH(F158,Reglas!$A$5:$A$7,0),MATCH(G158,Reglas!$B$4:$D$4,0)))</f>
        <v/>
      </c>
      <c r="I158">
        <f>IF(H158="","",VLOOKUP(H158,Reglas!$A$11:$B$14,2,FALSE))</f>
        <v/>
      </c>
      <c r="J158" s="6">
        <f>IF(I158="","",B158+I158/24)</f>
        <v/>
      </c>
      <c r="K158" s="5" t="n"/>
      <c r="L158" s="7">
        <f>IF(OR(B158="",K158=""),"",(K158-B158)*24)</f>
        <v/>
      </c>
      <c r="M158">
        <f>IF(B158="","",IF(K158="",IF(Reglas!$B$16&gt;J158,"Abierto vencido","Abierto en plazo"),IF(K158&lt;=J158,"Cumplido","Incumplido")))</f>
        <v/>
      </c>
    </row>
    <row r="159">
      <c r="A159">
        <f>IF(B159="","",ROW()-3)</f>
        <v/>
      </c>
      <c r="B159" s="5" t="n"/>
      <c r="C159" s="4" t="n"/>
      <c r="D159" s="4" t="n"/>
      <c r="E159" s="4" t="n"/>
      <c r="F159" s="4" t="n"/>
      <c r="G159" s="4" t="n"/>
      <c r="H159">
        <f>IF(OR(F159="",G159=""),"",INDEX(Reglas!$B$5:$D$7,MATCH(F159,Reglas!$A$5:$A$7,0),MATCH(G159,Reglas!$B$4:$D$4,0)))</f>
        <v/>
      </c>
      <c r="I159">
        <f>IF(H159="","",VLOOKUP(H159,Reglas!$A$11:$B$14,2,FALSE))</f>
        <v/>
      </c>
      <c r="J159" s="6">
        <f>IF(I159="","",B159+I159/24)</f>
        <v/>
      </c>
      <c r="K159" s="5" t="n"/>
      <c r="L159" s="7">
        <f>IF(OR(B159="",K159=""),"",(K159-B159)*24)</f>
        <v/>
      </c>
      <c r="M159">
        <f>IF(B159="","",IF(K159="",IF(Reglas!$B$16&gt;J159,"Abierto vencido","Abierto en plazo"),IF(K159&lt;=J159,"Cumplido","Incumplido")))</f>
        <v/>
      </c>
    </row>
    <row r="160">
      <c r="A160">
        <f>IF(B160="","",ROW()-3)</f>
        <v/>
      </c>
      <c r="B160" s="5" t="n"/>
      <c r="C160" s="4" t="n"/>
      <c r="D160" s="4" t="n"/>
      <c r="E160" s="4" t="n"/>
      <c r="F160" s="4" t="n"/>
      <c r="G160" s="4" t="n"/>
      <c r="H160">
        <f>IF(OR(F160="",G160=""),"",INDEX(Reglas!$B$5:$D$7,MATCH(F160,Reglas!$A$5:$A$7,0),MATCH(G160,Reglas!$B$4:$D$4,0)))</f>
        <v/>
      </c>
      <c r="I160">
        <f>IF(H160="","",VLOOKUP(H160,Reglas!$A$11:$B$14,2,FALSE))</f>
        <v/>
      </c>
      <c r="J160" s="6">
        <f>IF(I160="","",B160+I160/24)</f>
        <v/>
      </c>
      <c r="K160" s="5" t="n"/>
      <c r="L160" s="7">
        <f>IF(OR(B160="",K160=""),"",(K160-B160)*24)</f>
        <v/>
      </c>
      <c r="M160">
        <f>IF(B160="","",IF(K160="",IF(Reglas!$B$16&gt;J160,"Abierto vencido","Abierto en plazo"),IF(K160&lt;=J160,"Cumplido","Incumplido")))</f>
        <v/>
      </c>
    </row>
    <row r="161">
      <c r="A161">
        <f>IF(B161="","",ROW()-3)</f>
        <v/>
      </c>
      <c r="B161" s="5" t="n"/>
      <c r="C161" s="4" t="n"/>
      <c r="D161" s="4" t="n"/>
      <c r="E161" s="4" t="n"/>
      <c r="F161" s="4" t="n"/>
      <c r="G161" s="4" t="n"/>
      <c r="H161">
        <f>IF(OR(F161="",G161=""),"",INDEX(Reglas!$B$5:$D$7,MATCH(F161,Reglas!$A$5:$A$7,0),MATCH(G161,Reglas!$B$4:$D$4,0)))</f>
        <v/>
      </c>
      <c r="I161">
        <f>IF(H161="","",VLOOKUP(H161,Reglas!$A$11:$B$14,2,FALSE))</f>
        <v/>
      </c>
      <c r="J161" s="6">
        <f>IF(I161="","",B161+I161/24)</f>
        <v/>
      </c>
      <c r="K161" s="5" t="n"/>
      <c r="L161" s="7">
        <f>IF(OR(B161="",K161=""),"",(K161-B161)*24)</f>
        <v/>
      </c>
      <c r="M161">
        <f>IF(B161="","",IF(K161="",IF(Reglas!$B$16&gt;J161,"Abierto vencido","Abierto en plazo"),IF(K161&lt;=J161,"Cumplido","Incumplido")))</f>
        <v/>
      </c>
    </row>
    <row r="162">
      <c r="A162">
        <f>IF(B162="","",ROW()-3)</f>
        <v/>
      </c>
      <c r="B162" s="5" t="n"/>
      <c r="C162" s="4" t="n"/>
      <c r="D162" s="4" t="n"/>
      <c r="E162" s="4" t="n"/>
      <c r="F162" s="4" t="n"/>
      <c r="G162" s="4" t="n"/>
      <c r="H162">
        <f>IF(OR(F162="",G162=""),"",INDEX(Reglas!$B$5:$D$7,MATCH(F162,Reglas!$A$5:$A$7,0),MATCH(G162,Reglas!$B$4:$D$4,0)))</f>
        <v/>
      </c>
      <c r="I162">
        <f>IF(H162="","",VLOOKUP(H162,Reglas!$A$11:$B$14,2,FALSE))</f>
        <v/>
      </c>
      <c r="J162" s="6">
        <f>IF(I162="","",B162+I162/24)</f>
        <v/>
      </c>
      <c r="K162" s="5" t="n"/>
      <c r="L162" s="7">
        <f>IF(OR(B162="",K162=""),"",(K162-B162)*24)</f>
        <v/>
      </c>
      <c r="M162">
        <f>IF(B162="","",IF(K162="",IF(Reglas!$B$16&gt;J162,"Abierto vencido","Abierto en plazo"),IF(K162&lt;=J162,"Cumplido","Incumplido")))</f>
        <v/>
      </c>
    </row>
    <row r="163">
      <c r="A163">
        <f>IF(B163="","",ROW()-3)</f>
        <v/>
      </c>
      <c r="B163" s="5" t="n"/>
      <c r="C163" s="4" t="n"/>
      <c r="D163" s="4" t="n"/>
      <c r="E163" s="4" t="n"/>
      <c r="F163" s="4" t="n"/>
      <c r="G163" s="4" t="n"/>
      <c r="H163">
        <f>IF(OR(F163="",G163=""),"",INDEX(Reglas!$B$5:$D$7,MATCH(F163,Reglas!$A$5:$A$7,0),MATCH(G163,Reglas!$B$4:$D$4,0)))</f>
        <v/>
      </c>
      <c r="I163">
        <f>IF(H163="","",VLOOKUP(H163,Reglas!$A$11:$B$14,2,FALSE))</f>
        <v/>
      </c>
      <c r="J163" s="6">
        <f>IF(I163="","",B163+I163/24)</f>
        <v/>
      </c>
      <c r="K163" s="5" t="n"/>
      <c r="L163" s="7">
        <f>IF(OR(B163="",K163=""),"",(K163-B163)*24)</f>
        <v/>
      </c>
      <c r="M163">
        <f>IF(B163="","",IF(K163="",IF(Reglas!$B$16&gt;J163,"Abierto vencido","Abierto en plazo"),IF(K163&lt;=J163,"Cumplido","Incumplido")))</f>
        <v/>
      </c>
    </row>
    <row r="164">
      <c r="A164">
        <f>IF(B164="","",ROW()-3)</f>
        <v/>
      </c>
      <c r="B164" s="5" t="n"/>
      <c r="C164" s="4" t="n"/>
      <c r="D164" s="4" t="n"/>
      <c r="E164" s="4" t="n"/>
      <c r="F164" s="4" t="n"/>
      <c r="G164" s="4" t="n"/>
      <c r="H164">
        <f>IF(OR(F164="",G164=""),"",INDEX(Reglas!$B$5:$D$7,MATCH(F164,Reglas!$A$5:$A$7,0),MATCH(G164,Reglas!$B$4:$D$4,0)))</f>
        <v/>
      </c>
      <c r="I164">
        <f>IF(H164="","",VLOOKUP(H164,Reglas!$A$11:$B$14,2,FALSE))</f>
        <v/>
      </c>
      <c r="J164" s="6">
        <f>IF(I164="","",B164+I164/24)</f>
        <v/>
      </c>
      <c r="K164" s="5" t="n"/>
      <c r="L164" s="7">
        <f>IF(OR(B164="",K164=""),"",(K164-B164)*24)</f>
        <v/>
      </c>
      <c r="M164">
        <f>IF(B164="","",IF(K164="",IF(Reglas!$B$16&gt;J164,"Abierto vencido","Abierto en plazo"),IF(K164&lt;=J164,"Cumplido","Incumplido")))</f>
        <v/>
      </c>
    </row>
    <row r="165">
      <c r="A165">
        <f>IF(B165="","",ROW()-3)</f>
        <v/>
      </c>
      <c r="B165" s="5" t="n"/>
      <c r="C165" s="4" t="n"/>
      <c r="D165" s="4" t="n"/>
      <c r="E165" s="4" t="n"/>
      <c r="F165" s="4" t="n"/>
      <c r="G165" s="4" t="n"/>
      <c r="H165">
        <f>IF(OR(F165="",G165=""),"",INDEX(Reglas!$B$5:$D$7,MATCH(F165,Reglas!$A$5:$A$7,0),MATCH(G165,Reglas!$B$4:$D$4,0)))</f>
        <v/>
      </c>
      <c r="I165">
        <f>IF(H165="","",VLOOKUP(H165,Reglas!$A$11:$B$14,2,FALSE))</f>
        <v/>
      </c>
      <c r="J165" s="6">
        <f>IF(I165="","",B165+I165/24)</f>
        <v/>
      </c>
      <c r="K165" s="5" t="n"/>
      <c r="L165" s="7">
        <f>IF(OR(B165="",K165=""),"",(K165-B165)*24)</f>
        <v/>
      </c>
      <c r="M165">
        <f>IF(B165="","",IF(K165="",IF(Reglas!$B$16&gt;J165,"Abierto vencido","Abierto en plazo"),IF(K165&lt;=J165,"Cumplido","Incumplido")))</f>
        <v/>
      </c>
    </row>
    <row r="166">
      <c r="A166">
        <f>IF(B166="","",ROW()-3)</f>
        <v/>
      </c>
      <c r="B166" s="5" t="n"/>
      <c r="C166" s="4" t="n"/>
      <c r="D166" s="4" t="n"/>
      <c r="E166" s="4" t="n"/>
      <c r="F166" s="4" t="n"/>
      <c r="G166" s="4" t="n"/>
      <c r="H166">
        <f>IF(OR(F166="",G166=""),"",INDEX(Reglas!$B$5:$D$7,MATCH(F166,Reglas!$A$5:$A$7,0),MATCH(G166,Reglas!$B$4:$D$4,0)))</f>
        <v/>
      </c>
      <c r="I166">
        <f>IF(H166="","",VLOOKUP(H166,Reglas!$A$11:$B$14,2,FALSE))</f>
        <v/>
      </c>
      <c r="J166" s="6">
        <f>IF(I166="","",B166+I166/24)</f>
        <v/>
      </c>
      <c r="K166" s="5" t="n"/>
      <c r="L166" s="7">
        <f>IF(OR(B166="",K166=""),"",(K166-B166)*24)</f>
        <v/>
      </c>
      <c r="M166">
        <f>IF(B166="","",IF(K166="",IF(Reglas!$B$16&gt;J166,"Abierto vencido","Abierto en plazo"),IF(K166&lt;=J166,"Cumplido","Incumplido")))</f>
        <v/>
      </c>
    </row>
    <row r="167">
      <c r="A167">
        <f>IF(B167="","",ROW()-3)</f>
        <v/>
      </c>
      <c r="B167" s="5" t="n"/>
      <c r="C167" s="4" t="n"/>
      <c r="D167" s="4" t="n"/>
      <c r="E167" s="4" t="n"/>
      <c r="F167" s="4" t="n"/>
      <c r="G167" s="4" t="n"/>
      <c r="H167">
        <f>IF(OR(F167="",G167=""),"",INDEX(Reglas!$B$5:$D$7,MATCH(F167,Reglas!$A$5:$A$7,0),MATCH(G167,Reglas!$B$4:$D$4,0)))</f>
        <v/>
      </c>
      <c r="I167">
        <f>IF(H167="","",VLOOKUP(H167,Reglas!$A$11:$B$14,2,FALSE))</f>
        <v/>
      </c>
      <c r="J167" s="6">
        <f>IF(I167="","",B167+I167/24)</f>
        <v/>
      </c>
      <c r="K167" s="5" t="n"/>
      <c r="L167" s="7">
        <f>IF(OR(B167="",K167=""),"",(K167-B167)*24)</f>
        <v/>
      </c>
      <c r="M167">
        <f>IF(B167="","",IF(K167="",IF(Reglas!$B$16&gt;J167,"Abierto vencido","Abierto en plazo"),IF(K167&lt;=J167,"Cumplido","Incumplido")))</f>
        <v/>
      </c>
    </row>
    <row r="168">
      <c r="A168">
        <f>IF(B168="","",ROW()-3)</f>
        <v/>
      </c>
      <c r="B168" s="5" t="n"/>
      <c r="C168" s="4" t="n"/>
      <c r="D168" s="4" t="n"/>
      <c r="E168" s="4" t="n"/>
      <c r="F168" s="4" t="n"/>
      <c r="G168" s="4" t="n"/>
      <c r="H168">
        <f>IF(OR(F168="",G168=""),"",INDEX(Reglas!$B$5:$D$7,MATCH(F168,Reglas!$A$5:$A$7,0),MATCH(G168,Reglas!$B$4:$D$4,0)))</f>
        <v/>
      </c>
      <c r="I168">
        <f>IF(H168="","",VLOOKUP(H168,Reglas!$A$11:$B$14,2,FALSE))</f>
        <v/>
      </c>
      <c r="J168" s="6">
        <f>IF(I168="","",B168+I168/24)</f>
        <v/>
      </c>
      <c r="K168" s="5" t="n"/>
      <c r="L168" s="7">
        <f>IF(OR(B168="",K168=""),"",(K168-B168)*24)</f>
        <v/>
      </c>
      <c r="M168">
        <f>IF(B168="","",IF(K168="",IF(Reglas!$B$16&gt;J168,"Abierto vencido","Abierto en plazo"),IF(K168&lt;=J168,"Cumplido","Incumplido")))</f>
        <v/>
      </c>
    </row>
    <row r="169">
      <c r="A169">
        <f>IF(B169="","",ROW()-3)</f>
        <v/>
      </c>
      <c r="B169" s="5" t="n"/>
      <c r="C169" s="4" t="n"/>
      <c r="D169" s="4" t="n"/>
      <c r="E169" s="4" t="n"/>
      <c r="F169" s="4" t="n"/>
      <c r="G169" s="4" t="n"/>
      <c r="H169">
        <f>IF(OR(F169="",G169=""),"",INDEX(Reglas!$B$5:$D$7,MATCH(F169,Reglas!$A$5:$A$7,0),MATCH(G169,Reglas!$B$4:$D$4,0)))</f>
        <v/>
      </c>
      <c r="I169">
        <f>IF(H169="","",VLOOKUP(H169,Reglas!$A$11:$B$14,2,FALSE))</f>
        <v/>
      </c>
      <c r="J169" s="6">
        <f>IF(I169="","",B169+I169/24)</f>
        <v/>
      </c>
      <c r="K169" s="5" t="n"/>
      <c r="L169" s="7">
        <f>IF(OR(B169="",K169=""),"",(K169-B169)*24)</f>
        <v/>
      </c>
      <c r="M169">
        <f>IF(B169="","",IF(K169="",IF(Reglas!$B$16&gt;J169,"Abierto vencido","Abierto en plazo"),IF(K169&lt;=J169,"Cumplido","Incumplido")))</f>
        <v/>
      </c>
    </row>
    <row r="170">
      <c r="A170">
        <f>IF(B170="","",ROW()-3)</f>
        <v/>
      </c>
      <c r="B170" s="5" t="n"/>
      <c r="C170" s="4" t="n"/>
      <c r="D170" s="4" t="n"/>
      <c r="E170" s="4" t="n"/>
      <c r="F170" s="4" t="n"/>
      <c r="G170" s="4" t="n"/>
      <c r="H170">
        <f>IF(OR(F170="",G170=""),"",INDEX(Reglas!$B$5:$D$7,MATCH(F170,Reglas!$A$5:$A$7,0),MATCH(G170,Reglas!$B$4:$D$4,0)))</f>
        <v/>
      </c>
      <c r="I170">
        <f>IF(H170="","",VLOOKUP(H170,Reglas!$A$11:$B$14,2,FALSE))</f>
        <v/>
      </c>
      <c r="J170" s="6">
        <f>IF(I170="","",B170+I170/24)</f>
        <v/>
      </c>
      <c r="K170" s="5" t="n"/>
      <c r="L170" s="7">
        <f>IF(OR(B170="",K170=""),"",(K170-B170)*24)</f>
        <v/>
      </c>
      <c r="M170">
        <f>IF(B170="","",IF(K170="",IF(Reglas!$B$16&gt;J170,"Abierto vencido","Abierto en plazo"),IF(K170&lt;=J170,"Cumplido","Incumplido")))</f>
        <v/>
      </c>
    </row>
    <row r="171">
      <c r="A171">
        <f>IF(B171="","",ROW()-3)</f>
        <v/>
      </c>
      <c r="B171" s="5" t="n"/>
      <c r="C171" s="4" t="n"/>
      <c r="D171" s="4" t="n"/>
      <c r="E171" s="4" t="n"/>
      <c r="F171" s="4" t="n"/>
      <c r="G171" s="4" t="n"/>
      <c r="H171">
        <f>IF(OR(F171="",G171=""),"",INDEX(Reglas!$B$5:$D$7,MATCH(F171,Reglas!$A$5:$A$7,0),MATCH(G171,Reglas!$B$4:$D$4,0)))</f>
        <v/>
      </c>
      <c r="I171">
        <f>IF(H171="","",VLOOKUP(H171,Reglas!$A$11:$B$14,2,FALSE))</f>
        <v/>
      </c>
      <c r="J171" s="6">
        <f>IF(I171="","",B171+I171/24)</f>
        <v/>
      </c>
      <c r="K171" s="5" t="n"/>
      <c r="L171" s="7">
        <f>IF(OR(B171="",K171=""),"",(K171-B171)*24)</f>
        <v/>
      </c>
      <c r="M171">
        <f>IF(B171="","",IF(K171="",IF(Reglas!$B$16&gt;J171,"Abierto vencido","Abierto en plazo"),IF(K171&lt;=J171,"Cumplido","Incumplido")))</f>
        <v/>
      </c>
    </row>
    <row r="172">
      <c r="A172">
        <f>IF(B172="","",ROW()-3)</f>
        <v/>
      </c>
      <c r="B172" s="5" t="n"/>
      <c r="C172" s="4" t="n"/>
      <c r="D172" s="4" t="n"/>
      <c r="E172" s="4" t="n"/>
      <c r="F172" s="4" t="n"/>
      <c r="G172" s="4" t="n"/>
      <c r="H172">
        <f>IF(OR(F172="",G172=""),"",INDEX(Reglas!$B$5:$D$7,MATCH(F172,Reglas!$A$5:$A$7,0),MATCH(G172,Reglas!$B$4:$D$4,0)))</f>
        <v/>
      </c>
      <c r="I172">
        <f>IF(H172="","",VLOOKUP(H172,Reglas!$A$11:$B$14,2,FALSE))</f>
        <v/>
      </c>
      <c r="J172" s="6">
        <f>IF(I172="","",B172+I172/24)</f>
        <v/>
      </c>
      <c r="K172" s="5" t="n"/>
      <c r="L172" s="7">
        <f>IF(OR(B172="",K172=""),"",(K172-B172)*24)</f>
        <v/>
      </c>
      <c r="M172">
        <f>IF(B172="","",IF(K172="",IF(Reglas!$B$16&gt;J172,"Abierto vencido","Abierto en plazo"),IF(K172&lt;=J172,"Cumplido","Incumplido")))</f>
        <v/>
      </c>
    </row>
    <row r="173">
      <c r="A173">
        <f>IF(B173="","",ROW()-3)</f>
        <v/>
      </c>
      <c r="B173" s="5" t="n"/>
      <c r="C173" s="4" t="n"/>
      <c r="D173" s="4" t="n"/>
      <c r="E173" s="4" t="n"/>
      <c r="F173" s="4" t="n"/>
      <c r="G173" s="4" t="n"/>
      <c r="H173">
        <f>IF(OR(F173="",G173=""),"",INDEX(Reglas!$B$5:$D$7,MATCH(F173,Reglas!$A$5:$A$7,0),MATCH(G173,Reglas!$B$4:$D$4,0)))</f>
        <v/>
      </c>
      <c r="I173">
        <f>IF(H173="","",VLOOKUP(H173,Reglas!$A$11:$B$14,2,FALSE))</f>
        <v/>
      </c>
      <c r="J173" s="6">
        <f>IF(I173="","",B173+I173/24)</f>
        <v/>
      </c>
      <c r="K173" s="5" t="n"/>
      <c r="L173" s="7">
        <f>IF(OR(B173="",K173=""),"",(K173-B173)*24)</f>
        <v/>
      </c>
      <c r="M173">
        <f>IF(B173="","",IF(K173="",IF(Reglas!$B$16&gt;J173,"Abierto vencido","Abierto en plazo"),IF(K173&lt;=J173,"Cumplido","Incumplido")))</f>
        <v/>
      </c>
    </row>
    <row r="174">
      <c r="A174">
        <f>IF(B174="","",ROW()-3)</f>
        <v/>
      </c>
      <c r="B174" s="5" t="n"/>
      <c r="C174" s="4" t="n"/>
      <c r="D174" s="4" t="n"/>
      <c r="E174" s="4" t="n"/>
      <c r="F174" s="4" t="n"/>
      <c r="G174" s="4" t="n"/>
      <c r="H174">
        <f>IF(OR(F174="",G174=""),"",INDEX(Reglas!$B$5:$D$7,MATCH(F174,Reglas!$A$5:$A$7,0),MATCH(G174,Reglas!$B$4:$D$4,0)))</f>
        <v/>
      </c>
      <c r="I174">
        <f>IF(H174="","",VLOOKUP(H174,Reglas!$A$11:$B$14,2,FALSE))</f>
        <v/>
      </c>
      <c r="J174" s="6">
        <f>IF(I174="","",B174+I174/24)</f>
        <v/>
      </c>
      <c r="K174" s="5" t="n"/>
      <c r="L174" s="7">
        <f>IF(OR(B174="",K174=""),"",(K174-B174)*24)</f>
        <v/>
      </c>
      <c r="M174">
        <f>IF(B174="","",IF(K174="",IF(Reglas!$B$16&gt;J174,"Abierto vencido","Abierto en plazo"),IF(K174&lt;=J174,"Cumplido","Incumplido")))</f>
        <v/>
      </c>
    </row>
    <row r="175">
      <c r="A175">
        <f>IF(B175="","",ROW()-3)</f>
        <v/>
      </c>
      <c r="B175" s="5" t="n"/>
      <c r="C175" s="4" t="n"/>
      <c r="D175" s="4" t="n"/>
      <c r="E175" s="4" t="n"/>
      <c r="F175" s="4" t="n"/>
      <c r="G175" s="4" t="n"/>
      <c r="H175">
        <f>IF(OR(F175="",G175=""),"",INDEX(Reglas!$B$5:$D$7,MATCH(F175,Reglas!$A$5:$A$7,0),MATCH(G175,Reglas!$B$4:$D$4,0)))</f>
        <v/>
      </c>
      <c r="I175">
        <f>IF(H175="","",VLOOKUP(H175,Reglas!$A$11:$B$14,2,FALSE))</f>
        <v/>
      </c>
      <c r="J175" s="6">
        <f>IF(I175="","",B175+I175/24)</f>
        <v/>
      </c>
      <c r="K175" s="5" t="n"/>
      <c r="L175" s="7">
        <f>IF(OR(B175="",K175=""),"",(K175-B175)*24)</f>
        <v/>
      </c>
      <c r="M175">
        <f>IF(B175="","",IF(K175="",IF(Reglas!$B$16&gt;J175,"Abierto vencido","Abierto en plazo"),IF(K175&lt;=J175,"Cumplido","Incumplido")))</f>
        <v/>
      </c>
    </row>
    <row r="176">
      <c r="A176">
        <f>IF(B176="","",ROW()-3)</f>
        <v/>
      </c>
      <c r="B176" s="5" t="n"/>
      <c r="C176" s="4" t="n"/>
      <c r="D176" s="4" t="n"/>
      <c r="E176" s="4" t="n"/>
      <c r="F176" s="4" t="n"/>
      <c r="G176" s="4" t="n"/>
      <c r="H176">
        <f>IF(OR(F176="",G176=""),"",INDEX(Reglas!$B$5:$D$7,MATCH(F176,Reglas!$A$5:$A$7,0),MATCH(G176,Reglas!$B$4:$D$4,0)))</f>
        <v/>
      </c>
      <c r="I176">
        <f>IF(H176="","",VLOOKUP(H176,Reglas!$A$11:$B$14,2,FALSE))</f>
        <v/>
      </c>
      <c r="J176" s="6">
        <f>IF(I176="","",B176+I176/24)</f>
        <v/>
      </c>
      <c r="K176" s="5" t="n"/>
      <c r="L176" s="7">
        <f>IF(OR(B176="",K176=""),"",(K176-B176)*24)</f>
        <v/>
      </c>
      <c r="M176">
        <f>IF(B176="","",IF(K176="",IF(Reglas!$B$16&gt;J176,"Abierto vencido","Abierto en plazo"),IF(K176&lt;=J176,"Cumplido","Incumplido")))</f>
        <v/>
      </c>
    </row>
    <row r="177">
      <c r="A177">
        <f>IF(B177="","",ROW()-3)</f>
        <v/>
      </c>
      <c r="B177" s="5" t="n"/>
      <c r="C177" s="4" t="n"/>
      <c r="D177" s="4" t="n"/>
      <c r="E177" s="4" t="n"/>
      <c r="F177" s="4" t="n"/>
      <c r="G177" s="4" t="n"/>
      <c r="H177">
        <f>IF(OR(F177="",G177=""),"",INDEX(Reglas!$B$5:$D$7,MATCH(F177,Reglas!$A$5:$A$7,0),MATCH(G177,Reglas!$B$4:$D$4,0)))</f>
        <v/>
      </c>
      <c r="I177">
        <f>IF(H177="","",VLOOKUP(H177,Reglas!$A$11:$B$14,2,FALSE))</f>
        <v/>
      </c>
      <c r="J177" s="6">
        <f>IF(I177="","",B177+I177/24)</f>
        <v/>
      </c>
      <c r="K177" s="5" t="n"/>
      <c r="L177" s="7">
        <f>IF(OR(B177="",K177=""),"",(K177-B177)*24)</f>
        <v/>
      </c>
      <c r="M177">
        <f>IF(B177="","",IF(K177="",IF(Reglas!$B$16&gt;J177,"Abierto vencido","Abierto en plazo"),IF(K177&lt;=J177,"Cumplido","Incumplido")))</f>
        <v/>
      </c>
    </row>
    <row r="178">
      <c r="A178">
        <f>IF(B178="","",ROW()-3)</f>
        <v/>
      </c>
      <c r="B178" s="5" t="n"/>
      <c r="C178" s="4" t="n"/>
      <c r="D178" s="4" t="n"/>
      <c r="E178" s="4" t="n"/>
      <c r="F178" s="4" t="n"/>
      <c r="G178" s="4" t="n"/>
      <c r="H178">
        <f>IF(OR(F178="",G178=""),"",INDEX(Reglas!$B$5:$D$7,MATCH(F178,Reglas!$A$5:$A$7,0),MATCH(G178,Reglas!$B$4:$D$4,0)))</f>
        <v/>
      </c>
      <c r="I178">
        <f>IF(H178="","",VLOOKUP(H178,Reglas!$A$11:$B$14,2,FALSE))</f>
        <v/>
      </c>
      <c r="J178" s="6">
        <f>IF(I178="","",B178+I178/24)</f>
        <v/>
      </c>
      <c r="K178" s="5" t="n"/>
      <c r="L178" s="7">
        <f>IF(OR(B178="",K178=""),"",(K178-B178)*24)</f>
        <v/>
      </c>
      <c r="M178">
        <f>IF(B178="","",IF(K178="",IF(Reglas!$B$16&gt;J178,"Abierto vencido","Abierto en plazo"),IF(K178&lt;=J178,"Cumplido","Incumplido")))</f>
        <v/>
      </c>
    </row>
    <row r="179">
      <c r="A179">
        <f>IF(B179="","",ROW()-3)</f>
        <v/>
      </c>
      <c r="B179" s="5" t="n"/>
      <c r="C179" s="4" t="n"/>
      <c r="D179" s="4" t="n"/>
      <c r="E179" s="4" t="n"/>
      <c r="F179" s="4" t="n"/>
      <c r="G179" s="4" t="n"/>
      <c r="H179">
        <f>IF(OR(F179="",G179=""),"",INDEX(Reglas!$B$5:$D$7,MATCH(F179,Reglas!$A$5:$A$7,0),MATCH(G179,Reglas!$B$4:$D$4,0)))</f>
        <v/>
      </c>
      <c r="I179">
        <f>IF(H179="","",VLOOKUP(H179,Reglas!$A$11:$B$14,2,FALSE))</f>
        <v/>
      </c>
      <c r="J179" s="6">
        <f>IF(I179="","",B179+I179/24)</f>
        <v/>
      </c>
      <c r="K179" s="5" t="n"/>
      <c r="L179" s="7">
        <f>IF(OR(B179="",K179=""),"",(K179-B179)*24)</f>
        <v/>
      </c>
      <c r="M179">
        <f>IF(B179="","",IF(K179="",IF(Reglas!$B$16&gt;J179,"Abierto vencido","Abierto en plazo"),IF(K179&lt;=J179,"Cumplido","Incumplido")))</f>
        <v/>
      </c>
    </row>
    <row r="180">
      <c r="A180">
        <f>IF(B180="","",ROW()-3)</f>
        <v/>
      </c>
      <c r="B180" s="5" t="n"/>
      <c r="C180" s="4" t="n"/>
      <c r="D180" s="4" t="n"/>
      <c r="E180" s="4" t="n"/>
      <c r="F180" s="4" t="n"/>
      <c r="G180" s="4" t="n"/>
      <c r="H180">
        <f>IF(OR(F180="",G180=""),"",INDEX(Reglas!$B$5:$D$7,MATCH(F180,Reglas!$A$5:$A$7,0),MATCH(G180,Reglas!$B$4:$D$4,0)))</f>
        <v/>
      </c>
      <c r="I180">
        <f>IF(H180="","",VLOOKUP(H180,Reglas!$A$11:$B$14,2,FALSE))</f>
        <v/>
      </c>
      <c r="J180" s="6">
        <f>IF(I180="","",B180+I180/24)</f>
        <v/>
      </c>
      <c r="K180" s="5" t="n"/>
      <c r="L180" s="7">
        <f>IF(OR(B180="",K180=""),"",(K180-B180)*24)</f>
        <v/>
      </c>
      <c r="M180">
        <f>IF(B180="","",IF(K180="",IF(Reglas!$B$16&gt;J180,"Abierto vencido","Abierto en plazo"),IF(K180&lt;=J180,"Cumplido","Incumplido")))</f>
        <v/>
      </c>
    </row>
    <row r="181">
      <c r="A181">
        <f>IF(B181="","",ROW()-3)</f>
        <v/>
      </c>
      <c r="B181" s="5" t="n"/>
      <c r="C181" s="4" t="n"/>
      <c r="D181" s="4" t="n"/>
      <c r="E181" s="4" t="n"/>
      <c r="F181" s="4" t="n"/>
      <c r="G181" s="4" t="n"/>
      <c r="H181">
        <f>IF(OR(F181="",G181=""),"",INDEX(Reglas!$B$5:$D$7,MATCH(F181,Reglas!$A$5:$A$7,0),MATCH(G181,Reglas!$B$4:$D$4,0)))</f>
        <v/>
      </c>
      <c r="I181">
        <f>IF(H181="","",VLOOKUP(H181,Reglas!$A$11:$B$14,2,FALSE))</f>
        <v/>
      </c>
      <c r="J181" s="6">
        <f>IF(I181="","",B181+I181/24)</f>
        <v/>
      </c>
      <c r="K181" s="5" t="n"/>
      <c r="L181" s="7">
        <f>IF(OR(B181="",K181=""),"",(K181-B181)*24)</f>
        <v/>
      </c>
      <c r="M181">
        <f>IF(B181="","",IF(K181="",IF(Reglas!$B$16&gt;J181,"Abierto vencido","Abierto en plazo"),IF(K181&lt;=J181,"Cumplido","Incumplido")))</f>
        <v/>
      </c>
    </row>
    <row r="182">
      <c r="A182">
        <f>IF(B182="","",ROW()-3)</f>
        <v/>
      </c>
      <c r="B182" s="5" t="n"/>
      <c r="C182" s="4" t="n"/>
      <c r="D182" s="4" t="n"/>
      <c r="E182" s="4" t="n"/>
      <c r="F182" s="4" t="n"/>
      <c r="G182" s="4" t="n"/>
      <c r="H182">
        <f>IF(OR(F182="",G182=""),"",INDEX(Reglas!$B$5:$D$7,MATCH(F182,Reglas!$A$5:$A$7,0),MATCH(G182,Reglas!$B$4:$D$4,0)))</f>
        <v/>
      </c>
      <c r="I182">
        <f>IF(H182="","",VLOOKUP(H182,Reglas!$A$11:$B$14,2,FALSE))</f>
        <v/>
      </c>
      <c r="J182" s="6">
        <f>IF(I182="","",B182+I182/24)</f>
        <v/>
      </c>
      <c r="K182" s="5" t="n"/>
      <c r="L182" s="7">
        <f>IF(OR(B182="",K182=""),"",(K182-B182)*24)</f>
        <v/>
      </c>
      <c r="M182">
        <f>IF(B182="","",IF(K182="",IF(Reglas!$B$16&gt;J182,"Abierto vencido","Abierto en plazo"),IF(K182&lt;=J182,"Cumplido","Incumplido")))</f>
        <v/>
      </c>
    </row>
    <row r="183">
      <c r="A183">
        <f>IF(B183="","",ROW()-3)</f>
        <v/>
      </c>
      <c r="B183" s="5" t="n"/>
      <c r="C183" s="4" t="n"/>
      <c r="D183" s="4" t="n"/>
      <c r="E183" s="4" t="n"/>
      <c r="F183" s="4" t="n"/>
      <c r="G183" s="4" t="n"/>
      <c r="H183">
        <f>IF(OR(F183="",G183=""),"",INDEX(Reglas!$B$5:$D$7,MATCH(F183,Reglas!$A$5:$A$7,0),MATCH(G183,Reglas!$B$4:$D$4,0)))</f>
        <v/>
      </c>
      <c r="I183">
        <f>IF(H183="","",VLOOKUP(H183,Reglas!$A$11:$B$14,2,FALSE))</f>
        <v/>
      </c>
      <c r="J183" s="6">
        <f>IF(I183="","",B183+I183/24)</f>
        <v/>
      </c>
      <c r="K183" s="5" t="n"/>
      <c r="L183" s="7">
        <f>IF(OR(B183="",K183=""),"",(K183-B183)*24)</f>
        <v/>
      </c>
      <c r="M183">
        <f>IF(B183="","",IF(K183="",IF(Reglas!$B$16&gt;J183,"Abierto vencido","Abierto en plazo"),IF(K183&lt;=J183,"Cumplido","Incumplido")))</f>
        <v/>
      </c>
    </row>
    <row r="184">
      <c r="A184">
        <f>IF(B184="","",ROW()-3)</f>
        <v/>
      </c>
      <c r="B184" s="5" t="n"/>
      <c r="C184" s="4" t="n"/>
      <c r="D184" s="4" t="n"/>
      <c r="E184" s="4" t="n"/>
      <c r="F184" s="4" t="n"/>
      <c r="G184" s="4" t="n"/>
      <c r="H184">
        <f>IF(OR(F184="",G184=""),"",INDEX(Reglas!$B$5:$D$7,MATCH(F184,Reglas!$A$5:$A$7,0),MATCH(G184,Reglas!$B$4:$D$4,0)))</f>
        <v/>
      </c>
      <c r="I184">
        <f>IF(H184="","",VLOOKUP(H184,Reglas!$A$11:$B$14,2,FALSE))</f>
        <v/>
      </c>
      <c r="J184" s="6">
        <f>IF(I184="","",B184+I184/24)</f>
        <v/>
      </c>
      <c r="K184" s="5" t="n"/>
      <c r="L184" s="7">
        <f>IF(OR(B184="",K184=""),"",(K184-B184)*24)</f>
        <v/>
      </c>
      <c r="M184">
        <f>IF(B184="","",IF(K184="",IF(Reglas!$B$16&gt;J184,"Abierto vencido","Abierto en plazo"),IF(K184&lt;=J184,"Cumplido","Incumplido")))</f>
        <v/>
      </c>
    </row>
    <row r="185">
      <c r="A185">
        <f>IF(B185="","",ROW()-3)</f>
        <v/>
      </c>
      <c r="B185" s="5" t="n"/>
      <c r="C185" s="4" t="n"/>
      <c r="D185" s="4" t="n"/>
      <c r="E185" s="4" t="n"/>
      <c r="F185" s="4" t="n"/>
      <c r="G185" s="4" t="n"/>
      <c r="H185">
        <f>IF(OR(F185="",G185=""),"",INDEX(Reglas!$B$5:$D$7,MATCH(F185,Reglas!$A$5:$A$7,0),MATCH(G185,Reglas!$B$4:$D$4,0)))</f>
        <v/>
      </c>
      <c r="I185">
        <f>IF(H185="","",VLOOKUP(H185,Reglas!$A$11:$B$14,2,FALSE))</f>
        <v/>
      </c>
      <c r="J185" s="6">
        <f>IF(I185="","",B185+I185/24)</f>
        <v/>
      </c>
      <c r="K185" s="5" t="n"/>
      <c r="L185" s="7">
        <f>IF(OR(B185="",K185=""),"",(K185-B185)*24)</f>
        <v/>
      </c>
      <c r="M185">
        <f>IF(B185="","",IF(K185="",IF(Reglas!$B$16&gt;J185,"Abierto vencido","Abierto en plazo"),IF(K185&lt;=J185,"Cumplido","Incumplido")))</f>
        <v/>
      </c>
    </row>
    <row r="186">
      <c r="A186">
        <f>IF(B186="","",ROW()-3)</f>
        <v/>
      </c>
      <c r="B186" s="5" t="n"/>
      <c r="C186" s="4" t="n"/>
      <c r="D186" s="4" t="n"/>
      <c r="E186" s="4" t="n"/>
      <c r="F186" s="4" t="n"/>
      <c r="G186" s="4" t="n"/>
      <c r="H186">
        <f>IF(OR(F186="",G186=""),"",INDEX(Reglas!$B$5:$D$7,MATCH(F186,Reglas!$A$5:$A$7,0),MATCH(G186,Reglas!$B$4:$D$4,0)))</f>
        <v/>
      </c>
      <c r="I186">
        <f>IF(H186="","",VLOOKUP(H186,Reglas!$A$11:$B$14,2,FALSE))</f>
        <v/>
      </c>
      <c r="J186" s="6">
        <f>IF(I186="","",B186+I186/24)</f>
        <v/>
      </c>
      <c r="K186" s="5" t="n"/>
      <c r="L186" s="7">
        <f>IF(OR(B186="",K186=""),"",(K186-B186)*24)</f>
        <v/>
      </c>
      <c r="M186">
        <f>IF(B186="","",IF(K186="",IF(Reglas!$B$16&gt;J186,"Abierto vencido","Abierto en plazo"),IF(K186&lt;=J186,"Cumplido","Incumplido")))</f>
        <v/>
      </c>
    </row>
    <row r="187">
      <c r="A187">
        <f>IF(B187="","",ROW()-3)</f>
        <v/>
      </c>
      <c r="B187" s="5" t="n"/>
      <c r="C187" s="4" t="n"/>
      <c r="D187" s="4" t="n"/>
      <c r="E187" s="4" t="n"/>
      <c r="F187" s="4" t="n"/>
      <c r="G187" s="4" t="n"/>
      <c r="H187">
        <f>IF(OR(F187="",G187=""),"",INDEX(Reglas!$B$5:$D$7,MATCH(F187,Reglas!$A$5:$A$7,0),MATCH(G187,Reglas!$B$4:$D$4,0)))</f>
        <v/>
      </c>
      <c r="I187">
        <f>IF(H187="","",VLOOKUP(H187,Reglas!$A$11:$B$14,2,FALSE))</f>
        <v/>
      </c>
      <c r="J187" s="6">
        <f>IF(I187="","",B187+I187/24)</f>
        <v/>
      </c>
      <c r="K187" s="5" t="n"/>
      <c r="L187" s="7">
        <f>IF(OR(B187="",K187=""),"",(K187-B187)*24)</f>
        <v/>
      </c>
      <c r="M187">
        <f>IF(B187="","",IF(K187="",IF(Reglas!$B$16&gt;J187,"Abierto vencido","Abierto en plazo"),IF(K187&lt;=J187,"Cumplido","Incumplido")))</f>
        <v/>
      </c>
    </row>
    <row r="188">
      <c r="A188">
        <f>IF(B188="","",ROW()-3)</f>
        <v/>
      </c>
      <c r="B188" s="5" t="n"/>
      <c r="C188" s="4" t="n"/>
      <c r="D188" s="4" t="n"/>
      <c r="E188" s="4" t="n"/>
      <c r="F188" s="4" t="n"/>
      <c r="G188" s="4" t="n"/>
      <c r="H188">
        <f>IF(OR(F188="",G188=""),"",INDEX(Reglas!$B$5:$D$7,MATCH(F188,Reglas!$A$5:$A$7,0),MATCH(G188,Reglas!$B$4:$D$4,0)))</f>
        <v/>
      </c>
      <c r="I188">
        <f>IF(H188="","",VLOOKUP(H188,Reglas!$A$11:$B$14,2,FALSE))</f>
        <v/>
      </c>
      <c r="J188" s="6">
        <f>IF(I188="","",B188+I188/24)</f>
        <v/>
      </c>
      <c r="K188" s="5" t="n"/>
      <c r="L188" s="7">
        <f>IF(OR(B188="",K188=""),"",(K188-B188)*24)</f>
        <v/>
      </c>
      <c r="M188">
        <f>IF(B188="","",IF(K188="",IF(Reglas!$B$16&gt;J188,"Abierto vencido","Abierto en plazo"),IF(K188&lt;=J188,"Cumplido","Incumplido")))</f>
        <v/>
      </c>
    </row>
    <row r="189">
      <c r="A189">
        <f>IF(B189="","",ROW()-3)</f>
        <v/>
      </c>
      <c r="B189" s="5" t="n"/>
      <c r="C189" s="4" t="n"/>
      <c r="D189" s="4" t="n"/>
      <c r="E189" s="4" t="n"/>
      <c r="F189" s="4" t="n"/>
      <c r="G189" s="4" t="n"/>
      <c r="H189">
        <f>IF(OR(F189="",G189=""),"",INDEX(Reglas!$B$5:$D$7,MATCH(F189,Reglas!$A$5:$A$7,0),MATCH(G189,Reglas!$B$4:$D$4,0)))</f>
        <v/>
      </c>
      <c r="I189">
        <f>IF(H189="","",VLOOKUP(H189,Reglas!$A$11:$B$14,2,FALSE))</f>
        <v/>
      </c>
      <c r="J189" s="6">
        <f>IF(I189="","",B189+I189/24)</f>
        <v/>
      </c>
      <c r="K189" s="5" t="n"/>
      <c r="L189" s="7">
        <f>IF(OR(B189="",K189=""),"",(K189-B189)*24)</f>
        <v/>
      </c>
      <c r="M189">
        <f>IF(B189="","",IF(K189="",IF(Reglas!$B$16&gt;J189,"Abierto vencido","Abierto en plazo"),IF(K189&lt;=J189,"Cumplido","Incumplido")))</f>
        <v/>
      </c>
    </row>
    <row r="190">
      <c r="A190">
        <f>IF(B190="","",ROW()-3)</f>
        <v/>
      </c>
      <c r="B190" s="5" t="n"/>
      <c r="C190" s="4" t="n"/>
      <c r="D190" s="4" t="n"/>
      <c r="E190" s="4" t="n"/>
      <c r="F190" s="4" t="n"/>
      <c r="G190" s="4" t="n"/>
      <c r="H190">
        <f>IF(OR(F190="",G190=""),"",INDEX(Reglas!$B$5:$D$7,MATCH(F190,Reglas!$A$5:$A$7,0),MATCH(G190,Reglas!$B$4:$D$4,0)))</f>
        <v/>
      </c>
      <c r="I190">
        <f>IF(H190="","",VLOOKUP(H190,Reglas!$A$11:$B$14,2,FALSE))</f>
        <v/>
      </c>
      <c r="J190" s="6">
        <f>IF(I190="","",B190+I190/24)</f>
        <v/>
      </c>
      <c r="K190" s="5" t="n"/>
      <c r="L190" s="7">
        <f>IF(OR(B190="",K190=""),"",(K190-B190)*24)</f>
        <v/>
      </c>
      <c r="M190">
        <f>IF(B190="","",IF(K190="",IF(Reglas!$B$16&gt;J190,"Abierto vencido","Abierto en plazo"),IF(K190&lt;=J190,"Cumplido","Incumplido")))</f>
        <v/>
      </c>
    </row>
    <row r="191">
      <c r="A191">
        <f>IF(B191="","",ROW()-3)</f>
        <v/>
      </c>
      <c r="B191" s="5" t="n"/>
      <c r="C191" s="4" t="n"/>
      <c r="D191" s="4" t="n"/>
      <c r="E191" s="4" t="n"/>
      <c r="F191" s="4" t="n"/>
      <c r="G191" s="4" t="n"/>
      <c r="H191">
        <f>IF(OR(F191="",G191=""),"",INDEX(Reglas!$B$5:$D$7,MATCH(F191,Reglas!$A$5:$A$7,0),MATCH(G191,Reglas!$B$4:$D$4,0)))</f>
        <v/>
      </c>
      <c r="I191">
        <f>IF(H191="","",VLOOKUP(H191,Reglas!$A$11:$B$14,2,FALSE))</f>
        <v/>
      </c>
      <c r="J191" s="6">
        <f>IF(I191="","",B191+I191/24)</f>
        <v/>
      </c>
      <c r="K191" s="5" t="n"/>
      <c r="L191" s="7">
        <f>IF(OR(B191="",K191=""),"",(K191-B191)*24)</f>
        <v/>
      </c>
      <c r="M191">
        <f>IF(B191="","",IF(K191="",IF(Reglas!$B$16&gt;J191,"Abierto vencido","Abierto en plazo"),IF(K191&lt;=J191,"Cumplido","Incumplido")))</f>
        <v/>
      </c>
    </row>
    <row r="192">
      <c r="A192">
        <f>IF(B192="","",ROW()-3)</f>
        <v/>
      </c>
      <c r="B192" s="5" t="n"/>
      <c r="C192" s="4" t="n"/>
      <c r="D192" s="4" t="n"/>
      <c r="E192" s="4" t="n"/>
      <c r="F192" s="4" t="n"/>
      <c r="G192" s="4" t="n"/>
      <c r="H192">
        <f>IF(OR(F192="",G192=""),"",INDEX(Reglas!$B$5:$D$7,MATCH(F192,Reglas!$A$5:$A$7,0),MATCH(G192,Reglas!$B$4:$D$4,0)))</f>
        <v/>
      </c>
      <c r="I192">
        <f>IF(H192="","",VLOOKUP(H192,Reglas!$A$11:$B$14,2,FALSE))</f>
        <v/>
      </c>
      <c r="J192" s="6">
        <f>IF(I192="","",B192+I192/24)</f>
        <v/>
      </c>
      <c r="K192" s="5" t="n"/>
      <c r="L192" s="7">
        <f>IF(OR(B192="",K192=""),"",(K192-B192)*24)</f>
        <v/>
      </c>
      <c r="M192">
        <f>IF(B192="","",IF(K192="",IF(Reglas!$B$16&gt;J192,"Abierto vencido","Abierto en plazo"),IF(K192&lt;=J192,"Cumplido","Incumplido")))</f>
        <v/>
      </c>
    </row>
    <row r="193">
      <c r="A193">
        <f>IF(B193="","",ROW()-3)</f>
        <v/>
      </c>
      <c r="B193" s="5" t="n"/>
      <c r="C193" s="4" t="n"/>
      <c r="D193" s="4" t="n"/>
      <c r="E193" s="4" t="n"/>
      <c r="F193" s="4" t="n"/>
      <c r="G193" s="4" t="n"/>
      <c r="H193">
        <f>IF(OR(F193="",G193=""),"",INDEX(Reglas!$B$5:$D$7,MATCH(F193,Reglas!$A$5:$A$7,0),MATCH(G193,Reglas!$B$4:$D$4,0)))</f>
        <v/>
      </c>
      <c r="I193">
        <f>IF(H193="","",VLOOKUP(H193,Reglas!$A$11:$B$14,2,FALSE))</f>
        <v/>
      </c>
      <c r="J193" s="6">
        <f>IF(I193="","",B193+I193/24)</f>
        <v/>
      </c>
      <c r="K193" s="5" t="n"/>
      <c r="L193" s="7">
        <f>IF(OR(B193="",K193=""),"",(K193-B193)*24)</f>
        <v/>
      </c>
      <c r="M193">
        <f>IF(B193="","",IF(K193="",IF(Reglas!$B$16&gt;J193,"Abierto vencido","Abierto en plazo"),IF(K193&lt;=J193,"Cumplido","Incumplido")))</f>
        <v/>
      </c>
    </row>
    <row r="194">
      <c r="A194">
        <f>IF(B194="","",ROW()-3)</f>
        <v/>
      </c>
      <c r="B194" s="5" t="n"/>
      <c r="C194" s="4" t="n"/>
      <c r="D194" s="4" t="n"/>
      <c r="E194" s="4" t="n"/>
      <c r="F194" s="4" t="n"/>
      <c r="G194" s="4" t="n"/>
      <c r="H194">
        <f>IF(OR(F194="",G194=""),"",INDEX(Reglas!$B$5:$D$7,MATCH(F194,Reglas!$A$5:$A$7,0),MATCH(G194,Reglas!$B$4:$D$4,0)))</f>
        <v/>
      </c>
      <c r="I194">
        <f>IF(H194="","",VLOOKUP(H194,Reglas!$A$11:$B$14,2,FALSE))</f>
        <v/>
      </c>
      <c r="J194" s="6">
        <f>IF(I194="","",B194+I194/24)</f>
        <v/>
      </c>
      <c r="K194" s="5" t="n"/>
      <c r="L194" s="7">
        <f>IF(OR(B194="",K194=""),"",(K194-B194)*24)</f>
        <v/>
      </c>
      <c r="M194">
        <f>IF(B194="","",IF(K194="",IF(Reglas!$B$16&gt;J194,"Abierto vencido","Abierto en plazo"),IF(K194&lt;=J194,"Cumplido","Incumplido")))</f>
        <v/>
      </c>
    </row>
    <row r="195">
      <c r="A195">
        <f>IF(B195="","",ROW()-3)</f>
        <v/>
      </c>
      <c r="B195" s="5" t="n"/>
      <c r="C195" s="4" t="n"/>
      <c r="D195" s="4" t="n"/>
      <c r="E195" s="4" t="n"/>
      <c r="F195" s="4" t="n"/>
      <c r="G195" s="4" t="n"/>
      <c r="H195">
        <f>IF(OR(F195="",G195=""),"",INDEX(Reglas!$B$5:$D$7,MATCH(F195,Reglas!$A$5:$A$7,0),MATCH(G195,Reglas!$B$4:$D$4,0)))</f>
        <v/>
      </c>
      <c r="I195">
        <f>IF(H195="","",VLOOKUP(H195,Reglas!$A$11:$B$14,2,FALSE))</f>
        <v/>
      </c>
      <c r="J195" s="6">
        <f>IF(I195="","",B195+I195/24)</f>
        <v/>
      </c>
      <c r="K195" s="5" t="n"/>
      <c r="L195" s="7">
        <f>IF(OR(B195="",K195=""),"",(K195-B195)*24)</f>
        <v/>
      </c>
      <c r="M195">
        <f>IF(B195="","",IF(K195="",IF(Reglas!$B$16&gt;J195,"Abierto vencido","Abierto en plazo"),IF(K195&lt;=J195,"Cumplido","Incumplido")))</f>
        <v/>
      </c>
    </row>
    <row r="196">
      <c r="A196">
        <f>IF(B196="","",ROW()-3)</f>
        <v/>
      </c>
      <c r="B196" s="5" t="n"/>
      <c r="C196" s="4" t="n"/>
      <c r="D196" s="4" t="n"/>
      <c r="E196" s="4" t="n"/>
      <c r="F196" s="4" t="n"/>
      <c r="G196" s="4" t="n"/>
      <c r="H196">
        <f>IF(OR(F196="",G196=""),"",INDEX(Reglas!$B$5:$D$7,MATCH(F196,Reglas!$A$5:$A$7,0),MATCH(G196,Reglas!$B$4:$D$4,0)))</f>
        <v/>
      </c>
      <c r="I196">
        <f>IF(H196="","",VLOOKUP(H196,Reglas!$A$11:$B$14,2,FALSE))</f>
        <v/>
      </c>
      <c r="J196" s="6">
        <f>IF(I196="","",B196+I196/24)</f>
        <v/>
      </c>
      <c r="K196" s="5" t="n"/>
      <c r="L196" s="7">
        <f>IF(OR(B196="",K196=""),"",(K196-B196)*24)</f>
        <v/>
      </c>
      <c r="M196">
        <f>IF(B196="","",IF(K196="",IF(Reglas!$B$16&gt;J196,"Abierto vencido","Abierto en plazo"),IF(K196&lt;=J196,"Cumplido","Incumplido")))</f>
        <v/>
      </c>
    </row>
    <row r="197">
      <c r="A197">
        <f>IF(B197="","",ROW()-3)</f>
        <v/>
      </c>
      <c r="B197" s="5" t="n"/>
      <c r="C197" s="4" t="n"/>
      <c r="D197" s="4" t="n"/>
      <c r="E197" s="4" t="n"/>
      <c r="F197" s="4" t="n"/>
      <c r="G197" s="4" t="n"/>
      <c r="H197">
        <f>IF(OR(F197="",G197=""),"",INDEX(Reglas!$B$5:$D$7,MATCH(F197,Reglas!$A$5:$A$7,0),MATCH(G197,Reglas!$B$4:$D$4,0)))</f>
        <v/>
      </c>
      <c r="I197">
        <f>IF(H197="","",VLOOKUP(H197,Reglas!$A$11:$B$14,2,FALSE))</f>
        <v/>
      </c>
      <c r="J197" s="6">
        <f>IF(I197="","",B197+I197/24)</f>
        <v/>
      </c>
      <c r="K197" s="5" t="n"/>
      <c r="L197" s="7">
        <f>IF(OR(B197="",K197=""),"",(K197-B197)*24)</f>
        <v/>
      </c>
      <c r="M197">
        <f>IF(B197="","",IF(K197="",IF(Reglas!$B$16&gt;J197,"Abierto vencido","Abierto en plazo"),IF(K197&lt;=J197,"Cumplido","Incumplido")))</f>
        <v/>
      </c>
    </row>
    <row r="198">
      <c r="A198">
        <f>IF(B198="","",ROW()-3)</f>
        <v/>
      </c>
      <c r="B198" s="5" t="n"/>
      <c r="C198" s="4" t="n"/>
      <c r="D198" s="4" t="n"/>
      <c r="E198" s="4" t="n"/>
      <c r="F198" s="4" t="n"/>
      <c r="G198" s="4" t="n"/>
      <c r="H198">
        <f>IF(OR(F198="",G198=""),"",INDEX(Reglas!$B$5:$D$7,MATCH(F198,Reglas!$A$5:$A$7,0),MATCH(G198,Reglas!$B$4:$D$4,0)))</f>
        <v/>
      </c>
      <c r="I198">
        <f>IF(H198="","",VLOOKUP(H198,Reglas!$A$11:$B$14,2,FALSE))</f>
        <v/>
      </c>
      <c r="J198" s="6">
        <f>IF(I198="","",B198+I198/24)</f>
        <v/>
      </c>
      <c r="K198" s="5" t="n"/>
      <c r="L198" s="7">
        <f>IF(OR(B198="",K198=""),"",(K198-B198)*24)</f>
        <v/>
      </c>
      <c r="M198">
        <f>IF(B198="","",IF(K198="",IF(Reglas!$B$16&gt;J198,"Abierto vencido","Abierto en plazo"),IF(K198&lt;=J198,"Cumplido","Incumplido")))</f>
        <v/>
      </c>
    </row>
    <row r="199">
      <c r="A199">
        <f>IF(B199="","",ROW()-3)</f>
        <v/>
      </c>
      <c r="B199" s="5" t="n"/>
      <c r="C199" s="4" t="n"/>
      <c r="D199" s="4" t="n"/>
      <c r="E199" s="4" t="n"/>
      <c r="F199" s="4" t="n"/>
      <c r="G199" s="4" t="n"/>
      <c r="H199">
        <f>IF(OR(F199="",G199=""),"",INDEX(Reglas!$B$5:$D$7,MATCH(F199,Reglas!$A$5:$A$7,0),MATCH(G199,Reglas!$B$4:$D$4,0)))</f>
        <v/>
      </c>
      <c r="I199">
        <f>IF(H199="","",VLOOKUP(H199,Reglas!$A$11:$B$14,2,FALSE))</f>
        <v/>
      </c>
      <c r="J199" s="6">
        <f>IF(I199="","",B199+I199/24)</f>
        <v/>
      </c>
      <c r="K199" s="5" t="n"/>
      <c r="L199" s="7">
        <f>IF(OR(B199="",K199=""),"",(K199-B199)*24)</f>
        <v/>
      </c>
      <c r="M199">
        <f>IF(B199="","",IF(K199="",IF(Reglas!$B$16&gt;J199,"Abierto vencido","Abierto en plazo"),IF(K199&lt;=J199,"Cumplido","Incumplido")))</f>
        <v/>
      </c>
    </row>
    <row r="200">
      <c r="A200">
        <f>IF(B200="","",ROW()-3)</f>
        <v/>
      </c>
      <c r="B200" s="5" t="n"/>
      <c r="C200" s="4" t="n"/>
      <c r="D200" s="4" t="n"/>
      <c r="E200" s="4" t="n"/>
      <c r="F200" s="4" t="n"/>
      <c r="G200" s="4" t="n"/>
      <c r="H200">
        <f>IF(OR(F200="",G200=""),"",INDEX(Reglas!$B$5:$D$7,MATCH(F200,Reglas!$A$5:$A$7,0),MATCH(G200,Reglas!$B$4:$D$4,0)))</f>
        <v/>
      </c>
      <c r="I200">
        <f>IF(H200="","",VLOOKUP(H200,Reglas!$A$11:$B$14,2,FALSE))</f>
        <v/>
      </c>
      <c r="J200" s="6">
        <f>IF(I200="","",B200+I200/24)</f>
        <v/>
      </c>
      <c r="K200" s="5" t="n"/>
      <c r="L200" s="7">
        <f>IF(OR(B200="",K200=""),"",(K200-B200)*24)</f>
        <v/>
      </c>
      <c r="M200">
        <f>IF(B200="","",IF(K200="",IF(Reglas!$B$16&gt;J200,"Abierto vencido","Abierto en plazo"),IF(K200&lt;=J200,"Cumplido","Incumplido")))</f>
        <v/>
      </c>
    </row>
  </sheetData>
  <conditionalFormatting sqref="M4:M200">
    <cfRule type="cellIs" priority="1" operator="equal" dxfId="0">
      <formula>"Incumplido"</formula>
    </cfRule>
    <cfRule type="cellIs" priority="2" operator="equal" dxfId="0">
      <formula>"Abierto vencido"</formula>
    </cfRule>
    <cfRule type="cellIs" priority="3" operator="equal" dxfId="1">
      <formula>"Cumplido"</formula>
    </cfRule>
  </conditionalFormatting>
  <dataValidations count="2">
    <dataValidation sqref="F4:F200" showDropDown="0" showInputMessage="0" showErrorMessage="0" allowBlank="0" type="list">
      <formula1>"Alto,Medio,Bajo"</formula1>
    </dataValidation>
    <dataValidation sqref="G4:G200" showDropDown="0" showInputMessage="0" showErrorMessage="0" allowBlank="0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INDICADORES DE LA MESA DE AYUDA (ejemplo ficticio; periodo del 11 al 18 de enero de 2027)</t>
        </is>
      </c>
    </row>
    <row r="3">
      <c r="A3" t="inlineStr">
        <is>
          <t>Tickets registrados</t>
        </is>
      </c>
      <c r="B3">
        <f>COUNT(Tickets!$B$4:$B$200)</f>
        <v/>
      </c>
    </row>
    <row r="4">
      <c r="A4" t="inlineStr">
        <is>
          <t>Cerrados</t>
        </is>
      </c>
      <c r="B4">
        <f>COUNT(Tickets!$K$4:$K$200)</f>
        <v/>
      </c>
    </row>
    <row r="5">
      <c r="A5" t="inlineStr">
        <is>
          <t>Abiertos</t>
        </is>
      </c>
      <c r="B5">
        <f>B3-B4</f>
        <v/>
      </c>
    </row>
    <row r="6">
      <c r="A6" t="inlineStr">
        <is>
          <t>Cerrados dentro del plazo</t>
        </is>
      </c>
      <c r="B6">
        <f>COUNTIF(Tickets!$M$4:$M$200,"Cumplido")</f>
        <v/>
      </c>
    </row>
    <row r="7">
      <c r="A7" t="inlineStr">
        <is>
          <t>Cumplimiento del plazo (cerrados)</t>
        </is>
      </c>
      <c r="B7" s="8">
        <f>IF(B4=0,0,B6/B4)</f>
        <v/>
      </c>
    </row>
    <row r="8">
      <c r="A8" t="inlineStr">
        <is>
          <t>Abiertos ya vencidos</t>
        </is>
      </c>
      <c r="B8">
        <f>COUNTIF(Tickets!$M$4:$M$200,"Abierto vencido")</f>
        <v/>
      </c>
    </row>
    <row r="9">
      <c r="A9" t="inlineStr">
        <is>
          <t>Tiempo medio de resolución (horas)</t>
        </is>
      </c>
      <c r="B9" s="7">
        <f>AVERAGE(Tickets!$L$4:$L$200)</f>
        <v/>
      </c>
    </row>
    <row r="10">
      <c r="A10" t="inlineStr">
        <is>
          <t>Mediana de resolución (horas)</t>
        </is>
      </c>
      <c r="B10" s="7">
        <f>MEDIAN(Tickets!$L$4:$L$200)</f>
        <v/>
      </c>
    </row>
    <row r="12">
      <c r="A12" s="3" t="inlineStr">
        <is>
          <t>Prioridad</t>
        </is>
      </c>
      <c r="B12" s="3" t="inlineStr">
        <is>
          <t>Tickets</t>
        </is>
      </c>
      <c r="C12" s="3" t="inlineStr">
        <is>
          <t>Cerrados</t>
        </is>
      </c>
      <c r="D12" s="3" t="inlineStr">
        <is>
          <t>Cumplidos</t>
        </is>
      </c>
      <c r="E12" s="3" t="inlineStr">
        <is>
          <t>Horas medias de resolución</t>
        </is>
      </c>
    </row>
    <row r="13">
      <c r="A13" t="inlineStr">
        <is>
          <t>P1</t>
        </is>
      </c>
      <c r="B13">
        <f>COUNTIF(Tickets!$H$4:$H$200,A13)</f>
        <v/>
      </c>
      <c r="C13">
        <f>COUNTIFS(Tickets!$H$4:$H$200,A13,Tickets!$K$4:$K$200,"&lt;&gt;")</f>
        <v/>
      </c>
      <c r="D13">
        <f>COUNTIFS(Tickets!$H$4:$H$200,A13,Tickets!$M$4:$M$200,"Cumplido")</f>
        <v/>
      </c>
      <c r="E13" s="7">
        <f>IFERROR(AVERAGEIFS(Tickets!$L$4:$L$200,Tickets!$H$4:$H$200,A13),"")</f>
        <v/>
      </c>
    </row>
    <row r="14">
      <c r="A14" t="inlineStr">
        <is>
          <t>P2</t>
        </is>
      </c>
      <c r="B14">
        <f>COUNTIF(Tickets!$H$4:$H$200,A14)</f>
        <v/>
      </c>
      <c r="C14">
        <f>COUNTIFS(Tickets!$H$4:$H$200,A14,Tickets!$K$4:$K$200,"&lt;&gt;")</f>
        <v/>
      </c>
      <c r="D14">
        <f>COUNTIFS(Tickets!$H$4:$H$200,A14,Tickets!$M$4:$M$200,"Cumplido")</f>
        <v/>
      </c>
      <c r="E14" s="7">
        <f>IFERROR(AVERAGEIFS(Tickets!$L$4:$L$200,Tickets!$H$4:$H$200,A14),"")</f>
        <v/>
      </c>
    </row>
    <row r="15">
      <c r="A15" t="inlineStr">
        <is>
          <t>P3</t>
        </is>
      </c>
      <c r="B15">
        <f>COUNTIF(Tickets!$H$4:$H$200,A15)</f>
        <v/>
      </c>
      <c r="C15">
        <f>COUNTIFS(Tickets!$H$4:$H$200,A15,Tickets!$K$4:$K$200,"&lt;&gt;")</f>
        <v/>
      </c>
      <c r="D15">
        <f>COUNTIFS(Tickets!$H$4:$H$200,A15,Tickets!$M$4:$M$200,"Cumplido")</f>
        <v/>
      </c>
      <c r="E15" s="7">
        <f>IFERROR(AVERAGEIFS(Tickets!$L$4:$L$200,Tickets!$H$4:$H$200,A15),"")</f>
        <v/>
      </c>
    </row>
    <row r="16">
      <c r="A16" t="inlineStr">
        <is>
          <t>P4</t>
        </is>
      </c>
      <c r="B16">
        <f>COUNTIF(Tickets!$H$4:$H$200,A16)</f>
        <v/>
      </c>
      <c r="C16">
        <f>COUNTIFS(Tickets!$H$4:$H$200,A16,Tickets!$K$4:$K$200,"&lt;&gt;")</f>
        <v/>
      </c>
      <c r="D16">
        <f>COUNTIFS(Tickets!$H$4:$H$200,A16,Tickets!$M$4:$M$200,"Cumplido")</f>
        <v/>
      </c>
      <c r="E16" s="7">
        <f>IFERROR(AVERAGEIFS(Tickets!$L$4:$L$200,Tickets!$H$4:$H$200,A16),"")</f>
        <v/>
      </c>
    </row>
    <row r="19">
      <c r="A19" s="3" t="inlineStr">
        <is>
          <t>Categoría</t>
        </is>
      </c>
      <c r="B19" s="3" t="inlineStr">
        <is>
          <t>Tickets</t>
        </is>
      </c>
      <c r="C19" s="3" t="inlineStr">
        <is>
          <t>Porcentaje</t>
        </is>
      </c>
    </row>
    <row r="20">
      <c r="A20" t="inlineStr">
        <is>
          <t>Red y Wi-Fi</t>
        </is>
      </c>
      <c r="B20">
        <f>COUNTIF(Tickets!$D$4:$D$200,A20)</f>
        <v/>
      </c>
      <c r="C20" s="8">
        <f>IF($B$3=0,0,B20/$B$3)</f>
        <v/>
      </c>
    </row>
    <row r="21">
      <c r="A21" t="inlineStr">
        <is>
          <t>Proyector o aula</t>
        </is>
      </c>
      <c r="B21">
        <f>COUNTIF(Tickets!$D$4:$D$200,A21)</f>
        <v/>
      </c>
      <c r="C21" s="8">
        <f>IF($B$3=0,0,B21/$B$3)</f>
        <v/>
      </c>
    </row>
    <row r="22">
      <c r="A22" t="inlineStr">
        <is>
          <t>Cuenta o acceso</t>
        </is>
      </c>
      <c r="B22">
        <f>COUNTIF(Tickets!$D$4:$D$200,A22)</f>
        <v/>
      </c>
      <c r="C22" s="8">
        <f>IF($B$3=0,0,B22/$B$3)</f>
        <v/>
      </c>
    </row>
    <row r="23">
      <c r="A23" t="inlineStr">
        <is>
          <t>Plataforma</t>
        </is>
      </c>
      <c r="B23">
        <f>COUNTIF(Tickets!$D$4:$D$200,A23)</f>
        <v/>
      </c>
      <c r="C23" s="8">
        <f>IF($B$3=0,0,B23/$B$3)</f>
        <v/>
      </c>
    </row>
    <row r="24">
      <c r="A24" t="inlineStr">
        <is>
          <t>Correo</t>
        </is>
      </c>
      <c r="B24">
        <f>COUNTIF(Tickets!$D$4:$D$200,A24)</f>
        <v/>
      </c>
      <c r="C24" s="8">
        <f>IF($B$3=0,0,B24/$B$3)</f>
        <v/>
      </c>
    </row>
    <row r="25">
      <c r="A25" t="inlineStr">
        <is>
          <t>Impresión</t>
        </is>
      </c>
      <c r="B25">
        <f>COUNTIF(Tickets!$D$4:$D$200,A25)</f>
        <v/>
      </c>
      <c r="C25" s="8">
        <f>IF($B$3=0,0,B25/$B$3)</f>
        <v/>
      </c>
    </row>
    <row r="26">
      <c r="A26" t="inlineStr">
        <is>
          <t>Software</t>
        </is>
      </c>
      <c r="B26">
        <f>COUNTIF(Tickets!$D$4:$D$200,A26)</f>
        <v/>
      </c>
      <c r="C26" s="8">
        <f>IF($B$3=0,0,B26/$B$3)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2026-10-10T13:42:20Z</dcterms:created>
  <dcterms:modified xmlns:dcterms="http://purl.org/dc/terms/" xmlns:xsi="http://www.w3.org/2001/XMLSchema-instance" xsi:type="dcterms:W3CDTF">2026-10-10T13:42:20Z</dcterms:modified>
</cp:coreProperties>
</file>