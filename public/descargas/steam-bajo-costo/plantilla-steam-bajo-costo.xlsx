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_proyecto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Rubrica_STEAM" sheetId="3" state="visible" r:id="rId3"/>
    <sheet xmlns:r="http://schemas.openxmlformats.org/officeDocument/2006/relationships" name="Banco_de_id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2" fontId="0" fillId="0" borderId="0" pivotButton="0" quotePrefix="0" xfId="0"/>
    <xf numFmtId="9" fontId="0" fillId="0" borderId="0" pivotButton="0" quotePrefix="0" xfId="0"/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FICHA DE PROYECTO STEAM DE BAJO COSTO (ejemplo diligenciado: anemómetro de vasos)</t>
        </is>
      </c>
    </row>
    <row r="3">
      <c r="A3" s="2" t="inlineStr">
        <is>
          <t>Elemento</t>
        </is>
      </c>
      <c r="B3" s="2" t="inlineStr">
        <is>
          <t>Contenido (edita)</t>
        </is>
      </c>
    </row>
    <row r="4">
      <c r="A4" s="3" t="inlineStr">
        <is>
          <t>Pregunta guía (abierta, medible)</t>
        </is>
      </c>
      <c r="B4" s="4" t="inlineStr">
        <is>
          <t>¿Cómo podemos comparar la fuerza del viento en tres lugares del colegio con un instrumento que construimos?</t>
        </is>
      </c>
    </row>
    <row r="5">
      <c r="A5" s="3" t="inlineStr">
        <is>
          <t>Producto final</t>
        </is>
      </c>
      <c r="B5" s="4" t="inlineStr">
        <is>
          <t>Un anemómetro de vasos y una tabla de mediciones con una conclusión y un afiche para la comunidad</t>
        </is>
      </c>
    </row>
    <row r="6">
      <c r="A6" s="3" t="inlineStr">
        <is>
          <t>Ciencia (S)</t>
        </is>
      </c>
      <c r="B6" s="4" t="inlineStr">
        <is>
          <t>Viento, presión y movimiento; variables y medición</t>
        </is>
      </c>
    </row>
    <row r="7">
      <c r="A7" s="3" t="inlineStr">
        <is>
          <t>Tecnología (T)</t>
        </is>
      </c>
      <c r="B7" s="4" t="inlineStr">
        <is>
          <t>Uso de cronómetro del celular o reloj para contar vueltas; hoja de cálculo para registrar</t>
        </is>
      </c>
    </row>
    <row r="8">
      <c r="A8" s="3" t="inlineStr">
        <is>
          <t>Ingeniería (E)</t>
        </is>
      </c>
      <c r="B8" s="4" t="inlineStr">
        <is>
          <t>Diseñar, construir, probar y mejorar el instrumento (al menos dos versiones)</t>
        </is>
      </c>
    </row>
    <row r="9">
      <c r="A9" s="3" t="inlineStr">
        <is>
          <t>Arte (A) con función real</t>
        </is>
      </c>
      <c r="B9" s="4" t="inlineStr">
        <is>
          <t>Diseño del afiche y de la marca visible del vaso para contar vueltas con claridad</t>
        </is>
      </c>
    </row>
    <row r="10">
      <c r="A10" s="3" t="inlineStr">
        <is>
          <t>Matemáticas (M)</t>
        </is>
      </c>
      <c r="B10" s="4" t="inlineStr">
        <is>
          <t>Conteo, razón (vueltas por minuto), promedio y comparación de tres lugares</t>
        </is>
      </c>
    </row>
    <row r="11">
      <c r="A11" s="3" t="inlineStr">
        <is>
          <t>Evidencia de aprendizaje</t>
        </is>
      </c>
      <c r="B11" s="4" t="inlineStr">
        <is>
          <t>Tabla de datos, comparación de la versión 1 y la 2, explicación de por qué mejoró</t>
        </is>
      </c>
    </row>
    <row r="12">
      <c r="A12" s="3" t="inlineStr">
        <is>
          <t>Ciclo de mejora</t>
        </is>
      </c>
      <c r="B12" s="4" t="inlineStr">
        <is>
          <t>Prototipo, prueba, ajuste y segunda prueba (fecha de cada una)</t>
        </is>
      </c>
    </row>
    <row r="13">
      <c r="A13" s="3" t="inlineStr">
        <is>
          <t>Tiempo</t>
        </is>
      </c>
      <c r="B13" s="4" t="inlineStr">
        <is>
          <t>4 sesiones de 55 minutos</t>
        </is>
      </c>
    </row>
    <row r="14">
      <c r="A14" s="3" t="inlineStr">
        <is>
          <t>Cómo se evalúa</t>
        </is>
      </c>
      <c r="B14" s="4" t="inlineStr">
        <is>
          <t>Hoja Rúbrica_STEAM; retroalimentación en cada 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20" customWidth="1" min="4" max="4"/>
    <col width="18" customWidth="1" min="5" max="5"/>
  </cols>
  <sheetData>
    <row r="1">
      <c r="A1" s="1" t="inlineStr">
        <is>
          <t>PRESUPUESTO DEL PROYECTO (precios de ejemplo en pesos colombianos; reemplázalos con los de tu zona)</t>
        </is>
      </c>
    </row>
    <row r="3">
      <c r="A3" s="2" t="inlineStr">
        <is>
          <t>Material</t>
        </is>
      </c>
      <c r="B3" s="2" t="inlineStr">
        <is>
          <t>Origen</t>
        </is>
      </c>
      <c r="C3" s="2" t="inlineStr">
        <is>
          <t>Cantidad</t>
        </is>
      </c>
      <c r="D3" s="2" t="inlineStr">
        <is>
          <t>Costo unitario (COP)</t>
        </is>
      </c>
      <c r="E3" s="2" t="inlineStr">
        <is>
          <t>Costo total (COP)</t>
        </is>
      </c>
    </row>
    <row r="4">
      <c r="A4" s="5" t="inlineStr">
        <is>
          <t>Vasos plásticos usados</t>
        </is>
      </c>
      <c r="B4" s="5" t="inlineStr">
        <is>
          <t>Reciclado</t>
        </is>
      </c>
      <c r="C4" s="5" t="n">
        <v>40</v>
      </c>
      <c r="D4" s="6" t="n">
        <v>0</v>
      </c>
      <c r="E4" s="7">
        <f>IF(C4="","",C4*D4)</f>
        <v/>
      </c>
    </row>
    <row r="5">
      <c r="A5" s="5" t="inlineStr">
        <is>
          <t>Cartón para la base</t>
        </is>
      </c>
      <c r="B5" s="5" t="inlineStr">
        <is>
          <t>Reciclado</t>
        </is>
      </c>
      <c r="C5" s="5" t="n">
        <v>10</v>
      </c>
      <c r="D5" s="6" t="n">
        <v>0</v>
      </c>
      <c r="E5" s="7">
        <f>IF(C5="","",C5*D5)</f>
        <v/>
      </c>
    </row>
    <row r="6">
      <c r="A6" s="5" t="inlineStr">
        <is>
          <t>Botones o tapas para el eje</t>
        </is>
      </c>
      <c r="B6" s="5" t="inlineStr">
        <is>
          <t>Reciclado</t>
        </is>
      </c>
      <c r="C6" s="5" t="n">
        <v>10</v>
      </c>
      <c r="D6" s="6" t="n">
        <v>0</v>
      </c>
      <c r="E6" s="7">
        <f>IF(C6="","",C6*D6)</f>
        <v/>
      </c>
    </row>
    <row r="7">
      <c r="A7" s="5" t="inlineStr">
        <is>
          <t>Palos de balso o lápices</t>
        </is>
      </c>
      <c r="B7" s="5" t="inlineStr">
        <is>
          <t>Comprado</t>
        </is>
      </c>
      <c r="C7" s="5" t="n">
        <v>20</v>
      </c>
      <c r="D7" s="6" t="n">
        <v>500</v>
      </c>
      <c r="E7" s="7">
        <f>IF(C7="","",C7*D7)</f>
        <v/>
      </c>
    </row>
    <row r="8">
      <c r="A8" s="5" t="inlineStr">
        <is>
          <t>Alfileres con cabeza (caja)</t>
        </is>
      </c>
      <c r="B8" s="5" t="inlineStr">
        <is>
          <t>Comprado</t>
        </is>
      </c>
      <c r="C8" s="5" t="n">
        <v>1</v>
      </c>
      <c r="D8" s="6" t="n">
        <v>3000</v>
      </c>
      <c r="E8" s="7">
        <f>IF(C8="","",C8*D8)</f>
        <v/>
      </c>
    </row>
    <row r="9">
      <c r="A9" s="5" t="inlineStr">
        <is>
          <t>Cinta adhesiva</t>
        </is>
      </c>
      <c r="B9" s="5" t="inlineStr">
        <is>
          <t>Comprado</t>
        </is>
      </c>
      <c r="C9" s="5" t="n">
        <v>3</v>
      </c>
      <c r="D9" s="6" t="n">
        <v>2500</v>
      </c>
      <c r="E9" s="7">
        <f>IF(C9="","",C9*D9)</f>
        <v/>
      </c>
    </row>
    <row r="10">
      <c r="A10" s="5" t="inlineStr">
        <is>
          <t>Marcadores</t>
        </is>
      </c>
      <c r="B10" s="5" t="inlineStr">
        <is>
          <t>Comprado</t>
        </is>
      </c>
      <c r="C10" s="5" t="n">
        <v>5</v>
      </c>
      <c r="D10" s="6" t="n">
        <v>3000</v>
      </c>
      <c r="E10" s="7">
        <f>IF(C10="","",C10*D10)</f>
        <v/>
      </c>
    </row>
    <row r="11">
      <c r="A11" s="5" t="n"/>
      <c r="B11" s="5" t="n"/>
      <c r="C11" s="5" t="n"/>
      <c r="D11" s="6" t="n"/>
      <c r="E11" s="7">
        <f>IF(C11="","",C11*D11)</f>
        <v/>
      </c>
    </row>
    <row r="12">
      <c r="A12" s="5" t="n"/>
      <c r="B12" s="5" t="n"/>
      <c r="C12" s="5" t="n"/>
      <c r="D12" s="6" t="n"/>
      <c r="E12" s="7">
        <f>IF(C12="","",C12*D12)</f>
        <v/>
      </c>
    </row>
    <row r="13">
      <c r="A13" s="5" t="n"/>
      <c r="B13" s="5" t="n"/>
      <c r="C13" s="5" t="n"/>
      <c r="D13" s="6" t="n"/>
      <c r="E13" s="7">
        <f>IF(C13="","",C13*D13)</f>
        <v/>
      </c>
    </row>
    <row r="14">
      <c r="A14" s="5" t="n"/>
      <c r="B14" s="5" t="n"/>
      <c r="C14" s="5" t="n"/>
      <c r="D14" s="6" t="n"/>
      <c r="E14" s="7">
        <f>IF(C14="","",C14*D14)</f>
        <v/>
      </c>
    </row>
    <row r="15">
      <c r="A15" s="5" t="n"/>
      <c r="B15" s="5" t="n"/>
      <c r="C15" s="5" t="n"/>
      <c r="D15" s="6" t="n"/>
      <c r="E15" s="7">
        <f>IF(C15="","",C15*D15)</f>
        <v/>
      </c>
    </row>
    <row r="16">
      <c r="A16" s="5" t="n"/>
      <c r="B16" s="5" t="n"/>
      <c r="C16" s="5" t="n"/>
      <c r="D16" s="6" t="n"/>
      <c r="E16" s="7">
        <f>IF(C16="","",C16*D16)</f>
        <v/>
      </c>
    </row>
    <row r="17">
      <c r="A17" s="5" t="n"/>
      <c r="B17" s="5" t="n"/>
      <c r="C17" s="5" t="n"/>
      <c r="D17" s="6" t="n"/>
      <c r="E17" s="7">
        <f>IF(C17="","",C17*D17)</f>
        <v/>
      </c>
    </row>
    <row r="18">
      <c r="A18" s="5" t="n"/>
      <c r="B18" s="5" t="n"/>
      <c r="C18" s="5" t="n"/>
      <c r="D18" s="6" t="n"/>
      <c r="E18" s="7">
        <f>IF(C18="","",C18*D18)</f>
        <v/>
      </c>
    </row>
    <row r="20">
      <c r="A20" t="inlineStr">
        <is>
          <t>Costo total del proyecto (COP)</t>
        </is>
      </c>
      <c r="E20" s="7">
        <f>SUM(E4:E18)</f>
        <v/>
      </c>
    </row>
    <row r="21">
      <c r="A21" t="inlineStr">
        <is>
          <t>Número de estudiantes</t>
        </is>
      </c>
      <c r="E21" s="5" t="n">
        <v>30</v>
      </c>
    </row>
    <row r="22">
      <c r="A22" t="inlineStr">
        <is>
          <t>Costo por estudiante (COP)</t>
        </is>
      </c>
      <c r="E22" s="7">
        <f>IF(E21=0,0,E20/E21)</f>
        <v/>
      </c>
    </row>
    <row r="23">
      <c r="A23" t="inlineStr">
        <is>
          <t>Materiales no comprados (reciclados, donados o disponibles)</t>
        </is>
      </c>
      <c r="E23">
        <f>COUNTIF(B4:B18,"&lt;&gt;Comprado")-COUNTBLANK(B4:B18)</f>
        <v/>
      </c>
    </row>
    <row r="24">
      <c r="A24" t="inlineStr">
        <is>
          <t>Total de materiales</t>
        </is>
      </c>
      <c r="E24">
        <f>COUNTA(A4:A18)</f>
        <v/>
      </c>
    </row>
    <row r="25">
      <c r="A25" t="inlineStr">
        <is>
          <t>Porcentaje de materiales no comprados</t>
        </is>
      </c>
      <c r="E25" s="8">
        <f>IF(E24=0,0,E23/E24)</f>
        <v/>
      </c>
    </row>
  </sheetData>
  <dataValidations count="1">
    <dataValidation sqref="B4:B18" showDropDown="0" showInputMessage="0" showErrorMessage="0" allowBlank="0" type="list">
      <formula1>"Reciclado,Comprado,Donado,Disponible"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26" customWidth="1" min="3" max="3"/>
    <col width="26" customWidth="1" min="4" max="4"/>
    <col width="28" customWidth="1" min="5" max="5"/>
    <col width="30" customWidth="1" min="6" max="6"/>
    <col width="14" customWidth="1" min="7" max="7"/>
    <col width="14" customWidth="1" min="8" max="8"/>
  </cols>
  <sheetData>
    <row r="1">
      <c r="A1" s="1" t="inlineStr">
        <is>
          <t>RÚBRICA STEAM (niveles 1 a 4; ejemplo diligenciado)</t>
        </is>
      </c>
    </row>
    <row r="3" ht="36" customHeight="1">
      <c r="A3" s="2" t="inlineStr">
        <is>
          <t>Criterio</t>
        </is>
      </c>
      <c r="B3" s="2" t="inlineStr">
        <is>
          <t>Peso</t>
        </is>
      </c>
      <c r="C3" s="2" t="inlineStr">
        <is>
          <t>1 · Inicial</t>
        </is>
      </c>
      <c r="D3" s="2" t="inlineStr">
        <is>
          <t>2 · En desarrollo</t>
        </is>
      </c>
      <c r="E3" s="2" t="inlineStr">
        <is>
          <t>3 · Logrado</t>
        </is>
      </c>
      <c r="F3" s="2" t="inlineStr">
        <is>
          <t>4 · Destacado</t>
        </is>
      </c>
      <c r="G3" s="2" t="inlineStr">
        <is>
          <t>Nivel obtenido (1-4)</t>
        </is>
      </c>
      <c r="H3" s="2" t="inlineStr">
        <is>
          <t>Aporte a la nota</t>
        </is>
      </c>
    </row>
    <row r="4">
      <c r="A4" s="9" t="inlineStr">
        <is>
          <t>Pregunta e investigación</t>
        </is>
      </c>
      <c r="B4" s="10" t="n">
        <v>0.2</v>
      </c>
      <c r="C4" s="9" t="inlineStr">
        <is>
          <t>La pregunta no se puede medir</t>
        </is>
      </c>
      <c r="D4" s="9" t="inlineStr">
        <is>
          <t>Pregunta medible, sin plan de datos</t>
        </is>
      </c>
      <c r="E4" s="9" t="inlineStr">
        <is>
          <t>Pregunta medible con plan de datos</t>
        </is>
      </c>
      <c r="F4" s="9" t="inlineStr">
        <is>
          <t>Pregunta propia, con plan y control de variables</t>
        </is>
      </c>
      <c r="G4" s="5" t="n">
        <v>3</v>
      </c>
      <c r="H4" s="11">
        <f>B4*G4</f>
        <v/>
      </c>
    </row>
    <row r="5">
      <c r="A5" s="9" t="inlineStr">
        <is>
          <t>Diseño y mejora (ingeniería)</t>
        </is>
      </c>
      <c r="B5" s="10" t="n">
        <v>0.2</v>
      </c>
      <c r="C5" s="9" t="inlineStr">
        <is>
          <t>Una sola versión sin prueba</t>
        </is>
      </c>
      <c r="D5" s="9" t="inlineStr">
        <is>
          <t>Prueba sin ajustes</t>
        </is>
      </c>
      <c r="E5" s="9" t="inlineStr">
        <is>
          <t>Dos versiones con ajustes justificados</t>
        </is>
      </c>
      <c r="F5" s="9" t="inlineStr">
        <is>
          <t>Mejoras basadas en datos y criterios</t>
        </is>
      </c>
      <c r="G5" s="5" t="n">
        <v>4</v>
      </c>
      <c r="H5" s="11">
        <f>B5*G5</f>
        <v/>
      </c>
    </row>
    <row r="6">
      <c r="A6" s="9" t="inlineStr">
        <is>
          <t>Medición y cálculo (matemáticas)</t>
        </is>
      </c>
      <c r="B6" s="10" t="n">
        <v>0.2</v>
      </c>
      <c r="C6" s="9" t="inlineStr">
        <is>
          <t>Datos sin unidades</t>
        </is>
      </c>
      <c r="D6" s="9" t="inlineStr">
        <is>
          <t>Datos con unidades, sin análisis</t>
        </is>
      </c>
      <c r="E6" s="9" t="inlineStr">
        <is>
          <t>Promedios o razones bien calculados</t>
        </is>
      </c>
      <c r="F6" s="9" t="inlineStr">
        <is>
          <t>Análisis de variación y conclusiones con datos</t>
        </is>
      </c>
      <c r="G6" s="5" t="n">
        <v>2</v>
      </c>
      <c r="H6" s="11">
        <f>B6*G6</f>
        <v/>
      </c>
    </row>
    <row r="7">
      <c r="A7" s="9" t="inlineStr">
        <is>
          <t>Comunicación y diseño (arte)</t>
        </is>
      </c>
      <c r="B7" s="10" t="n">
        <v>0.2</v>
      </c>
      <c r="C7" s="9" t="inlineStr">
        <is>
          <t>Presentación sin propósito</t>
        </is>
      </c>
      <c r="D7" s="9" t="inlineStr">
        <is>
          <t>Presentación clara a medias</t>
        </is>
      </c>
      <c r="E7" s="9" t="inlineStr">
        <is>
          <t>Producto claro para su público</t>
        </is>
      </c>
      <c r="F7" s="9" t="inlineStr">
        <is>
          <t>Producto claro, creativo y funcional</t>
        </is>
      </c>
      <c r="G7" s="5" t="n">
        <v>3</v>
      </c>
      <c r="H7" s="11">
        <f>B7*G7</f>
        <v/>
      </c>
    </row>
    <row r="8">
      <c r="A8" s="9" t="inlineStr">
        <is>
          <t>Colaboración y roles</t>
        </is>
      </c>
      <c r="B8" s="10" t="n">
        <v>0.2</v>
      </c>
      <c r="C8" s="9" t="inlineStr">
        <is>
          <t>Un solo integrante trabaja</t>
        </is>
      </c>
      <c r="D8" s="9" t="inlineStr">
        <is>
          <t>Roles poco definidos</t>
        </is>
      </c>
      <c r="E8" s="9" t="inlineStr">
        <is>
          <t>Roles claros y equilibrados</t>
        </is>
      </c>
      <c r="F8" s="9" t="inlineStr">
        <is>
          <t>Roles rotados y reflexión sobre el trabajo</t>
        </is>
      </c>
      <c r="G8" s="5" t="n">
        <v>4</v>
      </c>
      <c r="H8" s="11">
        <f>B8*G8</f>
        <v/>
      </c>
    </row>
    <row r="10">
      <c r="A10" t="inlineStr">
        <is>
          <t>Suma de pesos (debe ser 100 %)</t>
        </is>
      </c>
      <c r="B10" s="12">
        <f>SUM(B4:B8)</f>
        <v/>
      </c>
    </row>
    <row r="11">
      <c r="A11" t="inlineStr">
        <is>
          <t>Resultado ponderado (escala 1 a 4)</t>
        </is>
      </c>
      <c r="H11" s="11">
        <f>SUM(H4:H8)</f>
        <v/>
      </c>
    </row>
    <row r="12">
      <c r="A12" t="inlineStr">
        <is>
          <t>Lectura (orientativa; usa la escala del SIEE de tu colegio)</t>
        </is>
      </c>
      <c r="H12">
        <f>IF(B10&lt;&gt;1,"Revisa los pesos",IF(H11&gt;=3.5,"Destacado",IF(H11&gt;=2.5,"Logrado",IF(H11&gt;=1.5,"En desarrollo","Inicial"))))</f>
        <v/>
      </c>
    </row>
  </sheetData>
  <dataValidations count="1">
    <dataValidation sqref="G4:G8" showDropDown="0" showInputMessage="0" showErrorMessage="0" allowBlank="0" type="whole" operator="between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4" customWidth="1" min="3" max="3"/>
    <col width="30" customWidth="1" min="4" max="4"/>
    <col width="30" customWidth="1" min="5" max="5"/>
    <col width="32" customWidth="1" min="6" max="6"/>
    <col width="20" customWidth="1" min="7" max="7"/>
  </cols>
  <sheetData>
    <row r="1">
      <c r="A1" s="1" t="inlineStr">
        <is>
          <t>BANCO DE IDEAS (referencial; los costos son aproximaciones para un grupo y deben verificarse en tu zona)</t>
        </is>
      </c>
    </row>
    <row r="3" ht="36" customHeight="1">
      <c r="A3" s="2" t="inlineStr">
        <is>
          <t>Proyecto</t>
        </is>
      </c>
      <c r="B3" s="2" t="inlineStr">
        <is>
          <t>Pregunta guía</t>
        </is>
      </c>
      <c r="C3" s="2" t="inlineStr">
        <is>
          <t>Ciencia y matemáticas</t>
        </is>
      </c>
      <c r="D3" s="2" t="inlineStr">
        <is>
          <t>Ingeniería y tecnología</t>
        </is>
      </c>
      <c r="E3" s="2" t="inlineStr">
        <is>
          <t>Arte con función real</t>
        </is>
      </c>
      <c r="F3" s="2" t="inlineStr">
        <is>
          <t>Materiales principales</t>
        </is>
      </c>
      <c r="G3" s="2" t="inlineStr">
        <is>
          <t>Costo aproximado por grupo (COP)</t>
        </is>
      </c>
    </row>
    <row r="4">
      <c r="A4" s="9" t="inlineStr">
        <is>
          <t>Anemómetro de vasos</t>
        </is>
      </c>
      <c r="B4" s="9" t="inlineStr">
        <is>
          <t>¿Dónde sopla más fuerte el viento en el colegio?</t>
        </is>
      </c>
      <c r="C4" s="9" t="inlineStr">
        <is>
          <t>Medición de vueltas por minuto y promedios</t>
        </is>
      </c>
      <c r="D4" s="9" t="inlineStr">
        <is>
          <t>Diseño y mejora del instrumento</t>
        </is>
      </c>
      <c r="E4" s="9" t="inlineStr">
        <is>
          <t>Afiche con los datos</t>
        </is>
      </c>
      <c r="F4" s="9" t="inlineStr">
        <is>
          <t>Vasos, palos, cartón</t>
        </is>
      </c>
      <c r="G4" s="13" t="n">
        <v>5000</v>
      </c>
    </row>
    <row r="5">
      <c r="A5" s="9" t="inlineStr">
        <is>
          <t>Reloj de agua</t>
        </is>
      </c>
      <c r="B5" s="9" t="inlineStr">
        <is>
          <t>¿Cómo medir 1 minuto con agua?</t>
        </is>
      </c>
      <c r="C5" s="9" t="inlineStr">
        <is>
          <t>Volumen, tiempo y calibración</t>
        </is>
      </c>
      <c r="D5" s="9" t="inlineStr">
        <is>
          <t>Ajuste del orificio y prueba</t>
        </is>
      </c>
      <c r="E5" s="9" t="inlineStr">
        <is>
          <t>Escala visual legible</t>
        </is>
      </c>
      <c r="F5" s="9" t="inlineStr">
        <is>
          <t>Botellas, agua, marcador</t>
        </is>
      </c>
      <c r="G5" s="13" t="n">
        <v>2000</v>
      </c>
    </row>
    <row r="6">
      <c r="A6" s="9" t="inlineStr">
        <is>
          <t>Puente de papel</t>
        </is>
      </c>
      <c r="B6" s="9" t="inlineStr">
        <is>
          <t>¿Qué forma de papel soporta más peso?</t>
        </is>
      </c>
      <c r="C6" s="9" t="inlineStr">
        <is>
          <t>Carga, comparación y gráfico de barras</t>
        </is>
      </c>
      <c r="D6" s="9" t="inlineStr">
        <is>
          <t>Prueba de formas y refuerzos</t>
        </is>
      </c>
      <c r="E6" s="9" t="inlineStr">
        <is>
          <t>Presentación del diseño ganador</t>
        </is>
      </c>
      <c r="F6" s="9" t="inlineStr">
        <is>
          <t>Papel, libros, monedas</t>
        </is>
      </c>
      <c r="G6" s="13" t="n">
        <v>3000</v>
      </c>
    </row>
    <row r="7">
      <c r="A7" s="9" t="inlineStr">
        <is>
          <t>Germinación</t>
        </is>
      </c>
      <c r="B7" s="9" t="inlineStr">
        <is>
          <t>¿Qué condiciones favorecen la germinación?</t>
        </is>
      </c>
      <c r="C7" s="9" t="inlineStr">
        <is>
          <t>Variables, conteo y porcentajes</t>
        </is>
      </c>
      <c r="D7" s="9" t="inlineStr">
        <is>
          <t>Montaje del experimento</t>
        </is>
      </c>
      <c r="E7" s="9" t="inlineStr">
        <is>
          <t>Diario ilustrado de observaciones</t>
        </is>
      </c>
      <c r="F7" s="9" t="inlineStr">
        <is>
          <t>Frijoles, algodón, vasos</t>
        </is>
      </c>
      <c r="G7" s="13" t="n">
        <v>4000</v>
      </c>
    </row>
    <row r="8">
      <c r="A8" s="9" t="inlineStr">
        <is>
          <t>Filtro de agua</t>
        </is>
      </c>
      <c r="B8" s="9" t="inlineStr">
        <is>
          <t>¿Qué material filtra mejor el agua turbia?</t>
        </is>
      </c>
      <c r="C8" s="9" t="inlineStr">
        <is>
          <t>Comparación de claridad y control de variables</t>
        </is>
      </c>
      <c r="D8" s="9" t="inlineStr">
        <is>
          <t>Prototipo de filtro por capas</t>
        </is>
      </c>
      <c r="E8" s="9" t="inlineStr">
        <is>
          <t>Afiche de cuidado del agua</t>
        </is>
      </c>
      <c r="F8" s="9" t="inlineStr">
        <is>
          <t>Botellas, arena, grava, algodón</t>
        </is>
      </c>
      <c r="G8" s="13" t="n">
        <v>6000</v>
      </c>
    </row>
    <row r="9">
      <c r="A9" s="9" t="inlineStr">
        <is>
          <t>Instrumentos musicales</t>
        </is>
      </c>
      <c r="B9" s="9" t="inlineStr">
        <is>
          <t>¿Cómo cambia el sonido con el largo del tubo?</t>
        </is>
      </c>
      <c r="C9" s="9" t="inlineStr">
        <is>
          <t>Frecuencia, longitud y proporción</t>
        </is>
      </c>
      <c r="D9" s="9" t="inlineStr">
        <is>
          <t>Construcción y afinación</t>
        </is>
      </c>
      <c r="E9" s="9" t="inlineStr">
        <is>
          <t>Composición corta con el instrumento</t>
        </is>
      </c>
      <c r="F9" s="9" t="inlineStr">
        <is>
          <t>Pitillos o tubos, cinta</t>
        </is>
      </c>
      <c r="G9" s="13" t="n">
        <v>4000</v>
      </c>
    </row>
    <row r="10">
      <c r="A10" s="9" t="inlineStr">
        <is>
          <t>Mapa a escala del colegio</t>
        </is>
      </c>
      <c r="B10" s="9" t="inlineStr">
        <is>
          <t>¿Cómo representar el colegio con proporción?</t>
        </is>
      </c>
      <c r="C10" s="9" t="inlineStr">
        <is>
          <t>Escala, medición y perímetro</t>
        </is>
      </c>
      <c r="D10" s="9" t="inlineStr">
        <is>
          <t>Levantamiento de medidas</t>
        </is>
      </c>
      <c r="E10" s="9" t="inlineStr">
        <is>
          <t>Diseño del mapa</t>
        </is>
      </c>
      <c r="F10" s="9" t="inlineStr">
        <is>
          <t>Cinta métrica o cuerda, cartulina</t>
        </is>
      </c>
      <c r="G10" s="13" t="n">
        <v>5000</v>
      </c>
    </row>
    <row r="11">
      <c r="A11" s="9" t="inlineStr">
        <is>
          <t>Circuito con pila y bombillo</t>
        </is>
      </c>
      <c r="B11" s="9" t="inlineStr">
        <is>
          <t>¿Qué materiales conducen la electricidad?</t>
        </is>
      </c>
      <c r="C11" s="9" t="inlineStr">
        <is>
          <t>Conductores y aislantes, registro</t>
        </is>
      </c>
      <c r="D11" s="9" t="inlineStr">
        <is>
          <t>Armar y probar circuitos simples</t>
        </is>
      </c>
      <c r="E11" s="9" t="inlineStr">
        <is>
          <t>Tarjeta ilustrada de seguridad</t>
        </is>
      </c>
      <c r="F11" s="9" t="inlineStr">
        <is>
          <t>Pilas, cables, bombillos pequeños</t>
        </is>
      </c>
      <c r="G11" s="13" t="n">
        <v>9000</v>
      </c>
    </row>
    <row r="13">
      <c r="A13" t="inlineStr">
        <is>
          <t>Promedio del costo aproximado por grupo (COP)</t>
        </is>
      </c>
      <c r="G13" s="7">
        <f>AVERAGE(G4:G11)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2026-10-10T13:11:24Z</dcterms:created>
  <dcterms:modified xmlns:dcterms="http://purl.org/dc/terms/" xmlns:xsi="http://www.w3.org/2001/XMLSchema-instance" xsi:type="dcterms:W3CDTF">2026-10-10T13:11:24Z</dcterms:modified>
</cp:coreProperties>
</file>