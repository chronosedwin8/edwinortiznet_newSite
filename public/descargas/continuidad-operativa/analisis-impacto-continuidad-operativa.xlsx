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cesos" sheetId="2" state="visible" r:id="rId2"/>
    <sheet xmlns:r="http://schemas.openxmlformats.org/officeDocument/2006/relationships" name="E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9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28" customWidth="1" min="2" max="2"/>
  </cols>
  <sheetData>
    <row r="1">
      <c r="A1" s="1" t="inlineStr">
        <is>
          <t>RESUMEN DEL ANÁLISIS</t>
        </is>
      </c>
    </row>
    <row r="3">
      <c r="A3" t="inlineStr">
        <is>
          <t>Procesos analizados</t>
        </is>
      </c>
      <c r="B3">
        <f>COUNTA(Procesos!A5:A25)</f>
        <v/>
      </c>
    </row>
    <row r="4">
      <c r="A4" t="inlineStr">
        <is>
          <t>Procesos con brecha de tiempo de recuperación</t>
        </is>
      </c>
      <c r="B4">
        <f>COUNTIF(Procesos!M5:M25,"&gt;0")</f>
        <v/>
      </c>
    </row>
    <row r="5">
      <c r="A5" t="inlineStr">
        <is>
          <t>Procesos con brecha de datos (respaldo más viejo que el tolerable)</t>
        </is>
      </c>
      <c r="B5">
        <f>COUNTIF(Procesos!N5:N25,"&gt;0")</f>
        <v/>
      </c>
    </row>
    <row r="6">
      <c r="A6" t="inlineStr">
        <is>
          <t>Procesos sin alternativa manual</t>
        </is>
      </c>
      <c r="B6">
        <f>COUNTIF(Procesos!K5:K25,"No")</f>
        <v/>
      </c>
    </row>
    <row r="7">
      <c r="A7" t="inlineStr">
        <is>
          <t>Procesos con las tres debilidades</t>
        </is>
      </c>
      <c r="B7">
        <f>COUNTIFS(Procesos!M5:M25,"&gt;0",Procesos!N5:N25,"&gt;0",Procesos!K5:K25,"No")</f>
        <v/>
      </c>
    </row>
    <row r="8">
      <c r="A8" t="inlineStr">
        <is>
          <t>Mayor criticidad</t>
        </is>
      </c>
      <c r="B8">
        <f>MAX(Procesos!L5:L25)</f>
        <v/>
      </c>
    </row>
    <row r="9">
      <c r="A9" t="inlineStr">
        <is>
          <t>Proceso de mayor prioridad</t>
        </is>
      </c>
      <c r="B9">
        <f>INDEX(Procesos!B5:B25,MATCH(1,Procesos!P5:P25,0))</f>
        <v/>
      </c>
    </row>
    <row r="10">
      <c r="A10" t="inlineStr">
        <is>
          <t>Mayor brecha de tiempo (h)</t>
        </is>
      </c>
      <c r="B10">
        <f>MAX(Procesos!M5:M25)</f>
        <v/>
      </c>
    </row>
    <row r="11">
      <c r="A11" t="inlineStr">
        <is>
          <t>Proceso con la mayor brecha de tiempo</t>
        </is>
      </c>
      <c r="B11">
        <f>INDEX(Procesos!B5:B25,MATCH(MAX(Procesos!M5:M25),Procesos!M5:M25,0))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0" customWidth="1" min="4" max="4"/>
    <col width="10" customWidth="1" min="5" max="5"/>
    <col width="11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</cols>
  <sheetData>
    <row r="1">
      <c r="A1" s="1" t="inlineStr">
        <is>
          <t>ANÁLISIS DE IMPACTO DE LOS PROCESOS DEL COLEGIO (ejemplo ficticio; impactos de 1 a 5; tiempos en horas)</t>
        </is>
      </c>
    </row>
    <row r="2">
      <c r="A2" t="inlineStr">
        <is>
          <t>Pesos de la criticidad:</t>
        </is>
      </c>
      <c r="D2" s="2" t="n">
        <v>0.4</v>
      </c>
      <c r="E2" s="2" t="n">
        <v>0.3</v>
      </c>
      <c r="F2" s="2" t="n">
        <v>0.3</v>
      </c>
      <c r="G2">
        <f>IF(ROUND(D2+E2+F2,4)=1,"Suman 100 %","Revisa los pesos")</f>
        <v/>
      </c>
    </row>
    <row r="4" ht="80" customHeight="1">
      <c r="A4" s="3" t="inlineStr">
        <is>
          <t>ID</t>
        </is>
      </c>
      <c r="B4" s="3" t="inlineStr">
        <is>
          <t>Proceso</t>
        </is>
      </c>
      <c r="C4" s="3" t="inlineStr">
        <is>
          <t>Responsable</t>
        </is>
      </c>
      <c r="D4" s="3" t="inlineStr">
        <is>
          <t>Impacto académico</t>
        </is>
      </c>
      <c r="E4" s="3" t="inlineStr">
        <is>
          <t>Impacto en familias</t>
        </is>
      </c>
      <c r="F4" s="3" t="inlineStr">
        <is>
          <t>Impacto legal o financiero</t>
        </is>
      </c>
      <c r="G4" s="3" t="inlineStr">
        <is>
          <t>Tolerancia máxima de interrupción (RTO objetivo, h)</t>
        </is>
      </c>
      <c r="H4" s="3" t="inlineStr">
        <is>
          <t>Pérdida de datos tolerable (RPO objetivo, h)</t>
        </is>
      </c>
      <c r="I4" s="3" t="inlineStr">
        <is>
          <t>Tiempo real de recuperación (h)</t>
        </is>
      </c>
      <c r="J4" s="3" t="inlineStr">
        <is>
          <t>Antigüedad del último respaldo (h)</t>
        </is>
      </c>
      <c r="K4" s="3" t="inlineStr">
        <is>
          <t>¿Hay alternativa manual? (Sí/No)</t>
        </is>
      </c>
      <c r="L4" s="3" t="inlineStr">
        <is>
          <t>Criticidad (1-5)</t>
        </is>
      </c>
      <c r="M4" s="3" t="inlineStr">
        <is>
          <t>Brecha de tiempo (h)</t>
        </is>
      </c>
      <c r="N4" s="3" t="inlineStr">
        <is>
          <t>Brecha de datos (h)</t>
        </is>
      </c>
      <c r="O4" s="3" t="inlineStr">
        <is>
          <t>Índice de prioridad</t>
        </is>
      </c>
      <c r="P4" s="3" t="inlineStr">
        <is>
          <t>Posición</t>
        </is>
      </c>
    </row>
    <row r="5">
      <c r="A5" s="4" t="inlineStr">
        <is>
          <t>P1</t>
        </is>
      </c>
      <c r="B5" s="4" t="inlineStr">
        <is>
          <t>Plataforma de notas</t>
        </is>
      </c>
      <c r="C5" s="4" t="inlineStr">
        <is>
          <t>Coordinación</t>
        </is>
      </c>
      <c r="D5" s="4" t="n">
        <v>5</v>
      </c>
      <c r="E5" s="4" t="n">
        <v>4</v>
      </c>
      <c r="F5" s="4" t="n">
        <v>5</v>
      </c>
      <c r="G5" s="4" t="n">
        <v>8</v>
      </c>
      <c r="H5" s="4" t="n">
        <v>4</v>
      </c>
      <c r="I5" s="4" t="n">
        <v>24</v>
      </c>
      <c r="J5" s="4" t="n">
        <v>24</v>
      </c>
      <c r="K5" s="4" t="inlineStr">
        <is>
          <t>No</t>
        </is>
      </c>
      <c r="L5">
        <f>IF(A5="","",ROUND(D5*$D$2+E5*$E$2+F5*$F$2,2))</f>
        <v/>
      </c>
      <c r="M5">
        <f>IF(A5="","",MAX(0,I5-G5))</f>
        <v/>
      </c>
      <c r="N5">
        <f>IF(OR(A5="",H5="",J5=""),IF(A5="","",0),MAX(0,J5-H5))</f>
        <v/>
      </c>
      <c r="O5">
        <f>IF(A5="","",ROUND(L5*(1+0.5*(M5&gt;0)+0.5*(N5&gt;0)+0.5*(K5="No")),2))</f>
        <v/>
      </c>
      <c r="P5">
        <f>IF(A5="","",RANK(O5,$O$5:$O$25,0))</f>
        <v/>
      </c>
    </row>
    <row r="6">
      <c r="A6" s="4" t="inlineStr">
        <is>
          <t>P2</t>
        </is>
      </c>
      <c r="B6" s="4" t="inlineStr">
        <is>
          <t>Correo institucional</t>
        </is>
      </c>
      <c r="C6" s="4" t="inlineStr">
        <is>
          <t>Sistemas</t>
        </is>
      </c>
      <c r="D6" s="4" t="n">
        <v>4</v>
      </c>
      <c r="E6" s="4" t="n">
        <v>3</v>
      </c>
      <c r="F6" s="4" t="n">
        <v>3</v>
      </c>
      <c r="G6" s="4" t="n">
        <v>4</v>
      </c>
      <c r="H6" s="4" t="n">
        <v>24</v>
      </c>
      <c r="I6" s="4" t="n">
        <v>24</v>
      </c>
      <c r="J6" s="4" t="n">
        <v>24</v>
      </c>
      <c r="K6" s="4" t="inlineStr">
        <is>
          <t>Sí</t>
        </is>
      </c>
      <c r="L6">
        <f>IF(A6="","",ROUND(D6*$D$2+E6*$E$2+F6*$F$2,2))</f>
        <v/>
      </c>
      <c r="M6">
        <f>IF(A6="","",MAX(0,I6-G6))</f>
        <v/>
      </c>
      <c r="N6">
        <f>IF(OR(A6="",H6="",J6=""),IF(A6="","",0),MAX(0,J6-H6))</f>
        <v/>
      </c>
      <c r="O6">
        <f>IF(A6="","",ROUND(L6*(1+0.5*(M6&gt;0)+0.5*(N6&gt;0)+0.5*(K6="No")),2))</f>
        <v/>
      </c>
      <c r="P6">
        <f>IF(A6="","",RANK(O6,$O$5:$O$25,0))</f>
        <v/>
      </c>
    </row>
    <row r="7">
      <c r="A7" s="4" t="inlineStr">
        <is>
          <t>P3</t>
        </is>
      </c>
      <c r="B7" s="4" t="inlineStr">
        <is>
          <t>Pagos y matrículas</t>
        </is>
      </c>
      <c r="C7" s="4" t="inlineStr">
        <is>
          <t>Tesorería</t>
        </is>
      </c>
      <c r="D7" s="4" t="n">
        <v>3</v>
      </c>
      <c r="E7" s="4" t="n">
        <v>5</v>
      </c>
      <c r="F7" s="4" t="n">
        <v>5</v>
      </c>
      <c r="G7" s="4" t="n">
        <v>24</v>
      </c>
      <c r="H7" s="4" t="n">
        <v>4</v>
      </c>
      <c r="I7" s="4" t="n">
        <v>48</v>
      </c>
      <c r="J7" s="4" t="n">
        <v>12</v>
      </c>
      <c r="K7" s="4" t="inlineStr">
        <is>
          <t>No</t>
        </is>
      </c>
      <c r="L7">
        <f>IF(A7="","",ROUND(D7*$D$2+E7*$E$2+F7*$F$2,2))</f>
        <v/>
      </c>
      <c r="M7">
        <f>IF(A7="","",MAX(0,I7-G7))</f>
        <v/>
      </c>
      <c r="N7">
        <f>IF(OR(A7="",H7="",J7=""),IF(A7="","",0),MAX(0,J7-H7))</f>
        <v/>
      </c>
      <c r="O7">
        <f>IF(A7="","",ROUND(L7*(1+0.5*(M7&gt;0)+0.5*(N7&gt;0)+0.5*(K7="No")),2))</f>
        <v/>
      </c>
      <c r="P7">
        <f>IF(A7="","",RANK(O7,$O$5:$O$25,0))</f>
        <v/>
      </c>
    </row>
    <row r="8">
      <c r="A8" s="4" t="inlineStr">
        <is>
          <t>P4</t>
        </is>
      </c>
      <c r="B8" s="4" t="inlineStr">
        <is>
          <t>Aula virtual</t>
        </is>
      </c>
      <c r="C8" s="4" t="inlineStr">
        <is>
          <t>Docentes</t>
        </is>
      </c>
      <c r="D8" s="4" t="n">
        <v>5</v>
      </c>
      <c r="E8" s="4" t="n">
        <v>3</v>
      </c>
      <c r="F8" s="4" t="n">
        <v>2</v>
      </c>
      <c r="G8" s="4" t="n">
        <v>8</v>
      </c>
      <c r="H8" s="4" t="n">
        <v>12</v>
      </c>
      <c r="I8" s="4" t="n">
        <v>8</v>
      </c>
      <c r="J8" s="4" t="n">
        <v>24</v>
      </c>
      <c r="K8" s="4" t="inlineStr">
        <is>
          <t>Sí</t>
        </is>
      </c>
      <c r="L8">
        <f>IF(A8="","",ROUND(D8*$D$2+E8*$E$2+F8*$F$2,2))</f>
        <v/>
      </c>
      <c r="M8">
        <f>IF(A8="","",MAX(0,I8-G8))</f>
        <v/>
      </c>
      <c r="N8">
        <f>IF(OR(A8="",H8="",J8=""),IF(A8="","",0),MAX(0,J8-H8))</f>
        <v/>
      </c>
      <c r="O8">
        <f>IF(A8="","",ROUND(L8*(1+0.5*(M8&gt;0)+0.5*(N8&gt;0)+0.5*(K8="No")),2))</f>
        <v/>
      </c>
      <c r="P8">
        <f>IF(A8="","",RANK(O8,$O$5:$O$25,0))</f>
        <v/>
      </c>
    </row>
    <row r="9">
      <c r="A9" s="4" t="inlineStr">
        <is>
          <t>P5</t>
        </is>
      </c>
      <c r="B9" s="4" t="inlineStr">
        <is>
          <t>Comunicación con familias</t>
        </is>
      </c>
      <c r="C9" s="4" t="inlineStr">
        <is>
          <t>Secretaría</t>
        </is>
      </c>
      <c r="D9" s="4" t="n">
        <v>3</v>
      </c>
      <c r="E9" s="4" t="n">
        <v>5</v>
      </c>
      <c r="F9" s="4" t="n">
        <v>3</v>
      </c>
      <c r="G9" s="4" t="n">
        <v>4</v>
      </c>
      <c r="H9" s="4" t="n">
        <v>24</v>
      </c>
      <c r="I9" s="4" t="n">
        <v>12</v>
      </c>
      <c r="J9" s="4" t="n">
        <v>24</v>
      </c>
      <c r="K9" s="4" t="inlineStr">
        <is>
          <t>Sí</t>
        </is>
      </c>
      <c r="L9">
        <f>IF(A9="","",ROUND(D9*$D$2+E9*$E$2+F9*$F$2,2))</f>
        <v/>
      </c>
      <c r="M9">
        <f>IF(A9="","",MAX(0,I9-G9))</f>
        <v/>
      </c>
      <c r="N9">
        <f>IF(OR(A9="",H9="",J9=""),IF(A9="","",0),MAX(0,J9-H9))</f>
        <v/>
      </c>
      <c r="O9">
        <f>IF(A9="","",ROUND(L9*(1+0.5*(M9&gt;0)+0.5*(N9&gt;0)+0.5*(K9="No")),2))</f>
        <v/>
      </c>
      <c r="P9">
        <f>IF(A9="","",RANK(O9,$O$5:$O$25,0))</f>
        <v/>
      </c>
    </row>
    <row r="10">
      <c r="A10" s="4" t="inlineStr">
        <is>
          <t>P6</t>
        </is>
      </c>
      <c r="B10" s="4" t="inlineStr">
        <is>
          <t>Red y Wi-Fi</t>
        </is>
      </c>
      <c r="C10" s="4" t="inlineStr">
        <is>
          <t>Sistemas</t>
        </is>
      </c>
      <c r="D10" s="4" t="n">
        <v>4</v>
      </c>
      <c r="E10" s="4" t="n">
        <v>2</v>
      </c>
      <c r="F10" s="4" t="n">
        <v>2</v>
      </c>
      <c r="G10" s="4" t="n">
        <v>4</v>
      </c>
      <c r="H10" s="4" t="n"/>
      <c r="I10" s="4" t="n">
        <v>8</v>
      </c>
      <c r="J10" s="4" t="n"/>
      <c r="K10" s="4" t="inlineStr">
        <is>
          <t>Sí</t>
        </is>
      </c>
      <c r="L10">
        <f>IF(A10="","",ROUND(D10*$D$2+E10*$E$2+F10*$F$2,2))</f>
        <v/>
      </c>
      <c r="M10">
        <f>IF(A10="","",MAX(0,I10-G10))</f>
        <v/>
      </c>
      <c r="N10">
        <f>IF(OR(A10="",H10="",J10=""),IF(A10="","",0),MAX(0,J10-H10))</f>
        <v/>
      </c>
      <c r="O10">
        <f>IF(A10="","",ROUND(L10*(1+0.5*(M10&gt;0)+0.5*(N10&gt;0)+0.5*(K10="No")),2))</f>
        <v/>
      </c>
      <c r="P10">
        <f>IF(A10="","",RANK(O10,$O$5:$O$25,0))</f>
        <v/>
      </c>
    </row>
    <row r="11">
      <c r="A11" s="4" t="inlineStr">
        <is>
          <t>P7</t>
        </is>
      </c>
      <c r="B11" s="4" t="inlineStr">
        <is>
          <t>Registro de asistencia</t>
        </is>
      </c>
      <c r="C11" s="4" t="inlineStr">
        <is>
          <t>Docentes</t>
        </is>
      </c>
      <c r="D11" s="4" t="n">
        <v>3</v>
      </c>
      <c r="E11" s="4" t="n">
        <v>4</v>
      </c>
      <c r="F11" s="4" t="n">
        <v>4</v>
      </c>
      <c r="G11" s="4" t="n">
        <v>24</v>
      </c>
      <c r="H11" s="4" t="n">
        <v>24</v>
      </c>
      <c r="I11" s="4" t="n">
        <v>24</v>
      </c>
      <c r="J11" s="4" t="n">
        <v>24</v>
      </c>
      <c r="K11" s="4" t="inlineStr">
        <is>
          <t>Sí</t>
        </is>
      </c>
      <c r="L11">
        <f>IF(A11="","",ROUND(D11*$D$2+E11*$E$2+F11*$F$2,2))</f>
        <v/>
      </c>
      <c r="M11">
        <f>IF(A11="","",MAX(0,I11-G11))</f>
        <v/>
      </c>
      <c r="N11">
        <f>IF(OR(A11="",H11="",J11=""),IF(A11="","",0),MAX(0,J11-H11))</f>
        <v/>
      </c>
      <c r="O11">
        <f>IF(A11="","",ROUND(L11*(1+0.5*(M11&gt;0)+0.5*(N11&gt;0)+0.5*(K11="No")),2))</f>
        <v/>
      </c>
      <c r="P11">
        <f>IF(A11="","",RANK(O11,$O$5:$O$25,0))</f>
        <v/>
      </c>
    </row>
    <row r="12">
      <c r="A12" s="4" t="inlineStr">
        <is>
          <t>P8</t>
        </is>
      </c>
      <c r="B12" s="4" t="inlineStr">
        <is>
          <t>Evaluaciones en línea</t>
        </is>
      </c>
      <c r="C12" s="4" t="inlineStr">
        <is>
          <t>Docentes</t>
        </is>
      </c>
      <c r="D12" s="4" t="n">
        <v>5</v>
      </c>
      <c r="E12" s="4" t="n">
        <v>3</v>
      </c>
      <c r="F12" s="4" t="n">
        <v>3</v>
      </c>
      <c r="G12" s="4" t="n">
        <v>2</v>
      </c>
      <c r="H12" s="4" t="n">
        <v>1</v>
      </c>
      <c r="I12" s="4" t="n">
        <v>12</v>
      </c>
      <c r="J12" s="4" t="n">
        <v>24</v>
      </c>
      <c r="K12" s="4" t="inlineStr">
        <is>
          <t>No</t>
        </is>
      </c>
      <c r="L12">
        <f>IF(A12="","",ROUND(D12*$D$2+E12*$E$2+F12*$F$2,2))</f>
        <v/>
      </c>
      <c r="M12">
        <f>IF(A12="","",MAX(0,I12-G12))</f>
        <v/>
      </c>
      <c r="N12">
        <f>IF(OR(A12="",H12="",J12=""),IF(A12="","",0),MAX(0,J12-H12))</f>
        <v/>
      </c>
      <c r="O12">
        <f>IF(A12="","",ROUND(L12*(1+0.5*(M12&gt;0)+0.5*(N12&gt;0)+0.5*(K12="No")),2))</f>
        <v/>
      </c>
      <c r="P12">
        <f>IF(A12="","",RANK(O12,$O$5:$O$25,0))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>
        <f>IF(A13="","",ROUND(D13*$D$2+E13*$E$2+F13*$F$2,2))</f>
        <v/>
      </c>
      <c r="M13">
        <f>IF(A13="","",MAX(0,I13-G13))</f>
        <v/>
      </c>
      <c r="N13">
        <f>IF(OR(A13="",H13="",J13=""),IF(A13="","",0),MAX(0,J13-H13))</f>
        <v/>
      </c>
      <c r="O13">
        <f>IF(A13="","",ROUND(L13*(1+0.5*(M13&gt;0)+0.5*(N13&gt;0)+0.5*(K13="No")),2))</f>
        <v/>
      </c>
      <c r="P13">
        <f>IF(A13="","",RANK(O13,$O$5:$O$25,0))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>
        <f>IF(A14="","",ROUND(D14*$D$2+E14*$E$2+F14*$F$2,2))</f>
        <v/>
      </c>
      <c r="M14">
        <f>IF(A14="","",MAX(0,I14-G14))</f>
        <v/>
      </c>
      <c r="N14">
        <f>IF(OR(A14="",H14="",J14=""),IF(A14="","",0),MAX(0,J14-H14))</f>
        <v/>
      </c>
      <c r="O14">
        <f>IF(A14="","",ROUND(L14*(1+0.5*(M14&gt;0)+0.5*(N14&gt;0)+0.5*(K14="No")),2))</f>
        <v/>
      </c>
      <c r="P14">
        <f>IF(A14="","",RANK(O14,$O$5:$O$25,0))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>
        <f>IF(A15="","",ROUND(D15*$D$2+E15*$E$2+F15*$F$2,2))</f>
        <v/>
      </c>
      <c r="M15">
        <f>IF(A15="","",MAX(0,I15-G15))</f>
        <v/>
      </c>
      <c r="N15">
        <f>IF(OR(A15="",H15="",J15=""),IF(A15="","",0),MAX(0,J15-H15))</f>
        <v/>
      </c>
      <c r="O15">
        <f>IF(A15="","",ROUND(L15*(1+0.5*(M15&gt;0)+0.5*(N15&gt;0)+0.5*(K15="No")),2))</f>
        <v/>
      </c>
      <c r="P15">
        <f>IF(A15="","",RANK(O15,$O$5:$O$25,0))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>
        <f>IF(A16="","",ROUND(D16*$D$2+E16*$E$2+F16*$F$2,2))</f>
        <v/>
      </c>
      <c r="M16">
        <f>IF(A16="","",MAX(0,I16-G16))</f>
        <v/>
      </c>
      <c r="N16">
        <f>IF(OR(A16="",H16="",J16=""),IF(A16="","",0),MAX(0,J16-H16))</f>
        <v/>
      </c>
      <c r="O16">
        <f>IF(A16="","",ROUND(L16*(1+0.5*(M16&gt;0)+0.5*(N16&gt;0)+0.5*(K16="No")),2))</f>
        <v/>
      </c>
      <c r="P16">
        <f>IF(A16="","",RANK(O16,$O$5:$O$25,0))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>
        <f>IF(A17="","",ROUND(D17*$D$2+E17*$E$2+F17*$F$2,2))</f>
        <v/>
      </c>
      <c r="M17">
        <f>IF(A17="","",MAX(0,I17-G17))</f>
        <v/>
      </c>
      <c r="N17">
        <f>IF(OR(A17="",H17="",J17=""),IF(A17="","",0),MAX(0,J17-H17))</f>
        <v/>
      </c>
      <c r="O17">
        <f>IF(A17="","",ROUND(L17*(1+0.5*(M17&gt;0)+0.5*(N17&gt;0)+0.5*(K17="No")),2))</f>
        <v/>
      </c>
      <c r="P17">
        <f>IF(A17="","",RANK(O17,$O$5:$O$25,0))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>
        <f>IF(A18="","",ROUND(D18*$D$2+E18*$E$2+F18*$F$2,2))</f>
        <v/>
      </c>
      <c r="M18">
        <f>IF(A18="","",MAX(0,I18-G18))</f>
        <v/>
      </c>
      <c r="N18">
        <f>IF(OR(A18="",H18="",J18=""),IF(A18="","",0),MAX(0,J18-H18))</f>
        <v/>
      </c>
      <c r="O18">
        <f>IF(A18="","",ROUND(L18*(1+0.5*(M18&gt;0)+0.5*(N18&gt;0)+0.5*(K18="No")),2))</f>
        <v/>
      </c>
      <c r="P18">
        <f>IF(A18="","",RANK(O18,$O$5:$O$25,0))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>
        <f>IF(A19="","",ROUND(D19*$D$2+E19*$E$2+F19*$F$2,2))</f>
        <v/>
      </c>
      <c r="M19">
        <f>IF(A19="","",MAX(0,I19-G19))</f>
        <v/>
      </c>
      <c r="N19">
        <f>IF(OR(A19="",H19="",J19=""),IF(A19="","",0),MAX(0,J19-H19))</f>
        <v/>
      </c>
      <c r="O19">
        <f>IF(A19="","",ROUND(L19*(1+0.5*(M19&gt;0)+0.5*(N19&gt;0)+0.5*(K19="No")),2))</f>
        <v/>
      </c>
      <c r="P19">
        <f>IF(A19="","",RANK(O19,$O$5:$O$25,0))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>
        <f>IF(A20="","",ROUND(D20*$D$2+E20*$E$2+F20*$F$2,2))</f>
        <v/>
      </c>
      <c r="M20">
        <f>IF(A20="","",MAX(0,I20-G20))</f>
        <v/>
      </c>
      <c r="N20">
        <f>IF(OR(A20="",H20="",J20=""),IF(A20="","",0),MAX(0,J20-H20))</f>
        <v/>
      </c>
      <c r="O20">
        <f>IF(A20="","",ROUND(L20*(1+0.5*(M20&gt;0)+0.5*(N20&gt;0)+0.5*(K20="No")),2))</f>
        <v/>
      </c>
      <c r="P20">
        <f>IF(A20="","",RANK(O20,$O$5:$O$25,0))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>
        <f>IF(A21="","",ROUND(D21*$D$2+E21*$E$2+F21*$F$2,2))</f>
        <v/>
      </c>
      <c r="M21">
        <f>IF(A21="","",MAX(0,I21-G21))</f>
        <v/>
      </c>
      <c r="N21">
        <f>IF(OR(A21="",H21="",J21=""),IF(A21="","",0),MAX(0,J21-H21))</f>
        <v/>
      </c>
      <c r="O21">
        <f>IF(A21="","",ROUND(L21*(1+0.5*(M21&gt;0)+0.5*(N21&gt;0)+0.5*(K21="No")),2))</f>
        <v/>
      </c>
      <c r="P21">
        <f>IF(A21="","",RANK(O21,$O$5:$O$25,0))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>
        <f>IF(A22="","",ROUND(D22*$D$2+E22*$E$2+F22*$F$2,2))</f>
        <v/>
      </c>
      <c r="M22">
        <f>IF(A22="","",MAX(0,I22-G22))</f>
        <v/>
      </c>
      <c r="N22">
        <f>IF(OR(A22="",H22="",J22=""),IF(A22="","",0),MAX(0,J22-H22))</f>
        <v/>
      </c>
      <c r="O22">
        <f>IF(A22="","",ROUND(L22*(1+0.5*(M22&gt;0)+0.5*(N22&gt;0)+0.5*(K22="No")),2))</f>
        <v/>
      </c>
      <c r="P22">
        <f>IF(A22="","",RANK(O22,$O$5:$O$25,0))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>
        <f>IF(A23="","",ROUND(D23*$D$2+E23*$E$2+F23*$F$2,2))</f>
        <v/>
      </c>
      <c r="M23">
        <f>IF(A23="","",MAX(0,I23-G23))</f>
        <v/>
      </c>
      <c r="N23">
        <f>IF(OR(A23="",H23="",J23=""),IF(A23="","",0),MAX(0,J23-H23))</f>
        <v/>
      </c>
      <c r="O23">
        <f>IF(A23="","",ROUND(L23*(1+0.5*(M23&gt;0)+0.5*(N23&gt;0)+0.5*(K23="No")),2))</f>
        <v/>
      </c>
      <c r="P23">
        <f>IF(A23="","",RANK(O23,$O$5:$O$25,0))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>
        <f>IF(A24="","",ROUND(D24*$D$2+E24*$E$2+F24*$F$2,2))</f>
        <v/>
      </c>
      <c r="M24">
        <f>IF(A24="","",MAX(0,I24-G24))</f>
        <v/>
      </c>
      <c r="N24">
        <f>IF(OR(A24="",H24="",J24=""),IF(A24="","",0),MAX(0,J24-H24))</f>
        <v/>
      </c>
      <c r="O24">
        <f>IF(A24="","",ROUND(L24*(1+0.5*(M24&gt;0)+0.5*(N24&gt;0)+0.5*(K24="No")),2))</f>
        <v/>
      </c>
      <c r="P24">
        <f>IF(A24="","",RANK(O24,$O$5:$O$25,0))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>
        <f>IF(A25="","",ROUND(D25*$D$2+E25*$E$2+F25*$F$2,2))</f>
        <v/>
      </c>
      <c r="M25">
        <f>IF(A25="","",MAX(0,I25-G25))</f>
        <v/>
      </c>
      <c r="N25">
        <f>IF(OR(A25="",H25="",J25=""),IF(A25="","",0),MAX(0,J25-H25))</f>
        <v/>
      </c>
      <c r="O25">
        <f>IF(A25="","",ROUND(L25*(1+0.5*(M25&gt;0)+0.5*(N25&gt;0)+0.5*(K25="No")),2))</f>
        <v/>
      </c>
      <c r="P25">
        <f>IF(A25="","",RANK(O25,$O$5:$O$25,0))</f>
        <v/>
      </c>
    </row>
  </sheetData>
  <conditionalFormatting sqref="M5:N25">
    <cfRule type="cellIs" priority="1" operator="greaterThan" dxfId="0">
      <formula>0</formula>
    </cfRule>
  </conditionalFormatting>
  <dataValidations count="2">
    <dataValidation sqref="K5:K25" showDropDown="0" showInputMessage="0" showErrorMessage="0" allowBlank="0" type="list">
      <formula1>"Sí,No"</formula1>
    </dataValidation>
    <dataValidation sqref="D5:F25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54" customWidth="1" min="3" max="3"/>
    <col width="22" customWidth="1" min="4" max="4"/>
    <col width="44" customWidth="1" min="5" max="5"/>
  </cols>
  <sheetData>
    <row r="1">
      <c r="A1" s="1" t="inlineStr">
        <is>
          <t>ESCENARIOS A CUBRIR (marca qué procesos del análisis afecta cada uno y quién actúa; ejemplo editable)</t>
        </is>
      </c>
    </row>
    <row r="3">
      <c r="A3" s="3" t="inlineStr">
        <is>
          <t>Escenario</t>
        </is>
      </c>
      <c r="B3" s="3" t="inlineStr">
        <is>
          <t>Procesos afectados</t>
        </is>
      </c>
      <c r="C3" s="3" t="inlineStr">
        <is>
          <t>Primera acción</t>
        </is>
      </c>
      <c r="D3" s="3" t="inlineStr">
        <is>
          <t>Responsable</t>
        </is>
      </c>
      <c r="E3" s="3" t="inlineStr">
        <is>
          <t>Alternativa mientras tanto</t>
        </is>
      </c>
    </row>
    <row r="4">
      <c r="A4" s="5" t="inlineStr">
        <is>
          <t>Corte de internet de la sede</t>
        </is>
      </c>
      <c r="B4" s="5" t="inlineStr">
        <is>
          <t>P2, P4, P5, P6, P8</t>
        </is>
      </c>
      <c r="C4" s="5" t="inlineStr">
        <is>
          <t>Llamar al proveedor y activar datos móviles de respaldo</t>
        </is>
      </c>
      <c r="D4" s="5" t="inlineStr">
        <is>
          <t>Sistemas</t>
        </is>
      </c>
      <c r="E4" s="5" t="inlineStr">
        <is>
          <t>Material impreso y actividades sin conexión</t>
        </is>
      </c>
    </row>
    <row r="5">
      <c r="A5" s="5" t="inlineStr">
        <is>
          <t>Falla de la plataforma de notas</t>
        </is>
      </c>
      <c r="B5" s="5" t="inlineStr">
        <is>
          <t>P1</t>
        </is>
      </c>
      <c r="C5" s="5" t="inlineStr">
        <is>
          <t>Contactar al proveedor y exportar la última copia</t>
        </is>
      </c>
      <c r="D5" s="5" t="inlineStr">
        <is>
          <t>Coordinación</t>
        </is>
      </c>
      <c r="E5" s="5" t="inlineStr">
        <is>
          <t>Hoja de cálculo de contingencia con copia protegida</t>
        </is>
      </c>
    </row>
    <row r="6">
      <c r="A6" s="5" t="inlineStr">
        <is>
          <t>Ataque de ransomware</t>
        </is>
      </c>
      <c r="B6" s="5" t="inlineStr">
        <is>
          <t>P1, P2, P3, P4, P7</t>
        </is>
      </c>
      <c r="C6" s="5" t="inlineStr">
        <is>
          <t>Aislar equipos y seguir el protocolo de los primeros 60 minutos</t>
        </is>
      </c>
      <c r="D6" s="5" t="inlineStr">
        <is>
          <t>Sistemas y rectoría</t>
        </is>
      </c>
      <c r="E6" s="5" t="inlineStr">
        <is>
          <t>Listados impresos y comunicación por teléfono</t>
        </is>
      </c>
    </row>
    <row r="7">
      <c r="A7" s="5" t="inlineStr">
        <is>
          <t>Pérdida de energía prolongada</t>
        </is>
      </c>
      <c r="B7" s="5" t="inlineStr">
        <is>
          <t>P4, P6, P8</t>
        </is>
      </c>
      <c r="C7" s="5" t="inlineStr">
        <is>
          <t>Verificar respaldo de energía y reprogramar actividades en línea</t>
        </is>
      </c>
      <c r="D7" s="5" t="inlineStr">
        <is>
          <t>Rectoría</t>
        </is>
      </c>
      <c r="E7" s="5" t="inlineStr">
        <is>
          <t>Clases sin dispositivos</t>
        </is>
      </c>
    </row>
    <row r="8">
      <c r="A8" s="5" t="inlineStr">
        <is>
          <t>Ausencia del único responsable técnico</t>
        </is>
      </c>
      <c r="B8" s="5" t="inlineStr">
        <is>
          <t>P2, P6</t>
        </is>
      </c>
      <c r="C8" s="5" t="inlineStr">
        <is>
          <t>Activar al suplente y las credenciales de emergencia</t>
        </is>
      </c>
      <c r="D8" s="5" t="inlineStr">
        <is>
          <t>Rectoría</t>
        </is>
      </c>
      <c r="E8" s="5" t="inlineStr">
        <is>
          <t>Soporte externo contratado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2026-10-10T17:46:07Z</dcterms:created>
  <dcterms:modified xmlns:dcterms="http://purl.org/dc/terms/" xmlns:xsi="http://www.w3.org/2001/XMLSchema-instance" xsi:type="dcterms:W3CDTF">2026-10-10T17:46:07Z</dcterms:modified>
</cp:coreProperties>
</file>