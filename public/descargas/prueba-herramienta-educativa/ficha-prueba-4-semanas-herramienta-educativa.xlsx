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eno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60" customWidth="1" min="3" max="3"/>
  </cols>
  <sheetData>
    <row r="1">
      <c r="A1" s="1" t="inlineStr">
        <is>
          <t>FICHA DE UNA PRUEBA DE CUATRO SEMANAS (llénala ANTES de empezar)</t>
        </is>
      </c>
    </row>
    <row r="3">
      <c r="A3" s="2" t="inlineStr">
        <is>
          <t>Elemento</t>
        </is>
      </c>
      <c r="B3" s="2" t="inlineStr">
        <is>
          <t>Qué debes definir</t>
        </is>
      </c>
      <c r="C3" s="2" t="inlineStr">
        <is>
          <t>Tu respuesta</t>
        </is>
      </c>
    </row>
    <row r="4">
      <c r="A4" s="3" t="inlineStr">
        <is>
          <t>Herramienta y objetivo</t>
        </is>
      </c>
      <c r="B4" s="3" t="inlineStr">
        <is>
          <t>Qué herramienta pruebas y qué problema de aprendizaje pretende resolver</t>
        </is>
      </c>
      <c r="C4" s="4" t="n"/>
    </row>
    <row r="5">
      <c r="A5" s="3" t="inlineStr">
        <is>
          <t>Hipótesis</t>
        </is>
      </c>
      <c r="B5" s="3" t="inlineStr">
        <is>
          <t>Escríbela así: «Los estudiantes que usen la herramienta mejorarán más que los que no, en [resultado]»</t>
        </is>
      </c>
      <c r="C5" s="4" t="n"/>
    </row>
    <row r="6">
      <c r="A6" s="3" t="inlineStr">
        <is>
          <t>Resultado a medir</t>
        </is>
      </c>
      <c r="B6" s="3" t="inlineStr">
        <is>
          <t>Un resultado de aprendizaje concreto (no uso ni satisfacción): ¿qué debe saber o poder hacer el estudiante?</t>
        </is>
      </c>
      <c r="C6" s="4" t="n"/>
    </row>
    <row r="7">
      <c r="A7" s="3" t="inlineStr">
        <is>
          <t>Instrumento</t>
        </is>
      </c>
      <c r="B7" s="3" t="inlineStr">
        <is>
          <t>La misma prueba (o equivalente) al inicio y al final; fija los criterios de corrección antes</t>
        </is>
      </c>
      <c r="C7" s="4" t="n"/>
    </row>
    <row r="8">
      <c r="A8" s="3" t="inlineStr">
        <is>
          <t>Grupos</t>
        </is>
      </c>
      <c r="B8" s="3" t="inlineStr">
        <is>
          <t>Quién usa la herramienta y quién no; asigna al azar o, si no se puede, elige grupos parecidos y dilo</t>
        </is>
      </c>
      <c r="C8" s="4" t="n"/>
    </row>
    <row r="9">
      <c r="A9" s="3" t="inlineStr">
        <is>
          <t>Duración y dosis</t>
        </is>
      </c>
      <c r="B9" s="3" t="inlineStr">
        <is>
          <t>Cuatro semanas; cuántas sesiones por semana y de cuántos minutos</t>
        </is>
      </c>
      <c r="C9" s="4" t="n"/>
    </row>
    <row r="10">
      <c r="A10" s="3" t="inlineStr">
        <is>
          <t>Criterio de éxito</t>
        </is>
      </c>
      <c r="B10" s="3" t="inlineStr">
        <is>
          <t>Qué diferencia consideras relevante, definida antes de ver los datos</t>
        </is>
      </c>
      <c r="C10" s="4" t="n"/>
    </row>
    <row r="11">
      <c r="A11" s="3" t="inlineStr">
        <is>
          <t>Qué más pasa</t>
        </is>
      </c>
      <c r="B11" s="3" t="inlineStr">
        <is>
          <t>Otras cosas que cambien durante la prueba (otro docente, evaluaciones, vacaciones)</t>
        </is>
      </c>
      <c r="C11" s="4" t="n"/>
    </row>
    <row r="12">
      <c r="A12" s="3" t="inlineStr">
        <is>
          <t>Datos y consentimiento</t>
        </is>
      </c>
      <c r="B12" s="3" t="inlineStr">
        <is>
          <t>Qué datos de estudiantes se usan, quién los ve y qué autorización existe (datos de menores)</t>
        </is>
      </c>
      <c r="C12" s="4" t="n"/>
    </row>
    <row r="13">
      <c r="A13" s="3" t="inlineStr">
        <is>
          <t>Decisión posterior</t>
        </is>
      </c>
      <c r="B13" s="3" t="inlineStr">
        <is>
          <t>Qué harás si funciona, si no funciona o si no es concluyente</t>
        </is>
      </c>
      <c r="C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DATOS DE EJEMPLO (ficticios): 12 estudiantes con la herramienta y 12 sin ella. Reemplázalos por los tuyos (filas amarillas).</t>
        </is>
      </c>
    </row>
    <row r="3" ht="36" customHeight="1">
      <c r="A3" s="5" t="inlineStr">
        <is>
          <t>Estudiante</t>
        </is>
      </c>
      <c r="B3" s="5" t="inlineStr">
        <is>
          <t>Grupo</t>
        </is>
      </c>
      <c r="C3" s="5" t="inlineStr">
        <is>
          <t>Prueba inicial (0-100)</t>
        </is>
      </c>
      <c r="D3" s="5" t="inlineStr">
        <is>
          <t>Prueba final (0-100)</t>
        </is>
      </c>
      <c r="E3" s="5" t="inlineStr">
        <is>
          <t>Ganancia (final - inicial)</t>
        </is>
      </c>
    </row>
    <row r="4">
      <c r="A4" t="inlineStr">
        <is>
          <t>H01</t>
        </is>
      </c>
      <c r="B4" t="inlineStr">
        <is>
          <t>Herramienta</t>
        </is>
      </c>
      <c r="C4" s="4" t="n">
        <v>39</v>
      </c>
      <c r="D4" s="4" t="n">
        <v>58</v>
      </c>
      <c r="E4">
        <f>D4-C4</f>
        <v/>
      </c>
    </row>
    <row r="5">
      <c r="A5" t="inlineStr">
        <is>
          <t>H02</t>
        </is>
      </c>
      <c r="B5" t="inlineStr">
        <is>
          <t>Herramienta</t>
        </is>
      </c>
      <c r="C5" s="4" t="n">
        <v>32</v>
      </c>
      <c r="D5" s="4" t="n">
        <v>27</v>
      </c>
      <c r="E5">
        <f>D5-C5</f>
        <v/>
      </c>
    </row>
    <row r="6">
      <c r="A6" t="inlineStr">
        <is>
          <t>H03</t>
        </is>
      </c>
      <c r="B6" t="inlineStr">
        <is>
          <t>Herramienta</t>
        </is>
      </c>
      <c r="C6" s="4" t="n">
        <v>74</v>
      </c>
      <c r="D6" s="4" t="n">
        <v>89</v>
      </c>
      <c r="E6">
        <f>D6-C6</f>
        <v/>
      </c>
    </row>
    <row r="7">
      <c r="A7" t="inlineStr">
        <is>
          <t>H04</t>
        </is>
      </c>
      <c r="B7" t="inlineStr">
        <is>
          <t>Herramienta</t>
        </is>
      </c>
      <c r="C7" s="4" t="n">
        <v>56</v>
      </c>
      <c r="D7" s="4" t="n">
        <v>60</v>
      </c>
      <c r="E7">
        <f>D7-C7</f>
        <v/>
      </c>
    </row>
    <row r="8">
      <c r="A8" t="inlineStr">
        <is>
          <t>H05</t>
        </is>
      </c>
      <c r="B8" t="inlineStr">
        <is>
          <t>Herramienta</t>
        </is>
      </c>
      <c r="C8" s="4" t="n">
        <v>52</v>
      </c>
      <c r="D8" s="4" t="n">
        <v>52</v>
      </c>
      <c r="E8">
        <f>D8-C8</f>
        <v/>
      </c>
    </row>
    <row r="9">
      <c r="A9" t="inlineStr">
        <is>
          <t>H06</t>
        </is>
      </c>
      <c r="B9" t="inlineStr">
        <is>
          <t>Herramienta</t>
        </is>
      </c>
      <c r="C9" s="4" t="n">
        <v>60</v>
      </c>
      <c r="D9" s="4" t="n">
        <v>64</v>
      </c>
      <c r="E9">
        <f>D9-C9</f>
        <v/>
      </c>
    </row>
    <row r="10">
      <c r="A10" t="inlineStr">
        <is>
          <t>H07</t>
        </is>
      </c>
      <c r="B10" t="inlineStr">
        <is>
          <t>Herramienta</t>
        </is>
      </c>
      <c r="C10" s="4" t="n">
        <v>68</v>
      </c>
      <c r="D10" s="4" t="n">
        <v>63</v>
      </c>
      <c r="E10">
        <f>D10-C10</f>
        <v/>
      </c>
    </row>
    <row r="11">
      <c r="A11" t="inlineStr">
        <is>
          <t>H08</t>
        </is>
      </c>
      <c r="B11" t="inlineStr">
        <is>
          <t>Herramienta</t>
        </is>
      </c>
      <c r="C11" s="4" t="n">
        <v>54</v>
      </c>
      <c r="D11" s="4" t="n">
        <v>58</v>
      </c>
      <c r="E11">
        <f>D11-C11</f>
        <v/>
      </c>
    </row>
    <row r="12">
      <c r="A12" t="inlineStr">
        <is>
          <t>H09</t>
        </is>
      </c>
      <c r="B12" t="inlineStr">
        <is>
          <t>Herramienta</t>
        </is>
      </c>
      <c r="C12" s="4" t="n">
        <v>53</v>
      </c>
      <c r="D12" s="4" t="n">
        <v>76</v>
      </c>
      <c r="E12">
        <f>D12-C12</f>
        <v/>
      </c>
    </row>
    <row r="13">
      <c r="A13" t="inlineStr">
        <is>
          <t>H10</t>
        </is>
      </c>
      <c r="B13" t="inlineStr">
        <is>
          <t>Herramienta</t>
        </is>
      </c>
      <c r="C13" s="4" t="n">
        <v>61</v>
      </c>
      <c r="D13" s="4" t="n">
        <v>72</v>
      </c>
      <c r="E13">
        <f>D13-C13</f>
        <v/>
      </c>
    </row>
    <row r="14">
      <c r="A14" t="inlineStr">
        <is>
          <t>H11</t>
        </is>
      </c>
      <c r="B14" t="inlineStr">
        <is>
          <t>Herramienta</t>
        </is>
      </c>
      <c r="C14" s="4" t="n">
        <v>83</v>
      </c>
      <c r="D14" s="4" t="n">
        <v>88</v>
      </c>
      <c r="E14">
        <f>D14-C14</f>
        <v/>
      </c>
    </row>
    <row r="15">
      <c r="A15" t="inlineStr">
        <is>
          <t>H12</t>
        </is>
      </c>
      <c r="B15" t="inlineStr">
        <is>
          <t>Herramienta</t>
        </is>
      </c>
      <c r="C15" s="4" t="n">
        <v>81</v>
      </c>
      <c r="D15" s="4" t="n">
        <v>95</v>
      </c>
      <c r="E15">
        <f>D15-C15</f>
        <v/>
      </c>
    </row>
    <row r="16">
      <c r="A16" t="inlineStr">
        <is>
          <t>C01</t>
        </is>
      </c>
      <c r="B16" t="inlineStr">
        <is>
          <t>Comparación</t>
        </is>
      </c>
      <c r="C16" s="4" t="n">
        <v>82</v>
      </c>
      <c r="D16" s="4" t="n">
        <v>66</v>
      </c>
      <c r="E16">
        <f>D16-C16</f>
        <v/>
      </c>
    </row>
    <row r="17">
      <c r="A17" t="inlineStr">
        <is>
          <t>C02</t>
        </is>
      </c>
      <c r="B17" t="inlineStr">
        <is>
          <t>Comparación</t>
        </is>
      </c>
      <c r="C17" s="4" t="n">
        <v>35</v>
      </c>
      <c r="D17" s="4" t="n">
        <v>32</v>
      </c>
      <c r="E17">
        <f>D17-C17</f>
        <v/>
      </c>
    </row>
    <row r="18">
      <c r="A18" t="inlineStr">
        <is>
          <t>C03</t>
        </is>
      </c>
      <c r="B18" t="inlineStr">
        <is>
          <t>Comparación</t>
        </is>
      </c>
      <c r="C18" s="4" t="n">
        <v>58</v>
      </c>
      <c r="D18" s="4" t="n">
        <v>61</v>
      </c>
      <c r="E18">
        <f>D18-C18</f>
        <v/>
      </c>
    </row>
    <row r="19">
      <c r="A19" t="inlineStr">
        <is>
          <t>C04</t>
        </is>
      </c>
      <c r="B19" t="inlineStr">
        <is>
          <t>Comparación</t>
        </is>
      </c>
      <c r="C19" s="4" t="n">
        <v>61</v>
      </c>
      <c r="D19" s="4" t="n">
        <v>75</v>
      </c>
      <c r="E19">
        <f>D19-C19</f>
        <v/>
      </c>
    </row>
    <row r="20">
      <c r="A20" t="inlineStr">
        <is>
          <t>C05</t>
        </is>
      </c>
      <c r="B20" t="inlineStr">
        <is>
          <t>Comparación</t>
        </is>
      </c>
      <c r="C20" s="4" t="n">
        <v>78</v>
      </c>
      <c r="D20" s="4" t="n">
        <v>79</v>
      </c>
      <c r="E20">
        <f>D20-C20</f>
        <v/>
      </c>
    </row>
    <row r="21">
      <c r="A21" t="inlineStr">
        <is>
          <t>C06</t>
        </is>
      </c>
      <c r="B21" t="inlineStr">
        <is>
          <t>Comparación</t>
        </is>
      </c>
      <c r="C21" s="4" t="n">
        <v>72</v>
      </c>
      <c r="D21" s="4" t="n">
        <v>67</v>
      </c>
      <c r="E21">
        <f>D21-C21</f>
        <v/>
      </c>
    </row>
    <row r="22">
      <c r="A22" t="inlineStr">
        <is>
          <t>C07</t>
        </is>
      </c>
      <c r="B22" t="inlineStr">
        <is>
          <t>Comparación</t>
        </is>
      </c>
      <c r="C22" s="4" t="n">
        <v>61</v>
      </c>
      <c r="D22" s="4" t="n">
        <v>58</v>
      </c>
      <c r="E22">
        <f>D22-C22</f>
        <v/>
      </c>
    </row>
    <row r="23">
      <c r="A23" t="inlineStr">
        <is>
          <t>C08</t>
        </is>
      </c>
      <c r="B23" t="inlineStr">
        <is>
          <t>Comparación</t>
        </is>
      </c>
      <c r="C23" s="4" t="n">
        <v>57</v>
      </c>
      <c r="D23" s="4" t="n">
        <v>60</v>
      </c>
      <c r="E23">
        <f>D23-C23</f>
        <v/>
      </c>
    </row>
    <row r="24">
      <c r="A24" t="inlineStr">
        <is>
          <t>C09</t>
        </is>
      </c>
      <c r="B24" t="inlineStr">
        <is>
          <t>Comparación</t>
        </is>
      </c>
      <c r="C24" s="4" t="n">
        <v>48</v>
      </c>
      <c r="D24" s="4" t="n">
        <v>74</v>
      </c>
      <c r="E24">
        <f>D24-C24</f>
        <v/>
      </c>
    </row>
    <row r="25">
      <c r="A25" t="inlineStr">
        <is>
          <t>C10</t>
        </is>
      </c>
      <c r="B25" t="inlineStr">
        <is>
          <t>Comparación</t>
        </is>
      </c>
      <c r="C25" s="4" t="n">
        <v>57</v>
      </c>
      <c r="D25" s="4" t="n">
        <v>72</v>
      </c>
      <c r="E25">
        <f>D25-C25</f>
        <v/>
      </c>
    </row>
    <row r="26">
      <c r="A26" t="inlineStr">
        <is>
          <t>C11</t>
        </is>
      </c>
      <c r="B26" t="inlineStr">
        <is>
          <t>Comparación</t>
        </is>
      </c>
      <c r="C26" s="4" t="n">
        <v>64</v>
      </c>
      <c r="D26" s="4" t="n">
        <v>74</v>
      </c>
      <c r="E26">
        <f>D26-C26</f>
        <v/>
      </c>
    </row>
    <row r="27">
      <c r="A27" t="inlineStr">
        <is>
          <t>C12</t>
        </is>
      </c>
      <c r="B27" t="inlineStr">
        <is>
          <t>Comparación</t>
        </is>
      </c>
      <c r="C27" s="4" t="n">
        <v>90</v>
      </c>
      <c r="D27" s="4" t="n">
        <v>101</v>
      </c>
      <c r="E27">
        <f>D27-C27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40" customWidth="1" min="3" max="3"/>
  </cols>
  <sheetData>
    <row r="1">
      <c r="A1" s="1" t="inlineStr">
        <is>
          <t>RESULTADOS: se calculan solos con los datos de la hoja Datos (grupo con herramienta: filas 4-15; comparación: filas 16-27)</t>
        </is>
      </c>
    </row>
    <row r="3">
      <c r="A3" t="inlineStr">
        <is>
          <t>Ganancia media con herramienta</t>
        </is>
      </c>
      <c r="B3" s="6">
        <f>AVERAGE(Datos!E4:E15)</f>
        <v/>
      </c>
    </row>
    <row r="4">
      <c r="A4" t="inlineStr">
        <is>
          <t>Ganancia media del grupo de comparación</t>
        </is>
      </c>
      <c r="B4" s="6">
        <f>AVERAGE(Datos!E16:E27)</f>
        <v/>
      </c>
    </row>
    <row r="5">
      <c r="A5" t="inlineStr">
        <is>
          <t>Diferencia de ganancias</t>
        </is>
      </c>
      <c r="B5" s="6">
        <f>B3-B4</f>
        <v/>
      </c>
    </row>
    <row r="6">
      <c r="A6" t="inlineStr">
        <is>
          <t>Desviación estándar de las ganancias (herramienta)</t>
        </is>
      </c>
      <c r="B6" s="6">
        <f>STDEV(Datos!E4:E15)</f>
        <v/>
      </c>
    </row>
    <row r="7">
      <c r="A7" t="inlineStr">
        <is>
          <t>Desviación estándar de las ganancias (comparación)</t>
        </is>
      </c>
      <c r="B7" s="6">
        <f>STDEV(Datos!E16:E27)</f>
        <v/>
      </c>
    </row>
    <row r="8">
      <c r="A8" t="inlineStr">
        <is>
          <t>Tamaño del efecto (d de Cohen con desviación combinada)</t>
        </is>
      </c>
      <c r="B8" s="7">
        <f>B5/SQRT((B6^2+B7^2)/2)</f>
        <v/>
      </c>
    </row>
    <row r="9">
      <c r="A9" t="inlineStr">
        <is>
          <t>Valor p (prueba t de dos colas, varianzas distintas)</t>
        </is>
      </c>
      <c r="B9" s="8">
        <f>TTEST(Datos!E4:E15,Datos!E16:E27,2,3)</f>
        <v/>
      </c>
    </row>
    <row r="10">
      <c r="A10" t="inlineStr">
        <is>
          <t>Estudiantes por grupo</t>
        </is>
      </c>
      <c r="B10" s="9">
        <f>COUNT(Datos!E4:E15)</f>
        <v/>
      </c>
    </row>
    <row r="12">
      <c r="A12" s="10" t="inlineStr">
        <is>
          <t>Lectura sugerida</t>
        </is>
      </c>
      <c r="B12">
        <f>IF(AND(B9&lt;0.05,B8&gt;=0.2),"Señal a favor: replica la prueba antes de generalizar",IF(B5&gt;0,"Diferencia positiva pero no concluyente: amplía la muestra o repite","Sin señal a favor de la herramienta"))</f>
        <v/>
      </c>
    </row>
    <row r="14">
      <c r="A14" s="10" t="inlineStr">
        <is>
          <t>Cómo leer esto con cuidado</t>
        </is>
      </c>
    </row>
    <row r="15" ht="34" customHeight="1">
      <c r="A15" s="11" t="inlineStr">
        <is>
          <t>• Con pocos estudiantes, el azar produce diferencias de varios puntos: un p alto significa «no concluyente», no «no funciona».</t>
        </is>
      </c>
    </row>
    <row r="16" ht="34" customHeight="1">
      <c r="A16" s="11" t="inlineStr">
        <is>
          <t>• Un p bajo no prueba que la herramienta cause la mejora si los grupos no eran comparables o si pasaron otras cosas distintas.</t>
        </is>
      </c>
    </row>
    <row r="17" ht="34" customHeight="1">
      <c r="A17" s="11" t="inlineStr">
        <is>
          <t>• El tamaño del efecto dice cuánto: alrededor de 0,2 es pequeño, 0,5 mediano y 0,8 grande (convención de Cohen); lo relevante depende de tu contexto y tu costo.</t>
        </is>
      </c>
    </row>
    <row r="18" ht="34" customHeight="1">
      <c r="A18" s="11" t="inlineStr">
        <is>
          <t>• Esta hoja es una guía didáctica. Para decisiones de mayor impacto, busca apoyo estadístico y evidencia independiente.</t>
        </is>
      </c>
    </row>
  </sheetData>
  <mergeCells count="4">
    <mergeCell ref="A15:C15"/>
    <mergeCell ref="A18:C18"/>
    <mergeCell ref="A16:C16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2026-10-10T01:00:06Z</dcterms:created>
  <dcterms:modified xmlns:dcterms="http://purl.org/dc/terms/" xmlns:xsi="http://www.w3.org/2001/XMLSchema-instance" xsi:type="dcterms:W3CDTF">2026-10-10T01:00:06Z</dcterms:modified>
</cp:coreProperties>
</file>