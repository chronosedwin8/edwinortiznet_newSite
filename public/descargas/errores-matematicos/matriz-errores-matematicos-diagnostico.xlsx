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_de_errores" sheetId="1" state="visible" r:id="rId1"/>
    <sheet xmlns:r="http://schemas.openxmlformats.org/officeDocument/2006/relationships" name="Ejercicios_y_claves" sheetId="2" state="visible" r:id="rId2"/>
    <sheet xmlns:r="http://schemas.openxmlformats.org/officeDocument/2006/relationships" name="Diagnostico_de_grup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2" borderId="0" applyAlignment="1" pivotButton="0" quotePrefix="0" xfId="0">
      <alignment wrapText="1"/>
    </xf>
    <xf numFmtId="0" fontId="0" fillId="3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34" customWidth="1" min="3" max="3"/>
    <col width="48" customWidth="1" min="4" max="4"/>
    <col width="52" customWidth="1" min="5" max="5"/>
    <col width="52" customWidth="1" min="6" max="6"/>
  </cols>
  <sheetData>
    <row r="1">
      <c r="A1" s="1" t="inlineStr">
        <is>
          <t>MATRIZ DE ERRORES MATEMÁTICOS FRECUENTES (hipótesis para explorar, no diagnósticos: confirma siempre preguntándole al estudiante)</t>
        </is>
      </c>
    </row>
    <row r="3">
      <c r="A3" s="2" t="inlineStr">
        <is>
          <t>Código</t>
        </is>
      </c>
      <c r="B3" s="2" t="inlineStr">
        <is>
          <t>Error</t>
        </is>
      </c>
      <c r="C3" s="2" t="inlineStr">
        <is>
          <t>Ejemplo</t>
        </is>
      </c>
      <c r="D3" s="2" t="inlineStr">
        <is>
          <t>Qué podría estar pensando (hipótesis)</t>
        </is>
      </c>
      <c r="E3" s="2" t="inlineStr">
        <is>
          <t>Cómo explorarlo (pregunta o prueba)</t>
        </is>
      </c>
      <c r="F3" s="2" t="inlineStr">
        <is>
          <t>Intervención sugerida</t>
        </is>
      </c>
    </row>
    <row r="4">
      <c r="A4" s="3" t="inlineStr">
        <is>
          <t>E1</t>
        </is>
      </c>
      <c r="B4" s="3" t="inlineStr">
        <is>
          <t>Suma numeradores y denominadores</t>
        </is>
      </c>
      <c r="C4" s="3" t="inlineStr">
        <is>
          <t>Suma de fracciones: 1/2 + 1/3 = 2/5</t>
        </is>
      </c>
      <c r="D4" s="3" t="inlineStr">
        <is>
          <t>Trata la fracción como dos números separados (sesgo del número natural)</t>
        </is>
      </c>
      <c r="E4" s="3" t="inlineStr">
        <is>
          <t>Pedir que ubique 1/2 y 1/3 en una recta y estime la suma antes de calcular</t>
        </is>
      </c>
      <c r="F4" s="3" t="inlineStr">
        <is>
          <t>Recta numérica y modelos de áreas; denominador común como "mismo tamaño de partes"</t>
        </is>
      </c>
    </row>
    <row r="5">
      <c r="A5" s="3" t="inlineStr">
        <is>
          <t>E2</t>
        </is>
      </c>
      <c r="B5" s="3" t="inlineStr">
        <is>
          <t>Decimales: más cifras, mayor valor</t>
        </is>
      </c>
      <c r="C5" s="3" t="inlineStr">
        <is>
          <t>0,25 &gt; 0,3</t>
        </is>
      </c>
      <c r="D5" s="3" t="inlineStr">
        <is>
          <t>Compara las cifras como si fueran números enteros (25 &gt; 3)</t>
        </is>
      </c>
      <c r="E5" s="3" t="inlineStr">
        <is>
          <t>Pedir que los ubique en una recta de 0 a 1 o los pase a centésimas</t>
        </is>
      </c>
      <c r="F5" s="3" t="inlineStr">
        <is>
          <t>Tabla de valor posicional y rectas; comparar 0,30 con 0,25</t>
        </is>
      </c>
    </row>
    <row r="6">
      <c r="A6" s="3" t="inlineStr">
        <is>
          <t>E3</t>
        </is>
      </c>
      <c r="B6" s="3" t="inlineStr">
        <is>
          <t>Multiplicar siempre agranda</t>
        </is>
      </c>
      <c r="C6" s="3" t="inlineStr">
        <is>
          <t>8 × 0,5 = 40</t>
        </is>
      </c>
      <c r="D6" s="3" t="inlineStr">
        <is>
          <t>Cree que multiplicar siempre aumenta y dividir siempre disminuye</t>
        </is>
      </c>
      <c r="E6" s="3" t="inlineStr">
        <is>
          <t>Preguntar: ¿el resultado debería ser mayor o menor que 8? ¿por qué?</t>
        </is>
      </c>
      <c r="F6" s="3" t="inlineStr">
        <is>
          <t>Estimar antes de calcular; multiplicar como "tomar una parte de"</t>
        </is>
      </c>
    </row>
    <row r="7">
      <c r="A7" s="3" t="inlineStr">
        <is>
          <t>E4</t>
        </is>
      </c>
      <c r="B7" s="3" t="inlineStr">
        <is>
          <t>Signo igual como "da"</t>
        </is>
      </c>
      <c r="C7" s="3" t="inlineStr">
        <is>
          <t>8 + 4 = 12 + 5 → 17</t>
        </is>
      </c>
      <c r="D7" s="3" t="inlineStr">
        <is>
          <t>Lee el igual como "escribe el resultado" y no como equivalencia</t>
        </is>
      </c>
      <c r="E7" s="3" t="inlineStr">
        <is>
          <t>Pedir que complete 8 + 4 = □ + 5 y que explique el igual</t>
        </is>
      </c>
      <c r="F7" s="3" t="inlineStr">
        <is>
          <t>Balanzas y ecuaciones con operaciones a ambos lados</t>
        </is>
      </c>
    </row>
    <row r="8">
      <c r="A8" s="3" t="inlineStr">
        <is>
          <t>E5</t>
        </is>
      </c>
      <c r="B8" s="3" t="inlineStr">
        <is>
          <t>Cambio de signo mal hecho</t>
        </is>
      </c>
      <c r="C8" s="3" t="inlineStr">
        <is>
          <t>x + 3 = 7 → x = 10</t>
        </is>
      </c>
      <c r="D8" s="3" t="inlineStr">
        <is>
          <t>Repite la regla "pasa al otro lado" sin entender la operación inversa</t>
        </is>
      </c>
      <c r="E8" s="3" t="inlineStr">
        <is>
          <t>Pedir que verifique reemplazando x en la ecuación</t>
        </is>
      </c>
      <c r="F8" s="3" t="inlineStr">
        <is>
          <t>Operación inversa y verificación por sustitución</t>
        </is>
      </c>
    </row>
    <row r="9">
      <c r="A9" s="3" t="inlineStr">
        <is>
          <t>E6</t>
        </is>
      </c>
      <c r="B9" s="3" t="inlineStr">
        <is>
          <t>Distribución del signo negativo</t>
        </is>
      </c>
      <c r="C9" s="3" t="inlineStr">
        <is>
          <t>-(x - 2) = -x - 2</t>
        </is>
      </c>
      <c r="D9" s="3" t="inlineStr">
        <is>
          <t>Aplica el signo al primer término y olvida el segundo</t>
        </is>
      </c>
      <c r="E9" s="3" t="inlineStr">
        <is>
          <t>Pedir que reemplace x por un número y compare ambos lados</t>
        </is>
      </c>
      <c r="F9" s="3" t="inlineStr">
        <is>
          <t>Propiedad distributiva con números concretos antes que con letras</t>
        </is>
      </c>
    </row>
    <row r="10">
      <c r="A10" s="3" t="inlineStr">
        <is>
          <t>E7</t>
        </is>
      </c>
      <c r="B10" s="3" t="inlineStr">
        <is>
          <t>Cuadrado de una suma</t>
        </is>
      </c>
      <c r="C10" s="3" t="inlineStr">
        <is>
          <t>(a + b)² = a² + b²</t>
        </is>
      </c>
      <c r="D10" s="3" t="inlineStr">
        <is>
          <t>Cree que el exponente se distribuye sobre la suma</t>
        </is>
      </c>
      <c r="E10" s="3" t="inlineStr">
        <is>
          <t>Probar con a = 2, b = 3: (2 + 3)² frente a 2² + 3²</t>
        </is>
      </c>
      <c r="F10" s="3" t="inlineStr">
        <is>
          <t>Modelo de áreas del cuadrado de lado a + b</t>
        </is>
      </c>
    </row>
    <row r="11">
      <c r="A11" s="3" t="inlineStr">
        <is>
          <t>E8</t>
        </is>
      </c>
      <c r="B11" s="3" t="inlineStr">
        <is>
          <t>Cancelar términos, no factores</t>
        </is>
      </c>
      <c r="C11" s="3" t="inlineStr">
        <is>
          <t>(a + b)/a = b</t>
        </is>
      </c>
      <c r="D11" s="3" t="inlineStr">
        <is>
          <t>Cancela una letra que no es factor común de todo el numerador</t>
        </is>
      </c>
      <c r="E11" s="3" t="inlineStr">
        <is>
          <t>Probar con números: (2 + 3)/2 frente a 3</t>
        </is>
      </c>
      <c r="F11" s="3" t="inlineStr">
        <is>
          <t>Factorizar antes de simplificar</t>
        </is>
      </c>
    </row>
    <row r="12">
      <c r="A12" s="3" t="inlineStr">
        <is>
          <t>E10</t>
        </is>
      </c>
      <c r="B12" s="3" t="inlineStr">
        <is>
          <t>Porcentajes que se "compensan"</t>
        </is>
      </c>
      <c r="C12" s="3" t="inlineStr">
        <is>
          <t>Sube 20 % y baja 20 % queda igual</t>
        </is>
      </c>
      <c r="D12" s="3" t="inlineStr">
        <is>
          <t>Ignora que cada porcentaje se aplica sobre una base distinta</t>
        </is>
      </c>
      <c r="E12" s="3" t="inlineStr">
        <is>
          <t>Pedir que calcule con un precio de 100</t>
        </is>
      </c>
      <c r="F12" s="3" t="inlineStr">
        <is>
          <t>Siempre con un ejemplo numérico de 100 y luego con la regla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56" customWidth="1" min="2" max="2"/>
    <col width="8" customWidth="1" min="3" max="3"/>
    <col width="30" customWidth="1" min="4" max="4"/>
    <col width="16" customWidth="1" min="5" max="5"/>
  </cols>
  <sheetData>
    <row r="1">
      <c r="A1" s="1" t="inlineStr">
        <is>
          <t>NUEVE PREGUNTAS DIAGNÓSTICAS Y SU CLAVE: cada distractor está ligado a un error posible</t>
        </is>
      </c>
    </row>
    <row r="3">
      <c r="A3" s="2" t="inlineStr">
        <is>
          <t>Clave (pregunta+opción)</t>
        </is>
      </c>
      <c r="B3" s="2" t="inlineStr">
        <is>
          <t>Pregunta</t>
        </is>
      </c>
      <c r="C3" s="2" t="inlineStr">
        <is>
          <t>Opción</t>
        </is>
      </c>
      <c r="D3" s="2" t="inlineStr">
        <is>
          <t>Texto de la opción</t>
        </is>
      </c>
      <c r="E3" s="2" t="inlineStr">
        <is>
          <t>Código de error</t>
        </is>
      </c>
    </row>
    <row r="4">
      <c r="A4" t="inlineStr">
        <is>
          <t>Q1A</t>
        </is>
      </c>
      <c r="B4" t="inlineStr">
        <is>
          <t>Q1: 1/2 + 1/3 =</t>
        </is>
      </c>
      <c r="C4" t="inlineStr">
        <is>
          <t>A</t>
        </is>
      </c>
      <c r="D4" t="inlineStr">
        <is>
          <t>5/6</t>
        </is>
      </c>
      <c r="E4" t="inlineStr"/>
    </row>
    <row r="5">
      <c r="A5" t="inlineStr">
        <is>
          <t>Q1B</t>
        </is>
      </c>
      <c r="B5" t="inlineStr">
        <is>
          <t>Q1: 1/2 + 1/3 =</t>
        </is>
      </c>
      <c r="C5" t="inlineStr">
        <is>
          <t>B</t>
        </is>
      </c>
      <c r="D5" t="inlineStr">
        <is>
          <t>2/5</t>
        </is>
      </c>
      <c r="E5" t="inlineStr">
        <is>
          <t>E1</t>
        </is>
      </c>
    </row>
    <row r="6">
      <c r="A6" t="inlineStr">
        <is>
          <t>Q1C</t>
        </is>
      </c>
      <c r="B6" t="inlineStr">
        <is>
          <t>Q1: 1/2 + 1/3 =</t>
        </is>
      </c>
      <c r="C6" t="inlineStr">
        <is>
          <t>C</t>
        </is>
      </c>
      <c r="D6" t="inlineStr">
        <is>
          <t>1/6</t>
        </is>
      </c>
      <c r="E6" t="inlineStr">
        <is>
          <t>OTRO</t>
        </is>
      </c>
    </row>
    <row r="7">
      <c r="A7" t="inlineStr">
        <is>
          <t>Q2A</t>
        </is>
      </c>
      <c r="B7" t="inlineStr">
        <is>
          <t>Q2: Es mayor: 0,25 o 0,3</t>
        </is>
      </c>
      <c r="C7" t="inlineStr">
        <is>
          <t>A</t>
        </is>
      </c>
      <c r="D7" t="inlineStr">
        <is>
          <t>0,25</t>
        </is>
      </c>
      <c r="E7" t="inlineStr">
        <is>
          <t>E2</t>
        </is>
      </c>
    </row>
    <row r="8">
      <c r="A8" t="inlineStr">
        <is>
          <t>Q2B</t>
        </is>
      </c>
      <c r="B8" t="inlineStr">
        <is>
          <t>Q2: Es mayor: 0,25 o 0,3</t>
        </is>
      </c>
      <c r="C8" t="inlineStr">
        <is>
          <t>B</t>
        </is>
      </c>
      <c r="D8" t="inlineStr">
        <is>
          <t>0,3</t>
        </is>
      </c>
      <c r="E8" t="inlineStr"/>
    </row>
    <row r="9">
      <c r="A9" t="inlineStr">
        <is>
          <t>Q2C</t>
        </is>
      </c>
      <c r="B9" t="inlineStr">
        <is>
          <t>Q2: Es mayor: 0,25 o 0,3</t>
        </is>
      </c>
      <c r="C9" t="inlineStr">
        <is>
          <t>C</t>
        </is>
      </c>
      <c r="D9" t="inlineStr">
        <is>
          <t>Son iguales</t>
        </is>
      </c>
      <c r="E9" t="inlineStr">
        <is>
          <t>OTRO</t>
        </is>
      </c>
    </row>
    <row r="10">
      <c r="A10" t="inlineStr">
        <is>
          <t>Q3A</t>
        </is>
      </c>
      <c r="B10" t="inlineStr">
        <is>
          <t>Q3: 8 × 0,5 =</t>
        </is>
      </c>
      <c r="C10" t="inlineStr">
        <is>
          <t>A</t>
        </is>
      </c>
      <c r="D10" t="inlineStr">
        <is>
          <t>4</t>
        </is>
      </c>
      <c r="E10" t="inlineStr"/>
    </row>
    <row r="11">
      <c r="A11" t="inlineStr">
        <is>
          <t>Q3B</t>
        </is>
      </c>
      <c r="B11" t="inlineStr">
        <is>
          <t>Q3: 8 × 0,5 =</t>
        </is>
      </c>
      <c r="C11" t="inlineStr">
        <is>
          <t>B</t>
        </is>
      </c>
      <c r="D11" t="inlineStr">
        <is>
          <t>40</t>
        </is>
      </c>
      <c r="E11" t="inlineStr">
        <is>
          <t>E3</t>
        </is>
      </c>
    </row>
    <row r="12">
      <c r="A12" t="inlineStr">
        <is>
          <t>Q3C</t>
        </is>
      </c>
      <c r="B12" t="inlineStr">
        <is>
          <t>Q3: 8 × 0,5 =</t>
        </is>
      </c>
      <c r="C12" t="inlineStr">
        <is>
          <t>C</t>
        </is>
      </c>
      <c r="D12" t="inlineStr">
        <is>
          <t>16</t>
        </is>
      </c>
      <c r="E12" t="inlineStr">
        <is>
          <t>OTRO</t>
        </is>
      </c>
    </row>
    <row r="13">
      <c r="A13" t="inlineStr">
        <is>
          <t>Q4A</t>
        </is>
      </c>
      <c r="B13" t="inlineStr">
        <is>
          <t>Q4: 8 + 4 = □ + 5  (¿qué número va en el cuadro?)</t>
        </is>
      </c>
      <c r="C13" t="inlineStr">
        <is>
          <t>A</t>
        </is>
      </c>
      <c r="D13" t="inlineStr">
        <is>
          <t>7</t>
        </is>
      </c>
      <c r="E13" t="inlineStr"/>
    </row>
    <row r="14">
      <c r="A14" t="inlineStr">
        <is>
          <t>Q4B</t>
        </is>
      </c>
      <c r="B14" t="inlineStr">
        <is>
          <t>Q4: 8 + 4 = □ + 5  (¿qué número va en el cuadro?)</t>
        </is>
      </c>
      <c r="C14" t="inlineStr">
        <is>
          <t>B</t>
        </is>
      </c>
      <c r="D14" t="inlineStr">
        <is>
          <t>12</t>
        </is>
      </c>
      <c r="E14" t="inlineStr">
        <is>
          <t>E4</t>
        </is>
      </c>
    </row>
    <row r="15">
      <c r="A15" t="inlineStr">
        <is>
          <t>Q4C</t>
        </is>
      </c>
      <c r="B15" t="inlineStr">
        <is>
          <t>Q4: 8 + 4 = □ + 5  (¿qué número va en el cuadro?)</t>
        </is>
      </c>
      <c r="C15" t="inlineStr">
        <is>
          <t>C</t>
        </is>
      </c>
      <c r="D15" t="inlineStr">
        <is>
          <t>17</t>
        </is>
      </c>
      <c r="E15" t="inlineStr">
        <is>
          <t>E4</t>
        </is>
      </c>
    </row>
    <row r="16">
      <c r="A16" t="inlineStr">
        <is>
          <t>Q5A</t>
        </is>
      </c>
      <c r="B16" t="inlineStr">
        <is>
          <t>Q5: x + 3 = 7, entonces x =</t>
        </is>
      </c>
      <c r="C16" t="inlineStr">
        <is>
          <t>A</t>
        </is>
      </c>
      <c r="D16" t="inlineStr">
        <is>
          <t>4</t>
        </is>
      </c>
      <c r="E16" t="inlineStr"/>
    </row>
    <row r="17">
      <c r="A17" t="inlineStr">
        <is>
          <t>Q5B</t>
        </is>
      </c>
      <c r="B17" t="inlineStr">
        <is>
          <t>Q5: x + 3 = 7, entonces x =</t>
        </is>
      </c>
      <c r="C17" t="inlineStr">
        <is>
          <t>B</t>
        </is>
      </c>
      <c r="D17" t="inlineStr">
        <is>
          <t>10</t>
        </is>
      </c>
      <c r="E17" t="inlineStr">
        <is>
          <t>E5</t>
        </is>
      </c>
    </row>
    <row r="18">
      <c r="A18" t="inlineStr">
        <is>
          <t>Q5C</t>
        </is>
      </c>
      <c r="B18" t="inlineStr">
        <is>
          <t>Q5: x + 3 = 7, entonces x =</t>
        </is>
      </c>
      <c r="C18" t="inlineStr">
        <is>
          <t>C</t>
        </is>
      </c>
      <c r="D18" t="inlineStr">
        <is>
          <t>-4</t>
        </is>
      </c>
      <c r="E18" t="inlineStr">
        <is>
          <t>OTRO</t>
        </is>
      </c>
    </row>
    <row r="19">
      <c r="A19" t="inlineStr">
        <is>
          <t>Q6A</t>
        </is>
      </c>
      <c r="B19" t="inlineStr">
        <is>
          <t>Q6: -(x - 2) =</t>
        </is>
      </c>
      <c r="C19" t="inlineStr">
        <is>
          <t>A</t>
        </is>
      </c>
      <c r="D19" t="inlineStr">
        <is>
          <t>-x + 2</t>
        </is>
      </c>
      <c r="E19" t="inlineStr"/>
    </row>
    <row r="20">
      <c r="A20" t="inlineStr">
        <is>
          <t>Q6B</t>
        </is>
      </c>
      <c r="B20" t="inlineStr">
        <is>
          <t>Q6: -(x - 2) =</t>
        </is>
      </c>
      <c r="C20" t="inlineStr">
        <is>
          <t>B</t>
        </is>
      </c>
      <c r="D20" t="inlineStr">
        <is>
          <t>-x - 2</t>
        </is>
      </c>
      <c r="E20" t="inlineStr">
        <is>
          <t>E6</t>
        </is>
      </c>
    </row>
    <row r="21">
      <c r="A21" t="inlineStr">
        <is>
          <t>Q6C</t>
        </is>
      </c>
      <c r="B21" t="inlineStr">
        <is>
          <t>Q6: -(x - 2) =</t>
        </is>
      </c>
      <c r="C21" t="inlineStr">
        <is>
          <t>C</t>
        </is>
      </c>
      <c r="D21" t="inlineStr">
        <is>
          <t>x - 2</t>
        </is>
      </c>
      <c r="E21" t="inlineStr">
        <is>
          <t>OTRO</t>
        </is>
      </c>
    </row>
    <row r="22">
      <c r="A22" t="inlineStr">
        <is>
          <t>Q7A</t>
        </is>
      </c>
      <c r="B22" t="inlineStr">
        <is>
          <t>Q7: (a + b)² =</t>
        </is>
      </c>
      <c r="C22" t="inlineStr">
        <is>
          <t>A</t>
        </is>
      </c>
      <c r="D22" t="inlineStr">
        <is>
          <t>a² + 2ab + b²</t>
        </is>
      </c>
      <c r="E22" t="inlineStr"/>
    </row>
    <row r="23">
      <c r="A23" t="inlineStr">
        <is>
          <t>Q7B</t>
        </is>
      </c>
      <c r="B23" t="inlineStr">
        <is>
          <t>Q7: (a + b)² =</t>
        </is>
      </c>
      <c r="C23" t="inlineStr">
        <is>
          <t>B</t>
        </is>
      </c>
      <c r="D23" t="inlineStr">
        <is>
          <t>a² + b²</t>
        </is>
      </c>
      <c r="E23" t="inlineStr">
        <is>
          <t>E7</t>
        </is>
      </c>
    </row>
    <row r="24">
      <c r="A24" t="inlineStr">
        <is>
          <t>Q7C</t>
        </is>
      </c>
      <c r="B24" t="inlineStr">
        <is>
          <t>Q7: (a + b)² =</t>
        </is>
      </c>
      <c r="C24" t="inlineStr">
        <is>
          <t>C</t>
        </is>
      </c>
      <c r="D24" t="inlineStr">
        <is>
          <t>2a + 2b</t>
        </is>
      </c>
      <c r="E24" t="inlineStr">
        <is>
          <t>OTRO</t>
        </is>
      </c>
    </row>
    <row r="25">
      <c r="A25" t="inlineStr">
        <is>
          <t>Q8A</t>
        </is>
      </c>
      <c r="B25" t="inlineStr">
        <is>
          <t>Q8: (a + b)/a se simplifica a</t>
        </is>
      </c>
      <c r="C25" t="inlineStr">
        <is>
          <t>A</t>
        </is>
      </c>
      <c r="D25" t="inlineStr">
        <is>
          <t>no se puede simplificar más</t>
        </is>
      </c>
      <c r="E25" t="inlineStr"/>
    </row>
    <row r="26">
      <c r="A26" t="inlineStr">
        <is>
          <t>Q8B</t>
        </is>
      </c>
      <c r="B26" t="inlineStr">
        <is>
          <t>Q8: (a + b)/a se simplifica a</t>
        </is>
      </c>
      <c r="C26" t="inlineStr">
        <is>
          <t>B</t>
        </is>
      </c>
      <c r="D26" t="inlineStr">
        <is>
          <t>b</t>
        </is>
      </c>
      <c r="E26" t="inlineStr">
        <is>
          <t>E8</t>
        </is>
      </c>
    </row>
    <row r="27">
      <c r="A27" t="inlineStr">
        <is>
          <t>Q8C</t>
        </is>
      </c>
      <c r="B27" t="inlineStr">
        <is>
          <t>Q8: (a + b)/a se simplifica a</t>
        </is>
      </c>
      <c r="C27" t="inlineStr">
        <is>
          <t>C</t>
        </is>
      </c>
      <c r="D27" t="inlineStr">
        <is>
          <t>1 + b</t>
        </is>
      </c>
      <c r="E27" t="inlineStr">
        <is>
          <t>E8</t>
        </is>
      </c>
    </row>
    <row r="28">
      <c r="A28" t="inlineStr">
        <is>
          <t>Q9A</t>
        </is>
      </c>
      <c r="B28" t="inlineStr">
        <is>
          <t>Q9: Un precio sube 20 % y luego baja 20 %. Queda</t>
        </is>
      </c>
      <c r="C28" t="inlineStr">
        <is>
          <t>A</t>
        </is>
      </c>
      <c r="D28" t="inlineStr">
        <is>
          <t>más bajo que el original</t>
        </is>
      </c>
      <c r="E28" t="inlineStr"/>
    </row>
    <row r="29">
      <c r="A29" t="inlineStr">
        <is>
          <t>Q9B</t>
        </is>
      </c>
      <c r="B29" t="inlineStr">
        <is>
          <t>Q9: Un precio sube 20 % y luego baja 20 %. Queda</t>
        </is>
      </c>
      <c r="C29" t="inlineStr">
        <is>
          <t>B</t>
        </is>
      </c>
      <c r="D29" t="inlineStr">
        <is>
          <t>igual al original</t>
        </is>
      </c>
      <c r="E29" t="inlineStr">
        <is>
          <t>E10</t>
        </is>
      </c>
    </row>
    <row r="30">
      <c r="A30" t="inlineStr">
        <is>
          <t>Q9C</t>
        </is>
      </c>
      <c r="B30" t="inlineStr">
        <is>
          <t>Q9: Un precio sube 20 % y luego baja 20 %. Queda</t>
        </is>
      </c>
      <c r="C30" t="inlineStr">
        <is>
          <t>C</t>
        </is>
      </c>
      <c r="D30" t="inlineStr">
        <is>
          <t>más alto que el original</t>
        </is>
      </c>
      <c r="E30" t="inlineStr">
        <is>
          <t>OTRO</t>
        </is>
      </c>
    </row>
    <row r="31">
      <c r="A31" t="inlineStr">
        <is>
          <t>Q10A</t>
        </is>
      </c>
      <c r="B31" t="inlineStr">
        <is>
          <t>Q10: 1/4 + 2/3 =</t>
        </is>
      </c>
      <c r="C31" t="inlineStr">
        <is>
          <t>A</t>
        </is>
      </c>
      <c r="D31" t="inlineStr">
        <is>
          <t>11/12</t>
        </is>
      </c>
      <c r="E31" t="inlineStr"/>
    </row>
    <row r="32">
      <c r="A32" t="inlineStr">
        <is>
          <t>Q10B</t>
        </is>
      </c>
      <c r="B32" t="inlineStr">
        <is>
          <t>Q10: 1/4 + 2/3 =</t>
        </is>
      </c>
      <c r="C32" t="inlineStr">
        <is>
          <t>B</t>
        </is>
      </c>
      <c r="D32" t="inlineStr">
        <is>
          <t>3/7</t>
        </is>
      </c>
      <c r="E32" t="inlineStr">
        <is>
          <t>E1</t>
        </is>
      </c>
    </row>
    <row r="33">
      <c r="A33" t="inlineStr">
        <is>
          <t>Q10C</t>
        </is>
      </c>
      <c r="B33" t="inlineStr">
        <is>
          <t>Q10: 1/4 + 2/3 =</t>
        </is>
      </c>
      <c r="C33" t="inlineStr">
        <is>
          <t>C</t>
        </is>
      </c>
      <c r="D33" t="inlineStr">
        <is>
          <t>3/12</t>
        </is>
      </c>
      <c r="E33" t="inlineStr">
        <is>
          <t>OTRO</t>
        </is>
      </c>
    </row>
    <row r="34">
      <c r="A34" t="inlineStr">
        <is>
          <t>Q11A</t>
        </is>
      </c>
      <c r="B34" t="inlineStr">
        <is>
          <t>Q11: x - 5 = 3, entonces x =</t>
        </is>
      </c>
      <c r="C34" t="inlineStr">
        <is>
          <t>A</t>
        </is>
      </c>
      <c r="D34" t="inlineStr">
        <is>
          <t>8</t>
        </is>
      </c>
      <c r="E34" t="inlineStr"/>
    </row>
    <row r="35">
      <c r="A35" t="inlineStr">
        <is>
          <t>Q11B</t>
        </is>
      </c>
      <c r="B35" t="inlineStr">
        <is>
          <t>Q11: x - 5 = 3, entonces x =</t>
        </is>
      </c>
      <c r="C35" t="inlineStr">
        <is>
          <t>B</t>
        </is>
      </c>
      <c r="D35" t="inlineStr">
        <is>
          <t>-2</t>
        </is>
      </c>
      <c r="E35" t="inlineStr">
        <is>
          <t>E5</t>
        </is>
      </c>
    </row>
    <row r="36">
      <c r="A36" t="inlineStr">
        <is>
          <t>Q11C</t>
        </is>
      </c>
      <c r="B36" t="inlineStr">
        <is>
          <t>Q11: x - 5 = 3, entonces x =</t>
        </is>
      </c>
      <c r="C36" t="inlineStr">
        <is>
          <t>C</t>
        </is>
      </c>
      <c r="D36" t="inlineStr">
        <is>
          <t>15</t>
        </is>
      </c>
      <c r="E36" t="inlineStr">
        <is>
          <t>OTRO</t>
        </is>
      </c>
    </row>
    <row r="37">
      <c r="A37" t="inlineStr">
        <is>
          <t>Q12A</t>
        </is>
      </c>
      <c r="B37" t="inlineStr">
        <is>
          <t>Q12: -(3 - x) =</t>
        </is>
      </c>
      <c r="C37" t="inlineStr">
        <is>
          <t>A</t>
        </is>
      </c>
      <c r="D37" t="inlineStr">
        <is>
          <t>-3 + x</t>
        </is>
      </c>
      <c r="E37" t="inlineStr"/>
    </row>
    <row r="38">
      <c r="A38" t="inlineStr">
        <is>
          <t>Q12B</t>
        </is>
      </c>
      <c r="B38" t="inlineStr">
        <is>
          <t>Q12: -(3 - x) =</t>
        </is>
      </c>
      <c r="C38" t="inlineStr">
        <is>
          <t>B</t>
        </is>
      </c>
      <c r="D38" t="inlineStr">
        <is>
          <t>-3 - x</t>
        </is>
      </c>
      <c r="E38" t="inlineStr">
        <is>
          <t>E6</t>
        </is>
      </c>
    </row>
    <row r="39">
      <c r="A39" t="inlineStr">
        <is>
          <t>Q12C</t>
        </is>
      </c>
      <c r="B39" t="inlineStr">
        <is>
          <t>Q12: -(3 - x) =</t>
        </is>
      </c>
      <c r="C39" t="inlineStr">
        <is>
          <t>C</t>
        </is>
      </c>
      <c r="D39" t="inlineStr">
        <is>
          <t>3 - x</t>
        </is>
      </c>
      <c r="E39" t="inlineStr">
        <is>
          <t>OTRO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22" customWidth="1" min="3" max="3"/>
    <col width="12" customWidth="1" min="4" max="4"/>
    <col width="16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4" customWidth="1" min="14" max="14"/>
    <col width="14" customWidth="1" min="15" max="15"/>
    <col width="1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1" t="inlineStr">
        <is>
          <t>DIAGNÓSTICO DE UN GRUPO (datos ficticios de 12 estudiantes: reemplaza las letras por las respuestas reales)</t>
        </is>
      </c>
    </row>
    <row r="2">
      <c r="A2" t="inlineStr">
        <is>
          <t>Escribe A, B o C por pregunta. La hoja convierte cada respuesta en un código de error y cuenta cuántos estudiantes caen en cada error y quiénes repiten el mismo.</t>
        </is>
      </c>
    </row>
    <row r="3">
      <c r="R3" s="4" t="inlineStr">
        <is>
          <t>Códigos de error por pregunta (calculados)</t>
        </is>
      </c>
      <c r="AE3" s="4" t="inlineStr">
        <is>
          <t>Veces que aparece cada código en el estudiante</t>
        </is>
      </c>
    </row>
    <row r="4" ht="40" customHeight="1">
      <c r="A4" s="5" t="inlineStr">
        <is>
          <t>Estudiante</t>
        </is>
      </c>
      <c r="B4" s="5" t="inlineStr">
        <is>
          <t>Q1</t>
        </is>
      </c>
      <c r="C4" s="5" t="inlineStr">
        <is>
          <t>Q2</t>
        </is>
      </c>
      <c r="D4" s="5" t="inlineStr">
        <is>
          <t>Q3</t>
        </is>
      </c>
      <c r="E4" s="5" t="inlineStr">
        <is>
          <t>Q4</t>
        </is>
      </c>
      <c r="F4" s="5" t="inlineStr">
        <is>
          <t>Q5</t>
        </is>
      </c>
      <c r="G4" s="5" t="inlineStr">
        <is>
          <t>Q6</t>
        </is>
      </c>
      <c r="H4" s="5" t="inlineStr">
        <is>
          <t>Q7</t>
        </is>
      </c>
      <c r="I4" s="5" t="inlineStr">
        <is>
          <t>Q8</t>
        </is>
      </c>
      <c r="J4" s="5" t="inlineStr">
        <is>
          <t>Q9</t>
        </is>
      </c>
      <c r="K4" s="5" t="inlineStr">
        <is>
          <t>Q10</t>
        </is>
      </c>
      <c r="L4" s="5" t="inlineStr">
        <is>
          <t>Q11</t>
        </is>
      </c>
      <c r="M4" s="5" t="inlineStr">
        <is>
          <t>Q12</t>
        </is>
      </c>
      <c r="N4" s="5" t="inlineStr">
        <is>
          <t>Errores (total)</t>
        </is>
      </c>
      <c r="O4" s="5" t="inlineStr">
        <is>
          <t>Repite el mismo error</t>
        </is>
      </c>
      <c r="P4" s="5" t="inlineStr">
        <is>
          <t>Error repetido</t>
        </is>
      </c>
      <c r="R4" s="4" t="inlineStr">
        <is>
          <t>Q1</t>
        </is>
      </c>
      <c r="S4" s="4" t="inlineStr">
        <is>
          <t>Q2</t>
        </is>
      </c>
      <c r="T4" s="4" t="inlineStr">
        <is>
          <t>Q3</t>
        </is>
      </c>
      <c r="U4" s="4" t="inlineStr">
        <is>
          <t>Q4</t>
        </is>
      </c>
      <c r="V4" s="4" t="inlineStr">
        <is>
          <t>Q5</t>
        </is>
      </c>
      <c r="W4" s="4" t="inlineStr">
        <is>
          <t>Q6</t>
        </is>
      </c>
      <c r="X4" s="4" t="inlineStr">
        <is>
          <t>Q7</t>
        </is>
      </c>
      <c r="Y4" s="4" t="inlineStr">
        <is>
          <t>Q8</t>
        </is>
      </c>
      <c r="Z4" s="4" t="inlineStr">
        <is>
          <t>Q9</t>
        </is>
      </c>
      <c r="AA4" s="4" t="inlineStr">
        <is>
          <t>Q10</t>
        </is>
      </c>
      <c r="AB4" s="4" t="inlineStr">
        <is>
          <t>Q11</t>
        </is>
      </c>
      <c r="AC4" s="4" t="inlineStr">
        <is>
          <t>Q12</t>
        </is>
      </c>
      <c r="AE4" s="4" t="inlineStr">
        <is>
          <t>E1</t>
        </is>
      </c>
      <c r="AF4" s="4" t="inlineStr">
        <is>
          <t>E2</t>
        </is>
      </c>
      <c r="AG4" s="4" t="inlineStr">
        <is>
          <t>E3</t>
        </is>
      </c>
      <c r="AH4" s="4" t="inlineStr">
        <is>
          <t>E4</t>
        </is>
      </c>
      <c r="AI4" s="4" t="inlineStr">
        <is>
          <t>E5</t>
        </is>
      </c>
      <c r="AJ4" s="4" t="inlineStr">
        <is>
          <t>E6</t>
        </is>
      </c>
      <c r="AK4" s="4" t="inlineStr">
        <is>
          <t>E7</t>
        </is>
      </c>
      <c r="AL4" s="4" t="inlineStr">
        <is>
          <t>E8</t>
        </is>
      </c>
      <c r="AM4" s="4" t="inlineStr">
        <is>
          <t>E10</t>
        </is>
      </c>
    </row>
    <row r="5">
      <c r="A5" t="inlineStr">
        <is>
          <t>E01</t>
        </is>
      </c>
      <c r="B5" s="6" t="inlineStr">
        <is>
          <t>A</t>
        </is>
      </c>
      <c r="C5" s="6" t="inlineStr">
        <is>
          <t>A</t>
        </is>
      </c>
      <c r="D5" s="6" t="inlineStr">
        <is>
          <t>A</t>
        </is>
      </c>
      <c r="E5" s="6" t="inlineStr">
        <is>
          <t>A</t>
        </is>
      </c>
      <c r="F5" s="6" t="inlineStr">
        <is>
          <t>B</t>
        </is>
      </c>
      <c r="G5" s="6" t="inlineStr">
        <is>
          <t>A</t>
        </is>
      </c>
      <c r="H5" s="6" t="inlineStr">
        <is>
          <t>A</t>
        </is>
      </c>
      <c r="I5" s="6" t="inlineStr">
        <is>
          <t>A</t>
        </is>
      </c>
      <c r="J5" s="6" t="inlineStr">
        <is>
          <t>A</t>
        </is>
      </c>
      <c r="K5" s="6" t="inlineStr">
        <is>
          <t>A</t>
        </is>
      </c>
      <c r="L5" s="6" t="inlineStr">
        <is>
          <t>A</t>
        </is>
      </c>
      <c r="M5" s="6" t="inlineStr">
        <is>
          <t>A</t>
        </is>
      </c>
      <c r="N5">
        <f>COUNTIF(R5:AC5,"E*")+COUNTIF(R5:AC5,"OTRO")</f>
        <v/>
      </c>
      <c r="O5">
        <f>IF(MAX(AE5:AM5)&gt;=2,"Sí","No")</f>
        <v/>
      </c>
      <c r="P5">
        <f>IF(MAX(AE5:AM5)&gt;=2,INDEX($AE$4:$AM$4,MATCH(MAX(AE5:AM5),AE5:AM5,0)),"")</f>
        <v/>
      </c>
      <c r="R5">
        <f>IFERROR(VLOOKUP("Q1"&amp;B5,Ejercicios_y_claves!$A$4:$E$39,5,FALSE),"")</f>
        <v/>
      </c>
      <c r="S5">
        <f>IFERROR(VLOOKUP("Q2"&amp;C5,Ejercicios_y_claves!$A$4:$E$39,5,FALSE),"")</f>
        <v/>
      </c>
      <c r="T5">
        <f>IFERROR(VLOOKUP("Q3"&amp;D5,Ejercicios_y_claves!$A$4:$E$39,5,FALSE),"")</f>
        <v/>
      </c>
      <c r="U5">
        <f>IFERROR(VLOOKUP("Q4"&amp;E5,Ejercicios_y_claves!$A$4:$E$39,5,FALSE),"")</f>
        <v/>
      </c>
      <c r="V5">
        <f>IFERROR(VLOOKUP("Q5"&amp;F5,Ejercicios_y_claves!$A$4:$E$39,5,FALSE),"")</f>
        <v/>
      </c>
      <c r="W5">
        <f>IFERROR(VLOOKUP("Q6"&amp;G5,Ejercicios_y_claves!$A$4:$E$39,5,FALSE),"")</f>
        <v/>
      </c>
      <c r="X5">
        <f>IFERROR(VLOOKUP("Q7"&amp;H5,Ejercicios_y_claves!$A$4:$E$39,5,FALSE),"")</f>
        <v/>
      </c>
      <c r="Y5">
        <f>IFERROR(VLOOKUP("Q8"&amp;I5,Ejercicios_y_claves!$A$4:$E$39,5,FALSE),"")</f>
        <v/>
      </c>
      <c r="Z5">
        <f>IFERROR(VLOOKUP("Q9"&amp;J5,Ejercicios_y_claves!$A$4:$E$39,5,FALSE),"")</f>
        <v/>
      </c>
      <c r="AA5">
        <f>IFERROR(VLOOKUP("Q10"&amp;K5,Ejercicios_y_claves!$A$4:$E$39,5,FALSE),"")</f>
        <v/>
      </c>
      <c r="AB5">
        <f>IFERROR(VLOOKUP("Q11"&amp;L5,Ejercicios_y_claves!$A$4:$E$39,5,FALSE),"")</f>
        <v/>
      </c>
      <c r="AC5">
        <f>IFERROR(VLOOKUP("Q12"&amp;M5,Ejercicios_y_claves!$A$4:$E$39,5,FALSE),"")</f>
        <v/>
      </c>
      <c r="AE5">
        <f>COUNTIF(R5:AC5,"E1")</f>
        <v/>
      </c>
      <c r="AF5">
        <f>COUNTIF(R5:AC5,"E2")</f>
        <v/>
      </c>
      <c r="AG5">
        <f>COUNTIF(R5:AC5,"E3")</f>
        <v/>
      </c>
      <c r="AH5">
        <f>COUNTIF(R5:AC5,"E4")</f>
        <v/>
      </c>
      <c r="AI5">
        <f>COUNTIF(R5:AC5,"E5")</f>
        <v/>
      </c>
      <c r="AJ5">
        <f>COUNTIF(R5:AC5,"E6")</f>
        <v/>
      </c>
      <c r="AK5">
        <f>COUNTIF(R5:AC5,"E7")</f>
        <v/>
      </c>
      <c r="AL5">
        <f>COUNTIF(R5:AC5,"E8")</f>
        <v/>
      </c>
      <c r="AM5">
        <f>COUNTIF(R5:AC5,"E10")</f>
        <v/>
      </c>
    </row>
    <row r="6">
      <c r="A6" t="inlineStr">
        <is>
          <t>E02</t>
        </is>
      </c>
      <c r="B6" s="6" t="inlineStr">
        <is>
          <t>B</t>
        </is>
      </c>
      <c r="C6" s="6" t="inlineStr">
        <is>
          <t>B</t>
        </is>
      </c>
      <c r="D6" s="6" t="inlineStr">
        <is>
          <t>A</t>
        </is>
      </c>
      <c r="E6" s="6" t="inlineStr">
        <is>
          <t>A</t>
        </is>
      </c>
      <c r="F6" s="6" t="inlineStr">
        <is>
          <t>A</t>
        </is>
      </c>
      <c r="G6" s="6" t="inlineStr">
        <is>
          <t>A</t>
        </is>
      </c>
      <c r="H6" s="6" t="inlineStr">
        <is>
          <t>A</t>
        </is>
      </c>
      <c r="I6" s="6" t="inlineStr">
        <is>
          <t>A</t>
        </is>
      </c>
      <c r="J6" s="6" t="inlineStr">
        <is>
          <t>B</t>
        </is>
      </c>
      <c r="K6" s="6" t="inlineStr">
        <is>
          <t>A</t>
        </is>
      </c>
      <c r="L6" s="6" t="inlineStr">
        <is>
          <t>A</t>
        </is>
      </c>
      <c r="M6" s="6" t="inlineStr">
        <is>
          <t>A</t>
        </is>
      </c>
      <c r="N6">
        <f>COUNTIF(R6:AC6,"E*")+COUNTIF(R6:AC6,"OTRO")</f>
        <v/>
      </c>
      <c r="O6">
        <f>IF(MAX(AE6:AM6)&gt;=2,"Sí","No")</f>
        <v/>
      </c>
      <c r="P6">
        <f>IF(MAX(AE6:AM6)&gt;=2,INDEX($AE$4:$AM$4,MATCH(MAX(AE6:AM6),AE6:AM6,0)),"")</f>
        <v/>
      </c>
      <c r="R6">
        <f>IFERROR(VLOOKUP("Q1"&amp;B6,Ejercicios_y_claves!$A$4:$E$39,5,FALSE),"")</f>
        <v/>
      </c>
      <c r="S6">
        <f>IFERROR(VLOOKUP("Q2"&amp;C6,Ejercicios_y_claves!$A$4:$E$39,5,FALSE),"")</f>
        <v/>
      </c>
      <c r="T6">
        <f>IFERROR(VLOOKUP("Q3"&amp;D6,Ejercicios_y_claves!$A$4:$E$39,5,FALSE),"")</f>
        <v/>
      </c>
      <c r="U6">
        <f>IFERROR(VLOOKUP("Q4"&amp;E6,Ejercicios_y_claves!$A$4:$E$39,5,FALSE),"")</f>
        <v/>
      </c>
      <c r="V6">
        <f>IFERROR(VLOOKUP("Q5"&amp;F6,Ejercicios_y_claves!$A$4:$E$39,5,FALSE),"")</f>
        <v/>
      </c>
      <c r="W6">
        <f>IFERROR(VLOOKUP("Q6"&amp;G6,Ejercicios_y_claves!$A$4:$E$39,5,FALSE),"")</f>
        <v/>
      </c>
      <c r="X6">
        <f>IFERROR(VLOOKUP("Q7"&amp;H6,Ejercicios_y_claves!$A$4:$E$39,5,FALSE),"")</f>
        <v/>
      </c>
      <c r="Y6">
        <f>IFERROR(VLOOKUP("Q8"&amp;I6,Ejercicios_y_claves!$A$4:$E$39,5,FALSE),"")</f>
        <v/>
      </c>
      <c r="Z6">
        <f>IFERROR(VLOOKUP("Q9"&amp;J6,Ejercicios_y_claves!$A$4:$E$39,5,FALSE),"")</f>
        <v/>
      </c>
      <c r="AA6">
        <f>IFERROR(VLOOKUP("Q10"&amp;K6,Ejercicios_y_claves!$A$4:$E$39,5,FALSE),"")</f>
        <v/>
      </c>
      <c r="AB6">
        <f>IFERROR(VLOOKUP("Q11"&amp;L6,Ejercicios_y_claves!$A$4:$E$39,5,FALSE),"")</f>
        <v/>
      </c>
      <c r="AC6">
        <f>IFERROR(VLOOKUP("Q12"&amp;M6,Ejercicios_y_claves!$A$4:$E$39,5,FALSE),"")</f>
        <v/>
      </c>
      <c r="AE6">
        <f>COUNTIF(R6:AC6,"E1")</f>
        <v/>
      </c>
      <c r="AF6">
        <f>COUNTIF(R6:AC6,"E2")</f>
        <v/>
      </c>
      <c r="AG6">
        <f>COUNTIF(R6:AC6,"E3")</f>
        <v/>
      </c>
      <c r="AH6">
        <f>COUNTIF(R6:AC6,"E4")</f>
        <v/>
      </c>
      <c r="AI6">
        <f>COUNTIF(R6:AC6,"E5")</f>
        <v/>
      </c>
      <c r="AJ6">
        <f>COUNTIF(R6:AC6,"E6")</f>
        <v/>
      </c>
      <c r="AK6">
        <f>COUNTIF(R6:AC6,"E7")</f>
        <v/>
      </c>
      <c r="AL6">
        <f>COUNTIF(R6:AC6,"E8")</f>
        <v/>
      </c>
      <c r="AM6">
        <f>COUNTIF(R6:AC6,"E10")</f>
        <v/>
      </c>
    </row>
    <row r="7">
      <c r="A7" t="inlineStr">
        <is>
          <t>E03</t>
        </is>
      </c>
      <c r="B7" s="6" t="inlineStr">
        <is>
          <t>A</t>
        </is>
      </c>
      <c r="C7" s="6" t="inlineStr">
        <is>
          <t>B</t>
        </is>
      </c>
      <c r="D7" s="6" t="inlineStr">
        <is>
          <t>A</t>
        </is>
      </c>
      <c r="E7" s="6" t="inlineStr">
        <is>
          <t>A</t>
        </is>
      </c>
      <c r="F7" s="6" t="inlineStr">
        <is>
          <t>A</t>
        </is>
      </c>
      <c r="G7" s="6" t="inlineStr">
        <is>
          <t>B</t>
        </is>
      </c>
      <c r="H7" s="6" t="inlineStr">
        <is>
          <t>B</t>
        </is>
      </c>
      <c r="I7" s="6" t="inlineStr">
        <is>
          <t>A</t>
        </is>
      </c>
      <c r="J7" s="6" t="inlineStr">
        <is>
          <t>A</t>
        </is>
      </c>
      <c r="K7" s="6" t="inlineStr">
        <is>
          <t>A</t>
        </is>
      </c>
      <c r="L7" s="6" t="inlineStr">
        <is>
          <t>A</t>
        </is>
      </c>
      <c r="M7" s="6" t="inlineStr">
        <is>
          <t>A</t>
        </is>
      </c>
      <c r="N7">
        <f>COUNTIF(R7:AC7,"E*")+COUNTIF(R7:AC7,"OTRO")</f>
        <v/>
      </c>
      <c r="O7">
        <f>IF(MAX(AE7:AM7)&gt;=2,"Sí","No")</f>
        <v/>
      </c>
      <c r="P7">
        <f>IF(MAX(AE7:AM7)&gt;=2,INDEX($AE$4:$AM$4,MATCH(MAX(AE7:AM7),AE7:AM7,0)),"")</f>
        <v/>
      </c>
      <c r="R7">
        <f>IFERROR(VLOOKUP("Q1"&amp;B7,Ejercicios_y_claves!$A$4:$E$39,5,FALSE),"")</f>
        <v/>
      </c>
      <c r="S7">
        <f>IFERROR(VLOOKUP("Q2"&amp;C7,Ejercicios_y_claves!$A$4:$E$39,5,FALSE),"")</f>
        <v/>
      </c>
      <c r="T7">
        <f>IFERROR(VLOOKUP("Q3"&amp;D7,Ejercicios_y_claves!$A$4:$E$39,5,FALSE),"")</f>
        <v/>
      </c>
      <c r="U7">
        <f>IFERROR(VLOOKUP("Q4"&amp;E7,Ejercicios_y_claves!$A$4:$E$39,5,FALSE),"")</f>
        <v/>
      </c>
      <c r="V7">
        <f>IFERROR(VLOOKUP("Q5"&amp;F7,Ejercicios_y_claves!$A$4:$E$39,5,FALSE),"")</f>
        <v/>
      </c>
      <c r="W7">
        <f>IFERROR(VLOOKUP("Q6"&amp;G7,Ejercicios_y_claves!$A$4:$E$39,5,FALSE),"")</f>
        <v/>
      </c>
      <c r="X7">
        <f>IFERROR(VLOOKUP("Q7"&amp;H7,Ejercicios_y_claves!$A$4:$E$39,5,FALSE),"")</f>
        <v/>
      </c>
      <c r="Y7">
        <f>IFERROR(VLOOKUP("Q8"&amp;I7,Ejercicios_y_claves!$A$4:$E$39,5,FALSE),"")</f>
        <v/>
      </c>
      <c r="Z7">
        <f>IFERROR(VLOOKUP("Q9"&amp;J7,Ejercicios_y_claves!$A$4:$E$39,5,FALSE),"")</f>
        <v/>
      </c>
      <c r="AA7">
        <f>IFERROR(VLOOKUP("Q10"&amp;K7,Ejercicios_y_claves!$A$4:$E$39,5,FALSE),"")</f>
        <v/>
      </c>
      <c r="AB7">
        <f>IFERROR(VLOOKUP("Q11"&amp;L7,Ejercicios_y_claves!$A$4:$E$39,5,FALSE),"")</f>
        <v/>
      </c>
      <c r="AC7">
        <f>IFERROR(VLOOKUP("Q12"&amp;M7,Ejercicios_y_claves!$A$4:$E$39,5,FALSE),"")</f>
        <v/>
      </c>
      <c r="AE7">
        <f>COUNTIF(R7:AC7,"E1")</f>
        <v/>
      </c>
      <c r="AF7">
        <f>COUNTIF(R7:AC7,"E2")</f>
        <v/>
      </c>
      <c r="AG7">
        <f>COUNTIF(R7:AC7,"E3")</f>
        <v/>
      </c>
      <c r="AH7">
        <f>COUNTIF(R7:AC7,"E4")</f>
        <v/>
      </c>
      <c r="AI7">
        <f>COUNTIF(R7:AC7,"E5")</f>
        <v/>
      </c>
      <c r="AJ7">
        <f>COUNTIF(R7:AC7,"E6")</f>
        <v/>
      </c>
      <c r="AK7">
        <f>COUNTIF(R7:AC7,"E7")</f>
        <v/>
      </c>
      <c r="AL7">
        <f>COUNTIF(R7:AC7,"E8")</f>
        <v/>
      </c>
      <c r="AM7">
        <f>COUNTIF(R7:AC7,"E10")</f>
        <v/>
      </c>
    </row>
    <row r="8">
      <c r="A8" t="inlineStr">
        <is>
          <t>E04</t>
        </is>
      </c>
      <c r="B8" s="6" t="inlineStr">
        <is>
          <t>A</t>
        </is>
      </c>
      <c r="C8" s="6" t="inlineStr">
        <is>
          <t>B</t>
        </is>
      </c>
      <c r="D8" s="6" t="inlineStr">
        <is>
          <t>A</t>
        </is>
      </c>
      <c r="E8" s="6" t="inlineStr">
        <is>
          <t>C</t>
        </is>
      </c>
      <c r="F8" s="6" t="inlineStr">
        <is>
          <t>A</t>
        </is>
      </c>
      <c r="G8" s="6" t="inlineStr">
        <is>
          <t>B</t>
        </is>
      </c>
      <c r="H8" s="6" t="inlineStr">
        <is>
          <t>A</t>
        </is>
      </c>
      <c r="I8" s="6" t="inlineStr">
        <is>
          <t>C</t>
        </is>
      </c>
      <c r="J8" s="6" t="inlineStr">
        <is>
          <t>A</t>
        </is>
      </c>
      <c r="K8" s="6" t="inlineStr">
        <is>
          <t>A</t>
        </is>
      </c>
      <c r="L8" s="6" t="inlineStr">
        <is>
          <t>A</t>
        </is>
      </c>
      <c r="M8" s="6" t="inlineStr">
        <is>
          <t>A</t>
        </is>
      </c>
      <c r="N8">
        <f>COUNTIF(R8:AC8,"E*")+COUNTIF(R8:AC8,"OTRO")</f>
        <v/>
      </c>
      <c r="O8">
        <f>IF(MAX(AE8:AM8)&gt;=2,"Sí","No")</f>
        <v/>
      </c>
      <c r="P8">
        <f>IF(MAX(AE8:AM8)&gt;=2,INDEX($AE$4:$AM$4,MATCH(MAX(AE8:AM8),AE8:AM8,0)),"")</f>
        <v/>
      </c>
      <c r="R8">
        <f>IFERROR(VLOOKUP("Q1"&amp;B8,Ejercicios_y_claves!$A$4:$E$39,5,FALSE),"")</f>
        <v/>
      </c>
      <c r="S8">
        <f>IFERROR(VLOOKUP("Q2"&amp;C8,Ejercicios_y_claves!$A$4:$E$39,5,FALSE),"")</f>
        <v/>
      </c>
      <c r="T8">
        <f>IFERROR(VLOOKUP("Q3"&amp;D8,Ejercicios_y_claves!$A$4:$E$39,5,FALSE),"")</f>
        <v/>
      </c>
      <c r="U8">
        <f>IFERROR(VLOOKUP("Q4"&amp;E8,Ejercicios_y_claves!$A$4:$E$39,5,FALSE),"")</f>
        <v/>
      </c>
      <c r="V8">
        <f>IFERROR(VLOOKUP("Q5"&amp;F8,Ejercicios_y_claves!$A$4:$E$39,5,FALSE),"")</f>
        <v/>
      </c>
      <c r="W8">
        <f>IFERROR(VLOOKUP("Q6"&amp;G8,Ejercicios_y_claves!$A$4:$E$39,5,FALSE),"")</f>
        <v/>
      </c>
      <c r="X8">
        <f>IFERROR(VLOOKUP("Q7"&amp;H8,Ejercicios_y_claves!$A$4:$E$39,5,FALSE),"")</f>
        <v/>
      </c>
      <c r="Y8">
        <f>IFERROR(VLOOKUP("Q8"&amp;I8,Ejercicios_y_claves!$A$4:$E$39,5,FALSE),"")</f>
        <v/>
      </c>
      <c r="Z8">
        <f>IFERROR(VLOOKUP("Q9"&amp;J8,Ejercicios_y_claves!$A$4:$E$39,5,FALSE),"")</f>
        <v/>
      </c>
      <c r="AA8">
        <f>IFERROR(VLOOKUP("Q10"&amp;K8,Ejercicios_y_claves!$A$4:$E$39,5,FALSE),"")</f>
        <v/>
      </c>
      <c r="AB8">
        <f>IFERROR(VLOOKUP("Q11"&amp;L8,Ejercicios_y_claves!$A$4:$E$39,5,FALSE),"")</f>
        <v/>
      </c>
      <c r="AC8">
        <f>IFERROR(VLOOKUP("Q12"&amp;M8,Ejercicios_y_claves!$A$4:$E$39,5,FALSE),"")</f>
        <v/>
      </c>
      <c r="AE8">
        <f>COUNTIF(R8:AC8,"E1")</f>
        <v/>
      </c>
      <c r="AF8">
        <f>COUNTIF(R8:AC8,"E2")</f>
        <v/>
      </c>
      <c r="AG8">
        <f>COUNTIF(R8:AC8,"E3")</f>
        <v/>
      </c>
      <c r="AH8">
        <f>COUNTIF(R8:AC8,"E4")</f>
        <v/>
      </c>
      <c r="AI8">
        <f>COUNTIF(R8:AC8,"E5")</f>
        <v/>
      </c>
      <c r="AJ8">
        <f>COUNTIF(R8:AC8,"E6")</f>
        <v/>
      </c>
      <c r="AK8">
        <f>COUNTIF(R8:AC8,"E7")</f>
        <v/>
      </c>
      <c r="AL8">
        <f>COUNTIF(R8:AC8,"E8")</f>
        <v/>
      </c>
      <c r="AM8">
        <f>COUNTIF(R8:AC8,"E10")</f>
        <v/>
      </c>
    </row>
    <row r="9">
      <c r="A9" t="inlineStr">
        <is>
          <t>E05</t>
        </is>
      </c>
      <c r="B9" s="6" t="inlineStr">
        <is>
          <t>A</t>
        </is>
      </c>
      <c r="C9" s="6" t="inlineStr">
        <is>
          <t>B</t>
        </is>
      </c>
      <c r="D9" s="6" t="inlineStr">
        <is>
          <t>A</t>
        </is>
      </c>
      <c r="E9" s="6" t="inlineStr">
        <is>
          <t>A</t>
        </is>
      </c>
      <c r="F9" s="6" t="inlineStr">
        <is>
          <t>B</t>
        </is>
      </c>
      <c r="G9" s="6" t="inlineStr">
        <is>
          <t>B</t>
        </is>
      </c>
      <c r="H9" s="6" t="inlineStr">
        <is>
          <t>A</t>
        </is>
      </c>
      <c r="I9" s="6" t="inlineStr">
        <is>
          <t>A</t>
        </is>
      </c>
      <c r="J9" s="6" t="inlineStr">
        <is>
          <t>A</t>
        </is>
      </c>
      <c r="K9" s="6" t="inlineStr">
        <is>
          <t>A</t>
        </is>
      </c>
      <c r="L9" s="6" t="inlineStr">
        <is>
          <t>A</t>
        </is>
      </c>
      <c r="M9" s="6" t="inlineStr">
        <is>
          <t>B</t>
        </is>
      </c>
      <c r="N9">
        <f>COUNTIF(R9:AC9,"E*")+COUNTIF(R9:AC9,"OTRO")</f>
        <v/>
      </c>
      <c r="O9">
        <f>IF(MAX(AE9:AM9)&gt;=2,"Sí","No")</f>
        <v/>
      </c>
      <c r="P9">
        <f>IF(MAX(AE9:AM9)&gt;=2,INDEX($AE$4:$AM$4,MATCH(MAX(AE9:AM9),AE9:AM9,0)),"")</f>
        <v/>
      </c>
      <c r="R9">
        <f>IFERROR(VLOOKUP("Q1"&amp;B9,Ejercicios_y_claves!$A$4:$E$39,5,FALSE),"")</f>
        <v/>
      </c>
      <c r="S9">
        <f>IFERROR(VLOOKUP("Q2"&amp;C9,Ejercicios_y_claves!$A$4:$E$39,5,FALSE),"")</f>
        <v/>
      </c>
      <c r="T9">
        <f>IFERROR(VLOOKUP("Q3"&amp;D9,Ejercicios_y_claves!$A$4:$E$39,5,FALSE),"")</f>
        <v/>
      </c>
      <c r="U9">
        <f>IFERROR(VLOOKUP("Q4"&amp;E9,Ejercicios_y_claves!$A$4:$E$39,5,FALSE),"")</f>
        <v/>
      </c>
      <c r="V9">
        <f>IFERROR(VLOOKUP("Q5"&amp;F9,Ejercicios_y_claves!$A$4:$E$39,5,FALSE),"")</f>
        <v/>
      </c>
      <c r="W9">
        <f>IFERROR(VLOOKUP("Q6"&amp;G9,Ejercicios_y_claves!$A$4:$E$39,5,FALSE),"")</f>
        <v/>
      </c>
      <c r="X9">
        <f>IFERROR(VLOOKUP("Q7"&amp;H9,Ejercicios_y_claves!$A$4:$E$39,5,FALSE),"")</f>
        <v/>
      </c>
      <c r="Y9">
        <f>IFERROR(VLOOKUP("Q8"&amp;I9,Ejercicios_y_claves!$A$4:$E$39,5,FALSE),"")</f>
        <v/>
      </c>
      <c r="Z9">
        <f>IFERROR(VLOOKUP("Q9"&amp;J9,Ejercicios_y_claves!$A$4:$E$39,5,FALSE),"")</f>
        <v/>
      </c>
      <c r="AA9">
        <f>IFERROR(VLOOKUP("Q10"&amp;K9,Ejercicios_y_claves!$A$4:$E$39,5,FALSE),"")</f>
        <v/>
      </c>
      <c r="AB9">
        <f>IFERROR(VLOOKUP("Q11"&amp;L9,Ejercicios_y_claves!$A$4:$E$39,5,FALSE),"")</f>
        <v/>
      </c>
      <c r="AC9">
        <f>IFERROR(VLOOKUP("Q12"&amp;M9,Ejercicios_y_claves!$A$4:$E$39,5,FALSE),"")</f>
        <v/>
      </c>
      <c r="AE9">
        <f>COUNTIF(R9:AC9,"E1")</f>
        <v/>
      </c>
      <c r="AF9">
        <f>COUNTIF(R9:AC9,"E2")</f>
        <v/>
      </c>
      <c r="AG9">
        <f>COUNTIF(R9:AC9,"E3")</f>
        <v/>
      </c>
      <c r="AH9">
        <f>COUNTIF(R9:AC9,"E4")</f>
        <v/>
      </c>
      <c r="AI9">
        <f>COUNTIF(R9:AC9,"E5")</f>
        <v/>
      </c>
      <c r="AJ9">
        <f>COUNTIF(R9:AC9,"E6")</f>
        <v/>
      </c>
      <c r="AK9">
        <f>COUNTIF(R9:AC9,"E7")</f>
        <v/>
      </c>
      <c r="AL9">
        <f>COUNTIF(R9:AC9,"E8")</f>
        <v/>
      </c>
      <c r="AM9">
        <f>COUNTIF(R9:AC9,"E10")</f>
        <v/>
      </c>
    </row>
    <row r="10">
      <c r="A10" t="inlineStr">
        <is>
          <t>E06</t>
        </is>
      </c>
      <c r="B10" s="6" t="inlineStr">
        <is>
          <t>B</t>
        </is>
      </c>
      <c r="C10" s="6" t="inlineStr">
        <is>
          <t>B</t>
        </is>
      </c>
      <c r="D10" s="6" t="inlineStr">
        <is>
          <t>B</t>
        </is>
      </c>
      <c r="E10" s="6" t="inlineStr">
        <is>
          <t>B</t>
        </is>
      </c>
      <c r="F10" s="6" t="inlineStr">
        <is>
          <t>A</t>
        </is>
      </c>
      <c r="G10" s="6" t="inlineStr">
        <is>
          <t>A</t>
        </is>
      </c>
      <c r="H10" s="6" t="inlineStr">
        <is>
          <t>A</t>
        </is>
      </c>
      <c r="I10" s="6" t="inlineStr">
        <is>
          <t>A</t>
        </is>
      </c>
      <c r="J10" s="6" t="inlineStr">
        <is>
          <t>B</t>
        </is>
      </c>
      <c r="K10" s="6" t="inlineStr">
        <is>
          <t>B</t>
        </is>
      </c>
      <c r="L10" s="6" t="inlineStr">
        <is>
          <t>A</t>
        </is>
      </c>
      <c r="M10" s="6" t="inlineStr">
        <is>
          <t>A</t>
        </is>
      </c>
      <c r="N10">
        <f>COUNTIF(R10:AC10,"E*")+COUNTIF(R10:AC10,"OTRO")</f>
        <v/>
      </c>
      <c r="O10">
        <f>IF(MAX(AE10:AM10)&gt;=2,"Sí","No")</f>
        <v/>
      </c>
      <c r="P10">
        <f>IF(MAX(AE10:AM10)&gt;=2,INDEX($AE$4:$AM$4,MATCH(MAX(AE10:AM10),AE10:AM10,0)),"")</f>
        <v/>
      </c>
      <c r="R10">
        <f>IFERROR(VLOOKUP("Q1"&amp;B10,Ejercicios_y_claves!$A$4:$E$39,5,FALSE),"")</f>
        <v/>
      </c>
      <c r="S10">
        <f>IFERROR(VLOOKUP("Q2"&amp;C10,Ejercicios_y_claves!$A$4:$E$39,5,FALSE),"")</f>
        <v/>
      </c>
      <c r="T10">
        <f>IFERROR(VLOOKUP("Q3"&amp;D10,Ejercicios_y_claves!$A$4:$E$39,5,FALSE),"")</f>
        <v/>
      </c>
      <c r="U10">
        <f>IFERROR(VLOOKUP("Q4"&amp;E10,Ejercicios_y_claves!$A$4:$E$39,5,FALSE),"")</f>
        <v/>
      </c>
      <c r="V10">
        <f>IFERROR(VLOOKUP("Q5"&amp;F10,Ejercicios_y_claves!$A$4:$E$39,5,FALSE),"")</f>
        <v/>
      </c>
      <c r="W10">
        <f>IFERROR(VLOOKUP("Q6"&amp;G10,Ejercicios_y_claves!$A$4:$E$39,5,FALSE),"")</f>
        <v/>
      </c>
      <c r="X10">
        <f>IFERROR(VLOOKUP("Q7"&amp;H10,Ejercicios_y_claves!$A$4:$E$39,5,FALSE),"")</f>
        <v/>
      </c>
      <c r="Y10">
        <f>IFERROR(VLOOKUP("Q8"&amp;I10,Ejercicios_y_claves!$A$4:$E$39,5,FALSE),"")</f>
        <v/>
      </c>
      <c r="Z10">
        <f>IFERROR(VLOOKUP("Q9"&amp;J10,Ejercicios_y_claves!$A$4:$E$39,5,FALSE),"")</f>
        <v/>
      </c>
      <c r="AA10">
        <f>IFERROR(VLOOKUP("Q10"&amp;K10,Ejercicios_y_claves!$A$4:$E$39,5,FALSE),"")</f>
        <v/>
      </c>
      <c r="AB10">
        <f>IFERROR(VLOOKUP("Q11"&amp;L10,Ejercicios_y_claves!$A$4:$E$39,5,FALSE),"")</f>
        <v/>
      </c>
      <c r="AC10">
        <f>IFERROR(VLOOKUP("Q12"&amp;M10,Ejercicios_y_claves!$A$4:$E$39,5,FALSE),"")</f>
        <v/>
      </c>
      <c r="AE10">
        <f>COUNTIF(R10:AC10,"E1")</f>
        <v/>
      </c>
      <c r="AF10">
        <f>COUNTIF(R10:AC10,"E2")</f>
        <v/>
      </c>
      <c r="AG10">
        <f>COUNTIF(R10:AC10,"E3")</f>
        <v/>
      </c>
      <c r="AH10">
        <f>COUNTIF(R10:AC10,"E4")</f>
        <v/>
      </c>
      <c r="AI10">
        <f>COUNTIF(R10:AC10,"E5")</f>
        <v/>
      </c>
      <c r="AJ10">
        <f>COUNTIF(R10:AC10,"E6")</f>
        <v/>
      </c>
      <c r="AK10">
        <f>COUNTIF(R10:AC10,"E7")</f>
        <v/>
      </c>
      <c r="AL10">
        <f>COUNTIF(R10:AC10,"E8")</f>
        <v/>
      </c>
      <c r="AM10">
        <f>COUNTIF(R10:AC10,"E10")</f>
        <v/>
      </c>
    </row>
    <row r="11">
      <c r="A11" t="inlineStr">
        <is>
          <t>E07</t>
        </is>
      </c>
      <c r="B11" s="6" t="inlineStr">
        <is>
          <t>B</t>
        </is>
      </c>
      <c r="C11" s="6" t="inlineStr">
        <is>
          <t>B</t>
        </is>
      </c>
      <c r="D11" s="6" t="inlineStr">
        <is>
          <t>A</t>
        </is>
      </c>
      <c r="E11" s="6" t="inlineStr">
        <is>
          <t>A</t>
        </is>
      </c>
      <c r="F11" s="6" t="inlineStr">
        <is>
          <t>A</t>
        </is>
      </c>
      <c r="G11" s="6" t="inlineStr">
        <is>
          <t>A</t>
        </is>
      </c>
      <c r="H11" s="6" t="inlineStr">
        <is>
          <t>C</t>
        </is>
      </c>
      <c r="I11" s="6" t="inlineStr">
        <is>
          <t>A</t>
        </is>
      </c>
      <c r="J11" s="6" t="inlineStr">
        <is>
          <t>A</t>
        </is>
      </c>
      <c r="K11" s="6" t="inlineStr">
        <is>
          <t>B</t>
        </is>
      </c>
      <c r="L11" s="6" t="inlineStr">
        <is>
          <t>A</t>
        </is>
      </c>
      <c r="M11" s="6" t="inlineStr">
        <is>
          <t>A</t>
        </is>
      </c>
      <c r="N11">
        <f>COUNTIF(R11:AC11,"E*")+COUNTIF(R11:AC11,"OTRO")</f>
        <v/>
      </c>
      <c r="O11">
        <f>IF(MAX(AE11:AM11)&gt;=2,"Sí","No")</f>
        <v/>
      </c>
      <c r="P11">
        <f>IF(MAX(AE11:AM11)&gt;=2,INDEX($AE$4:$AM$4,MATCH(MAX(AE11:AM11),AE11:AM11,0)),"")</f>
        <v/>
      </c>
      <c r="R11">
        <f>IFERROR(VLOOKUP("Q1"&amp;B11,Ejercicios_y_claves!$A$4:$E$39,5,FALSE),"")</f>
        <v/>
      </c>
      <c r="S11">
        <f>IFERROR(VLOOKUP("Q2"&amp;C11,Ejercicios_y_claves!$A$4:$E$39,5,FALSE),"")</f>
        <v/>
      </c>
      <c r="T11">
        <f>IFERROR(VLOOKUP("Q3"&amp;D11,Ejercicios_y_claves!$A$4:$E$39,5,FALSE),"")</f>
        <v/>
      </c>
      <c r="U11">
        <f>IFERROR(VLOOKUP("Q4"&amp;E11,Ejercicios_y_claves!$A$4:$E$39,5,FALSE),"")</f>
        <v/>
      </c>
      <c r="V11">
        <f>IFERROR(VLOOKUP("Q5"&amp;F11,Ejercicios_y_claves!$A$4:$E$39,5,FALSE),"")</f>
        <v/>
      </c>
      <c r="W11">
        <f>IFERROR(VLOOKUP("Q6"&amp;G11,Ejercicios_y_claves!$A$4:$E$39,5,FALSE),"")</f>
        <v/>
      </c>
      <c r="X11">
        <f>IFERROR(VLOOKUP("Q7"&amp;H11,Ejercicios_y_claves!$A$4:$E$39,5,FALSE),"")</f>
        <v/>
      </c>
      <c r="Y11">
        <f>IFERROR(VLOOKUP("Q8"&amp;I11,Ejercicios_y_claves!$A$4:$E$39,5,FALSE),"")</f>
        <v/>
      </c>
      <c r="Z11">
        <f>IFERROR(VLOOKUP("Q9"&amp;J11,Ejercicios_y_claves!$A$4:$E$39,5,FALSE),"")</f>
        <v/>
      </c>
      <c r="AA11">
        <f>IFERROR(VLOOKUP("Q10"&amp;K11,Ejercicios_y_claves!$A$4:$E$39,5,FALSE),"")</f>
        <v/>
      </c>
      <c r="AB11">
        <f>IFERROR(VLOOKUP("Q11"&amp;L11,Ejercicios_y_claves!$A$4:$E$39,5,FALSE),"")</f>
        <v/>
      </c>
      <c r="AC11">
        <f>IFERROR(VLOOKUP("Q12"&amp;M11,Ejercicios_y_claves!$A$4:$E$39,5,FALSE),"")</f>
        <v/>
      </c>
      <c r="AE11">
        <f>COUNTIF(R11:AC11,"E1")</f>
        <v/>
      </c>
      <c r="AF11">
        <f>COUNTIF(R11:AC11,"E2")</f>
        <v/>
      </c>
      <c r="AG11">
        <f>COUNTIF(R11:AC11,"E3")</f>
        <v/>
      </c>
      <c r="AH11">
        <f>COUNTIF(R11:AC11,"E4")</f>
        <v/>
      </c>
      <c r="AI11">
        <f>COUNTIF(R11:AC11,"E5")</f>
        <v/>
      </c>
      <c r="AJ11">
        <f>COUNTIF(R11:AC11,"E6")</f>
        <v/>
      </c>
      <c r="AK11">
        <f>COUNTIF(R11:AC11,"E7")</f>
        <v/>
      </c>
      <c r="AL11">
        <f>COUNTIF(R11:AC11,"E8")</f>
        <v/>
      </c>
      <c r="AM11">
        <f>COUNTIF(R11:AC11,"E10")</f>
        <v/>
      </c>
    </row>
    <row r="12">
      <c r="A12" t="inlineStr">
        <is>
          <t>E08</t>
        </is>
      </c>
      <c r="B12" s="6" t="inlineStr">
        <is>
          <t>B</t>
        </is>
      </c>
      <c r="C12" s="6" t="inlineStr">
        <is>
          <t>A</t>
        </is>
      </c>
      <c r="D12" s="6" t="inlineStr">
        <is>
          <t>A</t>
        </is>
      </c>
      <c r="E12" s="6" t="inlineStr">
        <is>
          <t>A</t>
        </is>
      </c>
      <c r="F12" s="6" t="inlineStr">
        <is>
          <t>A</t>
        </is>
      </c>
      <c r="G12" s="6" t="inlineStr">
        <is>
          <t>A</t>
        </is>
      </c>
      <c r="H12" s="6" t="inlineStr">
        <is>
          <t>A</t>
        </is>
      </c>
      <c r="I12" s="6" t="inlineStr">
        <is>
          <t>A</t>
        </is>
      </c>
      <c r="J12" s="6" t="inlineStr">
        <is>
          <t>A</t>
        </is>
      </c>
      <c r="K12" s="6" t="inlineStr">
        <is>
          <t>B</t>
        </is>
      </c>
      <c r="L12" s="6" t="inlineStr">
        <is>
          <t>A</t>
        </is>
      </c>
      <c r="M12" s="6" t="inlineStr">
        <is>
          <t>A</t>
        </is>
      </c>
      <c r="N12">
        <f>COUNTIF(R12:AC12,"E*")+COUNTIF(R12:AC12,"OTRO")</f>
        <v/>
      </c>
      <c r="O12">
        <f>IF(MAX(AE12:AM12)&gt;=2,"Sí","No")</f>
        <v/>
      </c>
      <c r="P12">
        <f>IF(MAX(AE12:AM12)&gt;=2,INDEX($AE$4:$AM$4,MATCH(MAX(AE12:AM12),AE12:AM12,0)),"")</f>
        <v/>
      </c>
      <c r="R12">
        <f>IFERROR(VLOOKUP("Q1"&amp;B12,Ejercicios_y_claves!$A$4:$E$39,5,FALSE),"")</f>
        <v/>
      </c>
      <c r="S12">
        <f>IFERROR(VLOOKUP("Q2"&amp;C12,Ejercicios_y_claves!$A$4:$E$39,5,FALSE),"")</f>
        <v/>
      </c>
      <c r="T12">
        <f>IFERROR(VLOOKUP("Q3"&amp;D12,Ejercicios_y_claves!$A$4:$E$39,5,FALSE),"")</f>
        <v/>
      </c>
      <c r="U12">
        <f>IFERROR(VLOOKUP("Q4"&amp;E12,Ejercicios_y_claves!$A$4:$E$39,5,FALSE),"")</f>
        <v/>
      </c>
      <c r="V12">
        <f>IFERROR(VLOOKUP("Q5"&amp;F12,Ejercicios_y_claves!$A$4:$E$39,5,FALSE),"")</f>
        <v/>
      </c>
      <c r="W12">
        <f>IFERROR(VLOOKUP("Q6"&amp;G12,Ejercicios_y_claves!$A$4:$E$39,5,FALSE),"")</f>
        <v/>
      </c>
      <c r="X12">
        <f>IFERROR(VLOOKUP("Q7"&amp;H12,Ejercicios_y_claves!$A$4:$E$39,5,FALSE),"")</f>
        <v/>
      </c>
      <c r="Y12">
        <f>IFERROR(VLOOKUP("Q8"&amp;I12,Ejercicios_y_claves!$A$4:$E$39,5,FALSE),"")</f>
        <v/>
      </c>
      <c r="Z12">
        <f>IFERROR(VLOOKUP("Q9"&amp;J12,Ejercicios_y_claves!$A$4:$E$39,5,FALSE),"")</f>
        <v/>
      </c>
      <c r="AA12">
        <f>IFERROR(VLOOKUP("Q10"&amp;K12,Ejercicios_y_claves!$A$4:$E$39,5,FALSE),"")</f>
        <v/>
      </c>
      <c r="AB12">
        <f>IFERROR(VLOOKUP("Q11"&amp;L12,Ejercicios_y_claves!$A$4:$E$39,5,FALSE),"")</f>
        <v/>
      </c>
      <c r="AC12">
        <f>IFERROR(VLOOKUP("Q12"&amp;M12,Ejercicios_y_claves!$A$4:$E$39,5,FALSE),"")</f>
        <v/>
      </c>
      <c r="AE12">
        <f>COUNTIF(R12:AC12,"E1")</f>
        <v/>
      </c>
      <c r="AF12">
        <f>COUNTIF(R12:AC12,"E2")</f>
        <v/>
      </c>
      <c r="AG12">
        <f>COUNTIF(R12:AC12,"E3")</f>
        <v/>
      </c>
      <c r="AH12">
        <f>COUNTIF(R12:AC12,"E4")</f>
        <v/>
      </c>
      <c r="AI12">
        <f>COUNTIF(R12:AC12,"E5")</f>
        <v/>
      </c>
      <c r="AJ12">
        <f>COUNTIF(R12:AC12,"E6")</f>
        <v/>
      </c>
      <c r="AK12">
        <f>COUNTIF(R12:AC12,"E7")</f>
        <v/>
      </c>
      <c r="AL12">
        <f>COUNTIF(R12:AC12,"E8")</f>
        <v/>
      </c>
      <c r="AM12">
        <f>COUNTIF(R12:AC12,"E10")</f>
        <v/>
      </c>
    </row>
    <row r="13">
      <c r="A13" t="inlineStr">
        <is>
          <t>E09</t>
        </is>
      </c>
      <c r="B13" s="6" t="inlineStr">
        <is>
          <t>A</t>
        </is>
      </c>
      <c r="C13" s="6" t="inlineStr">
        <is>
          <t>B</t>
        </is>
      </c>
      <c r="D13" s="6" t="inlineStr">
        <is>
          <t>B</t>
        </is>
      </c>
      <c r="E13" s="6" t="inlineStr">
        <is>
          <t>A</t>
        </is>
      </c>
      <c r="F13" s="6" t="inlineStr">
        <is>
          <t>A</t>
        </is>
      </c>
      <c r="G13" s="6" t="inlineStr">
        <is>
          <t>A</t>
        </is>
      </c>
      <c r="H13" s="6" t="inlineStr">
        <is>
          <t>A</t>
        </is>
      </c>
      <c r="I13" s="6" t="inlineStr">
        <is>
          <t>A</t>
        </is>
      </c>
      <c r="J13" s="6" t="inlineStr">
        <is>
          <t>B</t>
        </is>
      </c>
      <c r="K13" s="6" t="inlineStr">
        <is>
          <t>A</t>
        </is>
      </c>
      <c r="L13" s="6" t="inlineStr">
        <is>
          <t>A</t>
        </is>
      </c>
      <c r="M13" s="6" t="inlineStr">
        <is>
          <t>A</t>
        </is>
      </c>
      <c r="N13">
        <f>COUNTIF(R13:AC13,"E*")+COUNTIF(R13:AC13,"OTRO")</f>
        <v/>
      </c>
      <c r="O13">
        <f>IF(MAX(AE13:AM13)&gt;=2,"Sí","No")</f>
        <v/>
      </c>
      <c r="P13">
        <f>IF(MAX(AE13:AM13)&gt;=2,INDEX($AE$4:$AM$4,MATCH(MAX(AE13:AM13),AE13:AM13,0)),"")</f>
        <v/>
      </c>
      <c r="R13">
        <f>IFERROR(VLOOKUP("Q1"&amp;B13,Ejercicios_y_claves!$A$4:$E$39,5,FALSE),"")</f>
        <v/>
      </c>
      <c r="S13">
        <f>IFERROR(VLOOKUP("Q2"&amp;C13,Ejercicios_y_claves!$A$4:$E$39,5,FALSE),"")</f>
        <v/>
      </c>
      <c r="T13">
        <f>IFERROR(VLOOKUP("Q3"&amp;D13,Ejercicios_y_claves!$A$4:$E$39,5,FALSE),"")</f>
        <v/>
      </c>
      <c r="U13">
        <f>IFERROR(VLOOKUP("Q4"&amp;E13,Ejercicios_y_claves!$A$4:$E$39,5,FALSE),"")</f>
        <v/>
      </c>
      <c r="V13">
        <f>IFERROR(VLOOKUP("Q5"&amp;F13,Ejercicios_y_claves!$A$4:$E$39,5,FALSE),"")</f>
        <v/>
      </c>
      <c r="W13">
        <f>IFERROR(VLOOKUP("Q6"&amp;G13,Ejercicios_y_claves!$A$4:$E$39,5,FALSE),"")</f>
        <v/>
      </c>
      <c r="X13">
        <f>IFERROR(VLOOKUP("Q7"&amp;H13,Ejercicios_y_claves!$A$4:$E$39,5,FALSE),"")</f>
        <v/>
      </c>
      <c r="Y13">
        <f>IFERROR(VLOOKUP("Q8"&amp;I13,Ejercicios_y_claves!$A$4:$E$39,5,FALSE),"")</f>
        <v/>
      </c>
      <c r="Z13">
        <f>IFERROR(VLOOKUP("Q9"&amp;J13,Ejercicios_y_claves!$A$4:$E$39,5,FALSE),"")</f>
        <v/>
      </c>
      <c r="AA13">
        <f>IFERROR(VLOOKUP("Q10"&amp;K13,Ejercicios_y_claves!$A$4:$E$39,5,FALSE),"")</f>
        <v/>
      </c>
      <c r="AB13">
        <f>IFERROR(VLOOKUP("Q11"&amp;L13,Ejercicios_y_claves!$A$4:$E$39,5,FALSE),"")</f>
        <v/>
      </c>
      <c r="AC13">
        <f>IFERROR(VLOOKUP("Q12"&amp;M13,Ejercicios_y_claves!$A$4:$E$39,5,FALSE),"")</f>
        <v/>
      </c>
      <c r="AE13">
        <f>COUNTIF(R13:AC13,"E1")</f>
        <v/>
      </c>
      <c r="AF13">
        <f>COUNTIF(R13:AC13,"E2")</f>
        <v/>
      </c>
      <c r="AG13">
        <f>COUNTIF(R13:AC13,"E3")</f>
        <v/>
      </c>
      <c r="AH13">
        <f>COUNTIF(R13:AC13,"E4")</f>
        <v/>
      </c>
      <c r="AI13">
        <f>COUNTIF(R13:AC13,"E5")</f>
        <v/>
      </c>
      <c r="AJ13">
        <f>COUNTIF(R13:AC13,"E6")</f>
        <v/>
      </c>
      <c r="AK13">
        <f>COUNTIF(R13:AC13,"E7")</f>
        <v/>
      </c>
      <c r="AL13">
        <f>COUNTIF(R13:AC13,"E8")</f>
        <v/>
      </c>
      <c r="AM13">
        <f>COUNTIF(R13:AC13,"E10")</f>
        <v/>
      </c>
    </row>
    <row r="14">
      <c r="A14" t="inlineStr">
        <is>
          <t>E10</t>
        </is>
      </c>
      <c r="B14" s="6" t="inlineStr">
        <is>
          <t>C</t>
        </is>
      </c>
      <c r="C14" s="6" t="inlineStr">
        <is>
          <t>B</t>
        </is>
      </c>
      <c r="D14" s="6" t="inlineStr">
        <is>
          <t>B</t>
        </is>
      </c>
      <c r="E14" s="6" t="inlineStr">
        <is>
          <t>A</t>
        </is>
      </c>
      <c r="F14" s="6" t="inlineStr">
        <is>
          <t>A</t>
        </is>
      </c>
      <c r="G14" s="6" t="inlineStr">
        <is>
          <t>A</t>
        </is>
      </c>
      <c r="H14" s="6" t="inlineStr">
        <is>
          <t>A</t>
        </is>
      </c>
      <c r="I14" s="6" t="inlineStr">
        <is>
          <t>A</t>
        </is>
      </c>
      <c r="J14" s="6" t="inlineStr">
        <is>
          <t>A</t>
        </is>
      </c>
      <c r="K14" s="6" t="inlineStr">
        <is>
          <t>A</t>
        </is>
      </c>
      <c r="L14" s="6" t="inlineStr">
        <is>
          <t>A</t>
        </is>
      </c>
      <c r="M14" s="6" t="inlineStr">
        <is>
          <t>A</t>
        </is>
      </c>
      <c r="N14">
        <f>COUNTIF(R14:AC14,"E*")+COUNTIF(R14:AC14,"OTRO")</f>
        <v/>
      </c>
      <c r="O14">
        <f>IF(MAX(AE14:AM14)&gt;=2,"Sí","No")</f>
        <v/>
      </c>
      <c r="P14">
        <f>IF(MAX(AE14:AM14)&gt;=2,INDEX($AE$4:$AM$4,MATCH(MAX(AE14:AM14),AE14:AM14,0)),"")</f>
        <v/>
      </c>
      <c r="R14">
        <f>IFERROR(VLOOKUP("Q1"&amp;B14,Ejercicios_y_claves!$A$4:$E$39,5,FALSE),"")</f>
        <v/>
      </c>
      <c r="S14">
        <f>IFERROR(VLOOKUP("Q2"&amp;C14,Ejercicios_y_claves!$A$4:$E$39,5,FALSE),"")</f>
        <v/>
      </c>
      <c r="T14">
        <f>IFERROR(VLOOKUP("Q3"&amp;D14,Ejercicios_y_claves!$A$4:$E$39,5,FALSE),"")</f>
        <v/>
      </c>
      <c r="U14">
        <f>IFERROR(VLOOKUP("Q4"&amp;E14,Ejercicios_y_claves!$A$4:$E$39,5,FALSE),"")</f>
        <v/>
      </c>
      <c r="V14">
        <f>IFERROR(VLOOKUP("Q5"&amp;F14,Ejercicios_y_claves!$A$4:$E$39,5,FALSE),"")</f>
        <v/>
      </c>
      <c r="W14">
        <f>IFERROR(VLOOKUP("Q6"&amp;G14,Ejercicios_y_claves!$A$4:$E$39,5,FALSE),"")</f>
        <v/>
      </c>
      <c r="X14">
        <f>IFERROR(VLOOKUP("Q7"&amp;H14,Ejercicios_y_claves!$A$4:$E$39,5,FALSE),"")</f>
        <v/>
      </c>
      <c r="Y14">
        <f>IFERROR(VLOOKUP("Q8"&amp;I14,Ejercicios_y_claves!$A$4:$E$39,5,FALSE),"")</f>
        <v/>
      </c>
      <c r="Z14">
        <f>IFERROR(VLOOKUP("Q9"&amp;J14,Ejercicios_y_claves!$A$4:$E$39,5,FALSE),"")</f>
        <v/>
      </c>
      <c r="AA14">
        <f>IFERROR(VLOOKUP("Q10"&amp;K14,Ejercicios_y_claves!$A$4:$E$39,5,FALSE),"")</f>
        <v/>
      </c>
      <c r="AB14">
        <f>IFERROR(VLOOKUP("Q11"&amp;L14,Ejercicios_y_claves!$A$4:$E$39,5,FALSE),"")</f>
        <v/>
      </c>
      <c r="AC14">
        <f>IFERROR(VLOOKUP("Q12"&amp;M14,Ejercicios_y_claves!$A$4:$E$39,5,FALSE),"")</f>
        <v/>
      </c>
      <c r="AE14">
        <f>COUNTIF(R14:AC14,"E1")</f>
        <v/>
      </c>
      <c r="AF14">
        <f>COUNTIF(R14:AC14,"E2")</f>
        <v/>
      </c>
      <c r="AG14">
        <f>COUNTIF(R14:AC14,"E3")</f>
        <v/>
      </c>
      <c r="AH14">
        <f>COUNTIF(R14:AC14,"E4")</f>
        <v/>
      </c>
      <c r="AI14">
        <f>COUNTIF(R14:AC14,"E5")</f>
        <v/>
      </c>
      <c r="AJ14">
        <f>COUNTIF(R14:AC14,"E6")</f>
        <v/>
      </c>
      <c r="AK14">
        <f>COUNTIF(R14:AC14,"E7")</f>
        <v/>
      </c>
      <c r="AL14">
        <f>COUNTIF(R14:AC14,"E8")</f>
        <v/>
      </c>
      <c r="AM14">
        <f>COUNTIF(R14:AC14,"E10")</f>
        <v/>
      </c>
    </row>
    <row r="15">
      <c r="A15" t="inlineStr">
        <is>
          <t>E11</t>
        </is>
      </c>
      <c r="B15" s="6" t="inlineStr">
        <is>
          <t>A</t>
        </is>
      </c>
      <c r="C15" s="6" t="inlineStr">
        <is>
          <t>A</t>
        </is>
      </c>
      <c r="D15" s="6" t="inlineStr">
        <is>
          <t>A</t>
        </is>
      </c>
      <c r="E15" s="6" t="inlineStr">
        <is>
          <t>A</t>
        </is>
      </c>
      <c r="F15" s="6" t="inlineStr">
        <is>
          <t>A</t>
        </is>
      </c>
      <c r="G15" s="6" t="inlineStr">
        <is>
          <t>A</t>
        </is>
      </c>
      <c r="H15" s="6" t="inlineStr">
        <is>
          <t>B</t>
        </is>
      </c>
      <c r="I15" s="6" t="inlineStr">
        <is>
          <t>A</t>
        </is>
      </c>
      <c r="J15" s="6" t="inlineStr">
        <is>
          <t>A</t>
        </is>
      </c>
      <c r="K15" s="6" t="inlineStr">
        <is>
          <t>A</t>
        </is>
      </c>
      <c r="L15" s="6" t="inlineStr">
        <is>
          <t>A</t>
        </is>
      </c>
      <c r="M15" s="6" t="inlineStr">
        <is>
          <t>A</t>
        </is>
      </c>
      <c r="N15">
        <f>COUNTIF(R15:AC15,"E*")+COUNTIF(R15:AC15,"OTRO")</f>
        <v/>
      </c>
      <c r="O15">
        <f>IF(MAX(AE15:AM15)&gt;=2,"Sí","No")</f>
        <v/>
      </c>
      <c r="P15">
        <f>IF(MAX(AE15:AM15)&gt;=2,INDEX($AE$4:$AM$4,MATCH(MAX(AE15:AM15),AE15:AM15,0)),"")</f>
        <v/>
      </c>
      <c r="R15">
        <f>IFERROR(VLOOKUP("Q1"&amp;B15,Ejercicios_y_claves!$A$4:$E$39,5,FALSE),"")</f>
        <v/>
      </c>
      <c r="S15">
        <f>IFERROR(VLOOKUP("Q2"&amp;C15,Ejercicios_y_claves!$A$4:$E$39,5,FALSE),"")</f>
        <v/>
      </c>
      <c r="T15">
        <f>IFERROR(VLOOKUP("Q3"&amp;D15,Ejercicios_y_claves!$A$4:$E$39,5,FALSE),"")</f>
        <v/>
      </c>
      <c r="U15">
        <f>IFERROR(VLOOKUP("Q4"&amp;E15,Ejercicios_y_claves!$A$4:$E$39,5,FALSE),"")</f>
        <v/>
      </c>
      <c r="V15">
        <f>IFERROR(VLOOKUP("Q5"&amp;F15,Ejercicios_y_claves!$A$4:$E$39,5,FALSE),"")</f>
        <v/>
      </c>
      <c r="W15">
        <f>IFERROR(VLOOKUP("Q6"&amp;G15,Ejercicios_y_claves!$A$4:$E$39,5,FALSE),"")</f>
        <v/>
      </c>
      <c r="X15">
        <f>IFERROR(VLOOKUP("Q7"&amp;H15,Ejercicios_y_claves!$A$4:$E$39,5,FALSE),"")</f>
        <v/>
      </c>
      <c r="Y15">
        <f>IFERROR(VLOOKUP("Q8"&amp;I15,Ejercicios_y_claves!$A$4:$E$39,5,FALSE),"")</f>
        <v/>
      </c>
      <c r="Z15">
        <f>IFERROR(VLOOKUP("Q9"&amp;J15,Ejercicios_y_claves!$A$4:$E$39,5,FALSE),"")</f>
        <v/>
      </c>
      <c r="AA15">
        <f>IFERROR(VLOOKUP("Q10"&amp;K15,Ejercicios_y_claves!$A$4:$E$39,5,FALSE),"")</f>
        <v/>
      </c>
      <c r="AB15">
        <f>IFERROR(VLOOKUP("Q11"&amp;L15,Ejercicios_y_claves!$A$4:$E$39,5,FALSE),"")</f>
        <v/>
      </c>
      <c r="AC15">
        <f>IFERROR(VLOOKUP("Q12"&amp;M15,Ejercicios_y_claves!$A$4:$E$39,5,FALSE),"")</f>
        <v/>
      </c>
      <c r="AE15">
        <f>COUNTIF(R15:AC15,"E1")</f>
        <v/>
      </c>
      <c r="AF15">
        <f>COUNTIF(R15:AC15,"E2")</f>
        <v/>
      </c>
      <c r="AG15">
        <f>COUNTIF(R15:AC15,"E3")</f>
        <v/>
      </c>
      <c r="AH15">
        <f>COUNTIF(R15:AC15,"E4")</f>
        <v/>
      </c>
      <c r="AI15">
        <f>COUNTIF(R15:AC15,"E5")</f>
        <v/>
      </c>
      <c r="AJ15">
        <f>COUNTIF(R15:AC15,"E6")</f>
        <v/>
      </c>
      <c r="AK15">
        <f>COUNTIF(R15:AC15,"E7")</f>
        <v/>
      </c>
      <c r="AL15">
        <f>COUNTIF(R15:AC15,"E8")</f>
        <v/>
      </c>
      <c r="AM15">
        <f>COUNTIF(R15:AC15,"E10")</f>
        <v/>
      </c>
    </row>
    <row r="16">
      <c r="A16" t="inlineStr">
        <is>
          <t>E12</t>
        </is>
      </c>
      <c r="B16" s="6" t="inlineStr">
        <is>
          <t>A</t>
        </is>
      </c>
      <c r="C16" s="6" t="inlineStr">
        <is>
          <t>B</t>
        </is>
      </c>
      <c r="D16" s="6" t="inlineStr">
        <is>
          <t>A</t>
        </is>
      </c>
      <c r="E16" s="6" t="inlineStr">
        <is>
          <t>A</t>
        </is>
      </c>
      <c r="F16" s="6" t="inlineStr">
        <is>
          <t>B</t>
        </is>
      </c>
      <c r="G16" s="6" t="inlineStr">
        <is>
          <t>C</t>
        </is>
      </c>
      <c r="H16" s="6" t="inlineStr">
        <is>
          <t>A</t>
        </is>
      </c>
      <c r="I16" s="6" t="inlineStr">
        <is>
          <t>A</t>
        </is>
      </c>
      <c r="J16" s="6" t="inlineStr">
        <is>
          <t>A</t>
        </is>
      </c>
      <c r="K16" s="6" t="inlineStr">
        <is>
          <t>B</t>
        </is>
      </c>
      <c r="L16" s="6" t="inlineStr">
        <is>
          <t>B</t>
        </is>
      </c>
      <c r="M16" s="6" t="inlineStr">
        <is>
          <t>A</t>
        </is>
      </c>
      <c r="N16">
        <f>COUNTIF(R16:AC16,"E*")+COUNTIF(R16:AC16,"OTRO")</f>
        <v/>
      </c>
      <c r="O16">
        <f>IF(MAX(AE16:AM16)&gt;=2,"Sí","No")</f>
        <v/>
      </c>
      <c r="P16">
        <f>IF(MAX(AE16:AM16)&gt;=2,INDEX($AE$4:$AM$4,MATCH(MAX(AE16:AM16),AE16:AM16,0)),"")</f>
        <v/>
      </c>
      <c r="R16">
        <f>IFERROR(VLOOKUP("Q1"&amp;B16,Ejercicios_y_claves!$A$4:$E$39,5,FALSE),"")</f>
        <v/>
      </c>
      <c r="S16">
        <f>IFERROR(VLOOKUP("Q2"&amp;C16,Ejercicios_y_claves!$A$4:$E$39,5,FALSE),"")</f>
        <v/>
      </c>
      <c r="T16">
        <f>IFERROR(VLOOKUP("Q3"&amp;D16,Ejercicios_y_claves!$A$4:$E$39,5,FALSE),"")</f>
        <v/>
      </c>
      <c r="U16">
        <f>IFERROR(VLOOKUP("Q4"&amp;E16,Ejercicios_y_claves!$A$4:$E$39,5,FALSE),"")</f>
        <v/>
      </c>
      <c r="V16">
        <f>IFERROR(VLOOKUP("Q5"&amp;F16,Ejercicios_y_claves!$A$4:$E$39,5,FALSE),"")</f>
        <v/>
      </c>
      <c r="W16">
        <f>IFERROR(VLOOKUP("Q6"&amp;G16,Ejercicios_y_claves!$A$4:$E$39,5,FALSE),"")</f>
        <v/>
      </c>
      <c r="X16">
        <f>IFERROR(VLOOKUP("Q7"&amp;H16,Ejercicios_y_claves!$A$4:$E$39,5,FALSE),"")</f>
        <v/>
      </c>
      <c r="Y16">
        <f>IFERROR(VLOOKUP("Q8"&amp;I16,Ejercicios_y_claves!$A$4:$E$39,5,FALSE),"")</f>
        <v/>
      </c>
      <c r="Z16">
        <f>IFERROR(VLOOKUP("Q9"&amp;J16,Ejercicios_y_claves!$A$4:$E$39,5,FALSE),"")</f>
        <v/>
      </c>
      <c r="AA16">
        <f>IFERROR(VLOOKUP("Q10"&amp;K16,Ejercicios_y_claves!$A$4:$E$39,5,FALSE),"")</f>
        <v/>
      </c>
      <c r="AB16">
        <f>IFERROR(VLOOKUP("Q11"&amp;L16,Ejercicios_y_claves!$A$4:$E$39,5,FALSE),"")</f>
        <v/>
      </c>
      <c r="AC16">
        <f>IFERROR(VLOOKUP("Q12"&amp;M16,Ejercicios_y_claves!$A$4:$E$39,5,FALSE),"")</f>
        <v/>
      </c>
      <c r="AE16">
        <f>COUNTIF(R16:AC16,"E1")</f>
        <v/>
      </c>
      <c r="AF16">
        <f>COUNTIF(R16:AC16,"E2")</f>
        <v/>
      </c>
      <c r="AG16">
        <f>COUNTIF(R16:AC16,"E3")</f>
        <v/>
      </c>
      <c r="AH16">
        <f>COUNTIF(R16:AC16,"E4")</f>
        <v/>
      </c>
      <c r="AI16">
        <f>COUNTIF(R16:AC16,"E5")</f>
        <v/>
      </c>
      <c r="AJ16">
        <f>COUNTIF(R16:AC16,"E6")</f>
        <v/>
      </c>
      <c r="AK16">
        <f>COUNTIF(R16:AC16,"E7")</f>
        <v/>
      </c>
      <c r="AL16">
        <f>COUNTIF(R16:AC16,"E8")</f>
        <v/>
      </c>
      <c r="AM16">
        <f>COUNTIF(R16:AC16,"E10")</f>
        <v/>
      </c>
    </row>
    <row r="19">
      <c r="A19" s="4" t="inlineStr">
        <is>
          <t>RESUMEN POR ERROR</t>
        </is>
      </c>
    </row>
    <row r="20">
      <c r="A20" s="5" t="inlineStr">
        <is>
          <t>Código</t>
        </is>
      </c>
      <c r="B20" s="5" t="inlineStr">
        <is>
          <t>Error</t>
        </is>
      </c>
      <c r="C20" s="5" t="inlineStr">
        <is>
          <t>Estudiantes con ese error (al menos una vez)</t>
        </is>
      </c>
      <c r="D20" s="5" t="inlineStr">
        <is>
          <t>% del grupo</t>
        </is>
      </c>
      <c r="E20" s="5" t="inlineStr">
        <is>
          <t>Veces que apareció</t>
        </is>
      </c>
    </row>
    <row r="21">
      <c r="A21" t="inlineStr">
        <is>
          <t>E1</t>
        </is>
      </c>
      <c r="B21" t="inlineStr">
        <is>
          <t>Suma numeradores y denominadores</t>
        </is>
      </c>
      <c r="C21">
        <f>COUNTIF(AE5:AE16,"&gt;0")</f>
        <v/>
      </c>
      <c r="D21" s="7">
        <f>C21/COUNTA($A$5:$A$16)</f>
        <v/>
      </c>
      <c r="E21">
        <f>SUM(AE5:AE16)</f>
        <v/>
      </c>
    </row>
    <row r="22">
      <c r="A22" t="inlineStr">
        <is>
          <t>E2</t>
        </is>
      </c>
      <c r="B22" t="inlineStr">
        <is>
          <t>Decimales: más cifras, mayor valor</t>
        </is>
      </c>
      <c r="C22">
        <f>COUNTIF(AF5:AF16,"&gt;0")</f>
        <v/>
      </c>
      <c r="D22" s="7">
        <f>C22/COUNTA($A$5:$A$16)</f>
        <v/>
      </c>
      <c r="E22">
        <f>SUM(AF5:AF16)</f>
        <v/>
      </c>
    </row>
    <row r="23">
      <c r="A23" t="inlineStr">
        <is>
          <t>E3</t>
        </is>
      </c>
      <c r="B23" t="inlineStr">
        <is>
          <t>Multiplicar siempre agranda</t>
        </is>
      </c>
      <c r="C23">
        <f>COUNTIF(AG5:AG16,"&gt;0")</f>
        <v/>
      </c>
      <c r="D23" s="7">
        <f>C23/COUNTA($A$5:$A$16)</f>
        <v/>
      </c>
      <c r="E23">
        <f>SUM(AG5:AG16)</f>
        <v/>
      </c>
    </row>
    <row r="24">
      <c r="A24" t="inlineStr">
        <is>
          <t>E4</t>
        </is>
      </c>
      <c r="B24" t="inlineStr">
        <is>
          <t>Signo igual como "da"</t>
        </is>
      </c>
      <c r="C24">
        <f>COUNTIF(AH5:AH16,"&gt;0")</f>
        <v/>
      </c>
      <c r="D24" s="7">
        <f>C24/COUNTA($A$5:$A$16)</f>
        <v/>
      </c>
      <c r="E24">
        <f>SUM(AH5:AH16)</f>
        <v/>
      </c>
    </row>
    <row r="25">
      <c r="A25" t="inlineStr">
        <is>
          <t>E5</t>
        </is>
      </c>
      <c r="B25" t="inlineStr">
        <is>
          <t>Cambio de signo mal hecho</t>
        </is>
      </c>
      <c r="C25">
        <f>COUNTIF(AI5:AI16,"&gt;0")</f>
        <v/>
      </c>
      <c r="D25" s="7">
        <f>C25/COUNTA($A$5:$A$16)</f>
        <v/>
      </c>
      <c r="E25">
        <f>SUM(AI5:AI16)</f>
        <v/>
      </c>
    </row>
    <row r="26">
      <c r="A26" t="inlineStr">
        <is>
          <t>E6</t>
        </is>
      </c>
      <c r="B26" t="inlineStr">
        <is>
          <t>Distribución del signo negativo</t>
        </is>
      </c>
      <c r="C26">
        <f>COUNTIF(AJ5:AJ16,"&gt;0")</f>
        <v/>
      </c>
      <c r="D26" s="7">
        <f>C26/COUNTA($A$5:$A$16)</f>
        <v/>
      </c>
      <c r="E26">
        <f>SUM(AJ5:AJ16)</f>
        <v/>
      </c>
    </row>
    <row r="27">
      <c r="A27" t="inlineStr">
        <is>
          <t>E7</t>
        </is>
      </c>
      <c r="B27" t="inlineStr">
        <is>
          <t>Cuadrado de una suma</t>
        </is>
      </c>
      <c r="C27">
        <f>COUNTIF(AK5:AK16,"&gt;0")</f>
        <v/>
      </c>
      <c r="D27" s="7">
        <f>C27/COUNTA($A$5:$A$16)</f>
        <v/>
      </c>
      <c r="E27">
        <f>SUM(AK5:AK16)</f>
        <v/>
      </c>
    </row>
    <row r="28">
      <c r="A28" t="inlineStr">
        <is>
          <t>E8</t>
        </is>
      </c>
      <c r="B28" t="inlineStr">
        <is>
          <t>Cancelar términos, no factores</t>
        </is>
      </c>
      <c r="C28">
        <f>COUNTIF(AL5:AL16,"&gt;0")</f>
        <v/>
      </c>
      <c r="D28" s="7">
        <f>C28/COUNTA($A$5:$A$16)</f>
        <v/>
      </c>
      <c r="E28">
        <f>SUM(AL5:AL16)</f>
        <v/>
      </c>
    </row>
    <row r="29">
      <c r="A29" t="inlineStr">
        <is>
          <t>E10</t>
        </is>
      </c>
      <c r="B29" t="inlineStr">
        <is>
          <t>Porcentajes que se "compensan"</t>
        </is>
      </c>
      <c r="C29">
        <f>COUNTIF(AM5:AM16,"&gt;0")</f>
        <v/>
      </c>
      <c r="D29" s="7">
        <f>C29/COUNTA($A$5:$A$16)</f>
        <v/>
      </c>
      <c r="E29">
        <f>SUM(AM5:AM16)</f>
        <v/>
      </c>
    </row>
    <row r="31">
      <c r="A31" t="inlineStr">
        <is>
          <t>Estudiantes que repiten el mismo error</t>
        </is>
      </c>
      <c r="C31">
        <f>COUNTIF(O5:O16,"Sí")</f>
        <v/>
      </c>
    </row>
    <row r="32">
      <c r="A32" t="inlineStr">
        <is>
          <t>Error más frecuente (por número de estudiantes)</t>
        </is>
      </c>
      <c r="C32">
        <f>INDEX(A21:A29,MATCH(MAX(C21:C29),C21:C29,0))</f>
        <v/>
      </c>
    </row>
  </sheetData>
  <dataValidations count="1">
    <dataValidation sqref="B5:M16" showDropDown="0" showInputMessage="0" showErrorMessage="0" allowBlank="0" type="list">
      <formula1>"A,B,C"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2026-10-10T12:52:29Z</dcterms:created>
  <dcterms:modified xmlns:dcterms="http://purl.org/dc/terms/" xmlns:xsi="http://www.w3.org/2001/XMLSchema-instance" xsi:type="dcterms:W3CDTF">2026-10-10T12:52:29Z</dcterms:modified>
</cp:coreProperties>
</file>