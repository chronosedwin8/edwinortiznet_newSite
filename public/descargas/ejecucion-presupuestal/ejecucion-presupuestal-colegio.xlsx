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Movimi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  <xf numFmtId="9" fontId="0" fillId="0" borderId="0" pivotButton="0" quotePrefix="0" xfId="0"/>
    <xf numFmtId="0" fontId="3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12" customWidth="1" min="4" max="4"/>
    <col width="12" customWidth="1" min="5" max="5"/>
    <col width="15" customWidth="1" min="6" max="6"/>
    <col width="14" customWidth="1" min="7" max="7"/>
    <col width="15" customWidth="1" min="8" max="8"/>
    <col width="13" customWidth="1" min="9" max="9"/>
    <col width="13" customWidth="1" min="10" max="10"/>
    <col width="16" customWidth="1" min="11" max="11"/>
    <col width="15" customWidth="1" min="12" max="12"/>
    <col width="15" customWidth="1" min="13" max="13"/>
    <col width="15" customWidth="1" min="14" max="14"/>
    <col width="11" customWidth="1" min="15" max="15"/>
    <col width="9" customWidth="1" min="16" max="16"/>
    <col width="36" customWidth="1" min="17" max="17"/>
  </cols>
  <sheetData>
    <row r="1">
      <c r="A1" s="1" t="inlineStr">
        <is>
          <t>RUBROS Y APROPIACIÓN (ejemplo ficticio de un presupuesto de un colegio; pesos colombianos)</t>
        </is>
      </c>
    </row>
    <row r="3" ht="56" customHeight="1">
      <c r="A3" s="2" t="inlineStr">
        <is>
          <t>Rubro</t>
        </is>
      </c>
      <c r="B3" s="2" t="inlineStr">
        <is>
          <t>Descripción</t>
        </is>
      </c>
      <c r="C3" s="2" t="inlineStr">
        <is>
          <t>Apropiación inicial</t>
        </is>
      </c>
      <c r="D3" s="2" t="inlineStr">
        <is>
          <t>Adiciones</t>
        </is>
      </c>
      <c r="E3" s="2" t="inlineStr">
        <is>
          <t>Reducciones</t>
        </is>
      </c>
      <c r="F3" s="2" t="inlineStr">
        <is>
          <t>Apropiación definitiva</t>
        </is>
      </c>
      <c r="G3" s="2" t="inlineStr">
        <is>
          <t>CDP expedidos</t>
        </is>
      </c>
      <c r="H3" s="2" t="inlineStr">
        <is>
          <t>Comprometido (RP)</t>
        </is>
      </c>
      <c r="I3" s="2" t="inlineStr">
        <is>
          <t>Obligado</t>
        </is>
      </c>
      <c r="J3" s="2" t="inlineStr">
        <is>
          <t>Pagado</t>
        </is>
      </c>
      <c r="K3" s="2" t="inlineStr">
        <is>
          <t>Disponible (apropiación − CDP)</t>
        </is>
      </c>
      <c r="L3" s="2" t="inlineStr">
        <is>
          <t>Por comprometer (CDP − RP)</t>
        </is>
      </c>
      <c r="M3" s="2" t="inlineStr">
        <is>
          <t>Por obligar (RP − obligado)</t>
        </is>
      </c>
      <c r="N3" s="2" t="inlineStr">
        <is>
          <t>Por pagar (obligado − pagado)</t>
        </is>
      </c>
      <c r="O3" s="2" t="inlineStr">
        <is>
          <t>% comprometido</t>
        </is>
      </c>
      <c r="P3" s="2" t="inlineStr">
        <is>
          <t>% pagado</t>
        </is>
      </c>
      <c r="Q3" s="2" t="inlineStr">
        <is>
          <t>Alerta</t>
        </is>
      </c>
    </row>
    <row r="4">
      <c r="A4" s="3" t="inlineStr">
        <is>
          <t>R1</t>
        </is>
      </c>
      <c r="B4" s="3" t="inlineStr">
        <is>
          <t>Materiales y suministros</t>
        </is>
      </c>
      <c r="C4" s="4" t="n">
        <v>11000000</v>
      </c>
      <c r="D4" s="4" t="n">
        <v>1500000</v>
      </c>
      <c r="E4" s="4" t="n">
        <v>500000</v>
      </c>
      <c r="F4" s="5">
        <f>IF(A4="","",C4+D4-E4)</f>
        <v/>
      </c>
      <c r="G4" s="5">
        <f>IF(A4="","",SUMIFS(Movimientos!$G$4:$G$300,Movimientos!$A$4:$A$300,"CDP",Movimientos!$E$4:$E$300,A4))</f>
        <v/>
      </c>
      <c r="H4" s="5">
        <f>IF(A4="","",SUMIFS(Movimientos!$G$4:$G$300,Movimientos!$A$4:$A$300,"RP",Movimientos!$E$4:$E$300,A4))</f>
        <v/>
      </c>
      <c r="I4" s="5">
        <f>IF(A4="","",SUMIFS(Movimientos!$G$4:$G$300,Movimientos!$A$4:$A$300,"OBL",Movimientos!$E$4:$E$300,A4))</f>
        <v/>
      </c>
      <c r="J4" s="5">
        <f>IF(A4="","",SUMIFS(Movimientos!$G$4:$G$300,Movimientos!$A$4:$A$300,"PAGO",Movimientos!$E$4:$E$300,A4))</f>
        <v/>
      </c>
      <c r="K4" s="5">
        <f>IF(A4="","",F4-G4)</f>
        <v/>
      </c>
      <c r="L4" s="5">
        <f>IF(A4="","",G4-H4)</f>
        <v/>
      </c>
      <c r="M4" s="5">
        <f>IF(A4="","",H4-I4)</f>
        <v/>
      </c>
      <c r="N4" s="5">
        <f>IF(A4="","",I4-J4)</f>
        <v/>
      </c>
      <c r="O4" s="6">
        <f>IF(A4="","",IF(F4=0,0,H4/F4))</f>
        <v/>
      </c>
      <c r="P4" s="6">
        <f>IF(A4="","",IF(F4=0,0,J4/F4))</f>
        <v/>
      </c>
      <c r="Q4">
        <f>IF(A4="","",IF(K4&lt;0,"CDP superan la apropiación",IF(COUNTIFS(Movimientos!$E$4:$E$300,A4,Movimientos!$J$4:$J$300,"Excede*")&gt;0,"Hay documentos que exceden el anterior","")))</f>
        <v/>
      </c>
    </row>
    <row r="5">
      <c r="A5" s="3" t="inlineStr">
        <is>
          <t>R2</t>
        </is>
      </c>
      <c r="B5" s="3" t="inlineStr">
        <is>
          <t>Mantenimiento de infraestructura</t>
        </is>
      </c>
      <c r="C5" s="4" t="n">
        <v>18000000</v>
      </c>
      <c r="D5" s="4" t="n">
        <v>0</v>
      </c>
      <c r="E5" s="4" t="n">
        <v>0</v>
      </c>
      <c r="F5" s="5">
        <f>IF(A5="","",C5+D5-E5)</f>
        <v/>
      </c>
      <c r="G5" s="5">
        <f>IF(A5="","",SUMIFS(Movimientos!$G$4:$G$300,Movimientos!$A$4:$A$300,"CDP",Movimientos!$E$4:$E$300,A5))</f>
        <v/>
      </c>
      <c r="H5" s="5">
        <f>IF(A5="","",SUMIFS(Movimientos!$G$4:$G$300,Movimientos!$A$4:$A$300,"RP",Movimientos!$E$4:$E$300,A5))</f>
        <v/>
      </c>
      <c r="I5" s="5">
        <f>IF(A5="","",SUMIFS(Movimientos!$G$4:$G$300,Movimientos!$A$4:$A$300,"OBL",Movimientos!$E$4:$E$300,A5))</f>
        <v/>
      </c>
      <c r="J5" s="5">
        <f>IF(A5="","",SUMIFS(Movimientos!$G$4:$G$300,Movimientos!$A$4:$A$300,"PAGO",Movimientos!$E$4:$E$300,A5))</f>
        <v/>
      </c>
      <c r="K5" s="5">
        <f>IF(A5="","",F5-G5)</f>
        <v/>
      </c>
      <c r="L5" s="5">
        <f>IF(A5="","",G5-H5)</f>
        <v/>
      </c>
      <c r="M5" s="5">
        <f>IF(A5="","",H5-I5)</f>
        <v/>
      </c>
      <c r="N5" s="5">
        <f>IF(A5="","",I5-J5)</f>
        <v/>
      </c>
      <c r="O5" s="6">
        <f>IF(A5="","",IF(F5=0,0,H5/F5))</f>
        <v/>
      </c>
      <c r="P5" s="6">
        <f>IF(A5="","",IF(F5=0,0,J5/F5))</f>
        <v/>
      </c>
      <c r="Q5">
        <f>IF(A5="","",IF(K5&lt;0,"CDP superan la apropiación",IF(COUNTIFS(Movimientos!$E$4:$E$300,A5,Movimientos!$J$4:$J$300,"Excede*")&gt;0,"Hay documentos que exceden el anterior","")))</f>
        <v/>
      </c>
    </row>
    <row r="6">
      <c r="A6" s="3" t="inlineStr">
        <is>
          <t>R3</t>
        </is>
      </c>
      <c r="B6" s="3" t="inlineStr">
        <is>
          <t>Servicios públicos</t>
        </is>
      </c>
      <c r="C6" s="4" t="n">
        <v>15000000</v>
      </c>
      <c r="D6" s="4" t="n">
        <v>0</v>
      </c>
      <c r="E6" s="4" t="n">
        <v>0</v>
      </c>
      <c r="F6" s="5">
        <f>IF(A6="","",C6+D6-E6)</f>
        <v/>
      </c>
      <c r="G6" s="5">
        <f>IF(A6="","",SUMIFS(Movimientos!$G$4:$G$300,Movimientos!$A$4:$A$300,"CDP",Movimientos!$E$4:$E$300,A6))</f>
        <v/>
      </c>
      <c r="H6" s="5">
        <f>IF(A6="","",SUMIFS(Movimientos!$G$4:$G$300,Movimientos!$A$4:$A$300,"RP",Movimientos!$E$4:$E$300,A6))</f>
        <v/>
      </c>
      <c r="I6" s="5">
        <f>IF(A6="","",SUMIFS(Movimientos!$G$4:$G$300,Movimientos!$A$4:$A$300,"OBL",Movimientos!$E$4:$E$300,A6))</f>
        <v/>
      </c>
      <c r="J6" s="5">
        <f>IF(A6="","",SUMIFS(Movimientos!$G$4:$G$300,Movimientos!$A$4:$A$300,"PAGO",Movimientos!$E$4:$E$300,A6))</f>
        <v/>
      </c>
      <c r="K6" s="5">
        <f>IF(A6="","",F6-G6)</f>
        <v/>
      </c>
      <c r="L6" s="5">
        <f>IF(A6="","",G6-H6)</f>
        <v/>
      </c>
      <c r="M6" s="5">
        <f>IF(A6="","",H6-I6)</f>
        <v/>
      </c>
      <c r="N6" s="5">
        <f>IF(A6="","",I6-J6)</f>
        <v/>
      </c>
      <c r="O6" s="6">
        <f>IF(A6="","",IF(F6=0,0,H6/F6))</f>
        <v/>
      </c>
      <c r="P6" s="6">
        <f>IF(A6="","",IF(F6=0,0,J6/F6))</f>
        <v/>
      </c>
      <c r="Q6">
        <f>IF(A6="","",IF(K6&lt;0,"CDP superan la apropiación",IF(COUNTIFS(Movimientos!$E$4:$E$300,A6,Movimientos!$J$4:$J$300,"Excede*")&gt;0,"Hay documentos que exceden el anterior","")))</f>
        <v/>
      </c>
    </row>
    <row r="7">
      <c r="A7" s="3" t="inlineStr">
        <is>
          <t>R4</t>
        </is>
      </c>
      <c r="B7" s="3" t="inlineStr">
        <is>
          <t>Comunicaciones y transporte</t>
        </is>
      </c>
      <c r="C7" s="4" t="n">
        <v>6000000</v>
      </c>
      <c r="D7" s="4" t="n">
        <v>0</v>
      </c>
      <c r="E7" s="4" t="n">
        <v>0</v>
      </c>
      <c r="F7" s="5">
        <f>IF(A7="","",C7+D7-E7)</f>
        <v/>
      </c>
      <c r="G7" s="5">
        <f>IF(A7="","",SUMIFS(Movimientos!$G$4:$G$300,Movimientos!$A$4:$A$300,"CDP",Movimientos!$E$4:$E$300,A7))</f>
        <v/>
      </c>
      <c r="H7" s="5">
        <f>IF(A7="","",SUMIFS(Movimientos!$G$4:$G$300,Movimientos!$A$4:$A$300,"RP",Movimientos!$E$4:$E$300,A7))</f>
        <v/>
      </c>
      <c r="I7" s="5">
        <f>IF(A7="","",SUMIFS(Movimientos!$G$4:$G$300,Movimientos!$A$4:$A$300,"OBL",Movimientos!$E$4:$E$300,A7))</f>
        <v/>
      </c>
      <c r="J7" s="5">
        <f>IF(A7="","",SUMIFS(Movimientos!$G$4:$G$300,Movimientos!$A$4:$A$300,"PAGO",Movimientos!$E$4:$E$300,A7))</f>
        <v/>
      </c>
      <c r="K7" s="5">
        <f>IF(A7="","",F7-G7)</f>
        <v/>
      </c>
      <c r="L7" s="5">
        <f>IF(A7="","",G7-H7)</f>
        <v/>
      </c>
      <c r="M7" s="5">
        <f>IF(A7="","",H7-I7)</f>
        <v/>
      </c>
      <c r="N7" s="5">
        <f>IF(A7="","",I7-J7)</f>
        <v/>
      </c>
      <c r="O7" s="6">
        <f>IF(A7="","",IF(F7=0,0,H7/F7))</f>
        <v/>
      </c>
      <c r="P7" s="6">
        <f>IF(A7="","",IF(F7=0,0,J7/F7))</f>
        <v/>
      </c>
      <c r="Q7">
        <f>IF(A7="","",IF(K7&lt;0,"CDP superan la apropiación",IF(COUNTIFS(Movimientos!$E$4:$E$300,A7,Movimientos!$J$4:$J$300,"Excede*")&gt;0,"Hay documentos que exceden el anterior","")))</f>
        <v/>
      </c>
    </row>
    <row r="8">
      <c r="A8" s="3" t="inlineStr">
        <is>
          <t>R5</t>
        </is>
      </c>
      <c r="B8" s="3" t="inlineStr">
        <is>
          <t>Dotación tecnológica</t>
        </is>
      </c>
      <c r="C8" s="4" t="n">
        <v>20000000</v>
      </c>
      <c r="D8" s="4" t="n">
        <v>5000000</v>
      </c>
      <c r="E8" s="4" t="n">
        <v>0</v>
      </c>
      <c r="F8" s="5">
        <f>IF(A8="","",C8+D8-E8)</f>
        <v/>
      </c>
      <c r="G8" s="5">
        <f>IF(A8="","",SUMIFS(Movimientos!$G$4:$G$300,Movimientos!$A$4:$A$300,"CDP",Movimientos!$E$4:$E$300,A8))</f>
        <v/>
      </c>
      <c r="H8" s="5">
        <f>IF(A8="","",SUMIFS(Movimientos!$G$4:$G$300,Movimientos!$A$4:$A$300,"RP",Movimientos!$E$4:$E$300,A8))</f>
        <v/>
      </c>
      <c r="I8" s="5">
        <f>IF(A8="","",SUMIFS(Movimientos!$G$4:$G$300,Movimientos!$A$4:$A$300,"OBL",Movimientos!$E$4:$E$300,A8))</f>
        <v/>
      </c>
      <c r="J8" s="5">
        <f>IF(A8="","",SUMIFS(Movimientos!$G$4:$G$300,Movimientos!$A$4:$A$300,"PAGO",Movimientos!$E$4:$E$300,A8))</f>
        <v/>
      </c>
      <c r="K8" s="5">
        <f>IF(A8="","",F8-G8)</f>
        <v/>
      </c>
      <c r="L8" s="5">
        <f>IF(A8="","",G8-H8)</f>
        <v/>
      </c>
      <c r="M8" s="5">
        <f>IF(A8="","",H8-I8)</f>
        <v/>
      </c>
      <c r="N8" s="5">
        <f>IF(A8="","",I8-J8)</f>
        <v/>
      </c>
      <c r="O8" s="6">
        <f>IF(A8="","",IF(F8=0,0,H8/F8))</f>
        <v/>
      </c>
      <c r="P8" s="6">
        <f>IF(A8="","",IF(F8=0,0,J8/F8))</f>
        <v/>
      </c>
      <c r="Q8">
        <f>IF(A8="","",IF(K8&lt;0,"CDP superan la apropiación",IF(COUNTIFS(Movimientos!$E$4:$E$300,A8,Movimientos!$J$4:$J$300,"Excede*")&gt;0,"Hay documentos que exceden el anterior","")))</f>
        <v/>
      </c>
    </row>
    <row r="9">
      <c r="A9" s="3" t="inlineStr">
        <is>
          <t>R6</t>
        </is>
      </c>
      <c r="B9" s="3" t="inlineStr">
        <is>
          <t>Impresos y publicaciones</t>
        </is>
      </c>
      <c r="C9" s="4" t="n">
        <v>4000000</v>
      </c>
      <c r="D9" s="4" t="n">
        <v>0</v>
      </c>
      <c r="E9" s="4" t="n">
        <v>0</v>
      </c>
      <c r="F9" s="5">
        <f>IF(A9="","",C9+D9-E9)</f>
        <v/>
      </c>
      <c r="G9" s="5">
        <f>IF(A9="","",SUMIFS(Movimientos!$G$4:$G$300,Movimientos!$A$4:$A$300,"CDP",Movimientos!$E$4:$E$300,A9))</f>
        <v/>
      </c>
      <c r="H9" s="5">
        <f>IF(A9="","",SUMIFS(Movimientos!$G$4:$G$300,Movimientos!$A$4:$A$300,"RP",Movimientos!$E$4:$E$300,A9))</f>
        <v/>
      </c>
      <c r="I9" s="5">
        <f>IF(A9="","",SUMIFS(Movimientos!$G$4:$G$300,Movimientos!$A$4:$A$300,"OBL",Movimientos!$E$4:$E$300,A9))</f>
        <v/>
      </c>
      <c r="J9" s="5">
        <f>IF(A9="","",SUMIFS(Movimientos!$G$4:$G$300,Movimientos!$A$4:$A$300,"PAGO",Movimientos!$E$4:$E$300,A9))</f>
        <v/>
      </c>
      <c r="K9" s="5">
        <f>IF(A9="","",F9-G9)</f>
        <v/>
      </c>
      <c r="L9" s="5">
        <f>IF(A9="","",G9-H9)</f>
        <v/>
      </c>
      <c r="M9" s="5">
        <f>IF(A9="","",H9-I9)</f>
        <v/>
      </c>
      <c r="N9" s="5">
        <f>IF(A9="","",I9-J9)</f>
        <v/>
      </c>
      <c r="O9" s="6">
        <f>IF(A9="","",IF(F9=0,0,H9/F9))</f>
        <v/>
      </c>
      <c r="P9" s="6">
        <f>IF(A9="","",IF(F9=0,0,J9/F9))</f>
        <v/>
      </c>
      <c r="Q9">
        <f>IF(A9="","",IF(K9&lt;0,"CDP superan la apropiación",IF(COUNTIFS(Movimientos!$E$4:$E$300,A9,Movimientos!$J$4:$J$300,"Excede*")&gt;0,"Hay documentos que exceden el anterior","")))</f>
        <v/>
      </c>
    </row>
    <row r="10">
      <c r="A10" s="3" t="inlineStr">
        <is>
          <t>R7</t>
        </is>
      </c>
      <c r="B10" s="3" t="inlineStr">
        <is>
          <t>Seguros</t>
        </is>
      </c>
      <c r="C10" s="4" t="n">
        <v>5000000</v>
      </c>
      <c r="D10" s="4" t="n">
        <v>0</v>
      </c>
      <c r="E10" s="4" t="n">
        <v>0</v>
      </c>
      <c r="F10" s="5">
        <f>IF(A10="","",C10+D10-E10)</f>
        <v/>
      </c>
      <c r="G10" s="5">
        <f>IF(A10="","",SUMIFS(Movimientos!$G$4:$G$300,Movimientos!$A$4:$A$300,"CDP",Movimientos!$E$4:$E$300,A10))</f>
        <v/>
      </c>
      <c r="H10" s="5">
        <f>IF(A10="","",SUMIFS(Movimientos!$G$4:$G$300,Movimientos!$A$4:$A$300,"RP",Movimientos!$E$4:$E$300,A10))</f>
        <v/>
      </c>
      <c r="I10" s="5">
        <f>IF(A10="","",SUMIFS(Movimientos!$G$4:$G$300,Movimientos!$A$4:$A$300,"OBL",Movimientos!$E$4:$E$300,A10))</f>
        <v/>
      </c>
      <c r="J10" s="5">
        <f>IF(A10="","",SUMIFS(Movimientos!$G$4:$G$300,Movimientos!$A$4:$A$300,"PAGO",Movimientos!$E$4:$E$300,A10))</f>
        <v/>
      </c>
      <c r="K10" s="5">
        <f>IF(A10="","",F10-G10)</f>
        <v/>
      </c>
      <c r="L10" s="5">
        <f>IF(A10="","",G10-H10)</f>
        <v/>
      </c>
      <c r="M10" s="5">
        <f>IF(A10="","",H10-I10)</f>
        <v/>
      </c>
      <c r="N10" s="5">
        <f>IF(A10="","",I10-J10)</f>
        <v/>
      </c>
      <c r="O10" s="6">
        <f>IF(A10="","",IF(F10=0,0,H10/F10))</f>
        <v/>
      </c>
      <c r="P10" s="6">
        <f>IF(A10="","",IF(F10=0,0,J10/F10))</f>
        <v/>
      </c>
      <c r="Q10">
        <f>IF(A10="","",IF(K10&lt;0,"CDP superan la apropiación",IF(COUNTIFS(Movimientos!$E$4:$E$300,A10,Movimientos!$J$4:$J$300,"Excede*")&gt;0,"Hay documentos que exceden el anterior","")))</f>
        <v/>
      </c>
    </row>
    <row r="11">
      <c r="A11" s="3" t="inlineStr">
        <is>
          <t>R8</t>
        </is>
      </c>
      <c r="B11" s="3" t="inlineStr">
        <is>
          <t>Capacitación</t>
        </is>
      </c>
      <c r="C11" s="4" t="n">
        <v>3000000</v>
      </c>
      <c r="D11" s="4" t="n">
        <v>0</v>
      </c>
      <c r="E11" s="4" t="n">
        <v>0</v>
      </c>
      <c r="F11" s="5">
        <f>IF(A11="","",C11+D11-E11)</f>
        <v/>
      </c>
      <c r="G11" s="5">
        <f>IF(A11="","",SUMIFS(Movimientos!$G$4:$G$300,Movimientos!$A$4:$A$300,"CDP",Movimientos!$E$4:$E$300,A11))</f>
        <v/>
      </c>
      <c r="H11" s="5">
        <f>IF(A11="","",SUMIFS(Movimientos!$G$4:$G$300,Movimientos!$A$4:$A$300,"RP",Movimientos!$E$4:$E$300,A11))</f>
        <v/>
      </c>
      <c r="I11" s="5">
        <f>IF(A11="","",SUMIFS(Movimientos!$G$4:$G$300,Movimientos!$A$4:$A$300,"OBL",Movimientos!$E$4:$E$300,A11))</f>
        <v/>
      </c>
      <c r="J11" s="5">
        <f>IF(A11="","",SUMIFS(Movimientos!$G$4:$G$300,Movimientos!$A$4:$A$300,"PAGO",Movimientos!$E$4:$E$300,A11))</f>
        <v/>
      </c>
      <c r="K11" s="5">
        <f>IF(A11="","",F11-G11)</f>
        <v/>
      </c>
      <c r="L11" s="5">
        <f>IF(A11="","",G11-H11)</f>
        <v/>
      </c>
      <c r="M11" s="5">
        <f>IF(A11="","",H11-I11)</f>
        <v/>
      </c>
      <c r="N11" s="5">
        <f>IF(A11="","",I11-J11)</f>
        <v/>
      </c>
      <c r="O11" s="6">
        <f>IF(A11="","",IF(F11=0,0,H11/F11))</f>
        <v/>
      </c>
      <c r="P11" s="6">
        <f>IF(A11="","",IF(F11=0,0,J11/F11))</f>
        <v/>
      </c>
      <c r="Q11">
        <f>IF(A11="","",IF(K11&lt;0,"CDP superan la apropiación",IF(COUNTIFS(Movimientos!$E$4:$E$300,A11,Movimientos!$J$4:$J$300,"Excede*")&gt;0,"Hay documentos que exceden el anterior","")))</f>
        <v/>
      </c>
    </row>
    <row r="12">
      <c r="A12" s="3" t="n"/>
      <c r="B12" s="3" t="n"/>
      <c r="C12" s="4" t="n"/>
      <c r="D12" s="4" t="n"/>
      <c r="E12" s="4" t="n"/>
      <c r="F12" s="5">
        <f>IF(A12="","",C12+D12-E12)</f>
        <v/>
      </c>
      <c r="G12" s="5">
        <f>IF(A12="","",SUMIFS(Movimientos!$G$4:$G$300,Movimientos!$A$4:$A$300,"CDP",Movimientos!$E$4:$E$300,A12))</f>
        <v/>
      </c>
      <c r="H12" s="5">
        <f>IF(A12="","",SUMIFS(Movimientos!$G$4:$G$300,Movimientos!$A$4:$A$300,"RP",Movimientos!$E$4:$E$300,A12))</f>
        <v/>
      </c>
      <c r="I12" s="5">
        <f>IF(A12="","",SUMIFS(Movimientos!$G$4:$G$300,Movimientos!$A$4:$A$300,"OBL",Movimientos!$E$4:$E$300,A12))</f>
        <v/>
      </c>
      <c r="J12" s="5">
        <f>IF(A12="","",SUMIFS(Movimientos!$G$4:$G$300,Movimientos!$A$4:$A$300,"PAGO",Movimientos!$E$4:$E$300,A12))</f>
        <v/>
      </c>
      <c r="K12" s="5">
        <f>IF(A12="","",F12-G12)</f>
        <v/>
      </c>
      <c r="L12" s="5">
        <f>IF(A12="","",G12-H12)</f>
        <v/>
      </c>
      <c r="M12" s="5">
        <f>IF(A12="","",H12-I12)</f>
        <v/>
      </c>
      <c r="N12" s="5">
        <f>IF(A12="","",I12-J12)</f>
        <v/>
      </c>
      <c r="O12" s="6">
        <f>IF(A12="","",IF(F12=0,0,H12/F12))</f>
        <v/>
      </c>
      <c r="P12" s="6">
        <f>IF(A12="","",IF(F12=0,0,J12/F12))</f>
        <v/>
      </c>
      <c r="Q12">
        <f>IF(A12="","",IF(K12&lt;0,"CDP superan la apropiación",IF(COUNTIFS(Movimientos!$E$4:$E$300,A12,Movimientos!$J$4:$J$300,"Excede*")&gt;0,"Hay documentos que exceden el anterior","")))</f>
        <v/>
      </c>
    </row>
    <row r="13">
      <c r="A13" s="3" t="n"/>
      <c r="B13" s="3" t="n"/>
      <c r="C13" s="4" t="n"/>
      <c r="D13" s="4" t="n"/>
      <c r="E13" s="4" t="n"/>
      <c r="F13" s="5">
        <f>IF(A13="","",C13+D13-E13)</f>
        <v/>
      </c>
      <c r="G13" s="5">
        <f>IF(A13="","",SUMIFS(Movimientos!$G$4:$G$300,Movimientos!$A$4:$A$300,"CDP",Movimientos!$E$4:$E$300,A13))</f>
        <v/>
      </c>
      <c r="H13" s="5">
        <f>IF(A13="","",SUMIFS(Movimientos!$G$4:$G$300,Movimientos!$A$4:$A$300,"RP",Movimientos!$E$4:$E$300,A13))</f>
        <v/>
      </c>
      <c r="I13" s="5">
        <f>IF(A13="","",SUMIFS(Movimientos!$G$4:$G$300,Movimientos!$A$4:$A$300,"OBL",Movimientos!$E$4:$E$300,A13))</f>
        <v/>
      </c>
      <c r="J13" s="5">
        <f>IF(A13="","",SUMIFS(Movimientos!$G$4:$G$300,Movimientos!$A$4:$A$300,"PAGO",Movimientos!$E$4:$E$300,A13))</f>
        <v/>
      </c>
      <c r="K13" s="5">
        <f>IF(A13="","",F13-G13)</f>
        <v/>
      </c>
      <c r="L13" s="5">
        <f>IF(A13="","",G13-H13)</f>
        <v/>
      </c>
      <c r="M13" s="5">
        <f>IF(A13="","",H13-I13)</f>
        <v/>
      </c>
      <c r="N13" s="5">
        <f>IF(A13="","",I13-J13)</f>
        <v/>
      </c>
      <c r="O13" s="6">
        <f>IF(A13="","",IF(F13=0,0,H13/F13))</f>
        <v/>
      </c>
      <c r="P13" s="6">
        <f>IF(A13="","",IF(F13=0,0,J13/F13))</f>
        <v/>
      </c>
      <c r="Q13">
        <f>IF(A13="","",IF(K13&lt;0,"CDP superan la apropiación",IF(COUNTIFS(Movimientos!$E$4:$E$300,A13,Movimientos!$J$4:$J$300,"Excede*")&gt;0,"Hay documentos que exceden el anterior","")))</f>
        <v/>
      </c>
    </row>
    <row r="14">
      <c r="A14" s="3" t="n"/>
      <c r="B14" s="3" t="n"/>
      <c r="C14" s="4" t="n"/>
      <c r="D14" s="4" t="n"/>
      <c r="E14" s="4" t="n"/>
      <c r="F14" s="5">
        <f>IF(A14="","",C14+D14-E14)</f>
        <v/>
      </c>
      <c r="G14" s="5">
        <f>IF(A14="","",SUMIFS(Movimientos!$G$4:$G$300,Movimientos!$A$4:$A$300,"CDP",Movimientos!$E$4:$E$300,A14))</f>
        <v/>
      </c>
      <c r="H14" s="5">
        <f>IF(A14="","",SUMIFS(Movimientos!$G$4:$G$300,Movimientos!$A$4:$A$300,"RP",Movimientos!$E$4:$E$300,A14))</f>
        <v/>
      </c>
      <c r="I14" s="5">
        <f>IF(A14="","",SUMIFS(Movimientos!$G$4:$G$300,Movimientos!$A$4:$A$300,"OBL",Movimientos!$E$4:$E$300,A14))</f>
        <v/>
      </c>
      <c r="J14" s="5">
        <f>IF(A14="","",SUMIFS(Movimientos!$G$4:$G$300,Movimientos!$A$4:$A$300,"PAGO",Movimientos!$E$4:$E$300,A14))</f>
        <v/>
      </c>
      <c r="K14" s="5">
        <f>IF(A14="","",F14-G14)</f>
        <v/>
      </c>
      <c r="L14" s="5">
        <f>IF(A14="","",G14-H14)</f>
        <v/>
      </c>
      <c r="M14" s="5">
        <f>IF(A14="","",H14-I14)</f>
        <v/>
      </c>
      <c r="N14" s="5">
        <f>IF(A14="","",I14-J14)</f>
        <v/>
      </c>
      <c r="O14" s="6">
        <f>IF(A14="","",IF(F14=0,0,H14/F14))</f>
        <v/>
      </c>
      <c r="P14" s="6">
        <f>IF(A14="","",IF(F14=0,0,J14/F14))</f>
        <v/>
      </c>
      <c r="Q14">
        <f>IF(A14="","",IF(K14&lt;0,"CDP superan la apropiación",IF(COUNTIFS(Movimientos!$E$4:$E$300,A14,Movimientos!$J$4:$J$300,"Excede*")&gt;0,"Hay documentos que exceden el anterior","")))</f>
        <v/>
      </c>
    </row>
    <row r="15">
      <c r="A15" s="3" t="n"/>
      <c r="B15" s="3" t="n"/>
      <c r="C15" s="4" t="n"/>
      <c r="D15" s="4" t="n"/>
      <c r="E15" s="4" t="n"/>
      <c r="F15" s="5">
        <f>IF(A15="","",C15+D15-E15)</f>
        <v/>
      </c>
      <c r="G15" s="5">
        <f>IF(A15="","",SUMIFS(Movimientos!$G$4:$G$300,Movimientos!$A$4:$A$300,"CDP",Movimientos!$E$4:$E$300,A15))</f>
        <v/>
      </c>
      <c r="H15" s="5">
        <f>IF(A15="","",SUMIFS(Movimientos!$G$4:$G$300,Movimientos!$A$4:$A$300,"RP",Movimientos!$E$4:$E$300,A15))</f>
        <v/>
      </c>
      <c r="I15" s="5">
        <f>IF(A15="","",SUMIFS(Movimientos!$G$4:$G$300,Movimientos!$A$4:$A$300,"OBL",Movimientos!$E$4:$E$300,A15))</f>
        <v/>
      </c>
      <c r="J15" s="5">
        <f>IF(A15="","",SUMIFS(Movimientos!$G$4:$G$300,Movimientos!$A$4:$A$300,"PAGO",Movimientos!$E$4:$E$300,A15))</f>
        <v/>
      </c>
      <c r="K15" s="5">
        <f>IF(A15="","",F15-G15)</f>
        <v/>
      </c>
      <c r="L15" s="5">
        <f>IF(A15="","",G15-H15)</f>
        <v/>
      </c>
      <c r="M15" s="5">
        <f>IF(A15="","",H15-I15)</f>
        <v/>
      </c>
      <c r="N15" s="5">
        <f>IF(A15="","",I15-J15)</f>
        <v/>
      </c>
      <c r="O15" s="6">
        <f>IF(A15="","",IF(F15=0,0,H15/F15))</f>
        <v/>
      </c>
      <c r="P15" s="6">
        <f>IF(A15="","",IF(F15=0,0,J15/F15))</f>
        <v/>
      </c>
      <c r="Q15">
        <f>IF(A15="","",IF(K15&lt;0,"CDP superan la apropiación",IF(COUNTIFS(Movimientos!$E$4:$E$300,A15,Movimientos!$J$4:$J$300,"Excede*")&gt;0,"Hay documentos que exceden el anterior","")))</f>
        <v/>
      </c>
    </row>
    <row r="16">
      <c r="A16" s="3" t="n"/>
      <c r="B16" s="3" t="n"/>
      <c r="C16" s="4" t="n"/>
      <c r="D16" s="4" t="n"/>
      <c r="E16" s="4" t="n"/>
      <c r="F16" s="5">
        <f>IF(A16="","",C16+D16-E16)</f>
        <v/>
      </c>
      <c r="G16" s="5">
        <f>IF(A16="","",SUMIFS(Movimientos!$G$4:$G$300,Movimientos!$A$4:$A$300,"CDP",Movimientos!$E$4:$E$300,A16))</f>
        <v/>
      </c>
      <c r="H16" s="5">
        <f>IF(A16="","",SUMIFS(Movimientos!$G$4:$G$300,Movimientos!$A$4:$A$300,"RP",Movimientos!$E$4:$E$300,A16))</f>
        <v/>
      </c>
      <c r="I16" s="5">
        <f>IF(A16="","",SUMIFS(Movimientos!$G$4:$G$300,Movimientos!$A$4:$A$300,"OBL",Movimientos!$E$4:$E$300,A16))</f>
        <v/>
      </c>
      <c r="J16" s="5">
        <f>IF(A16="","",SUMIFS(Movimientos!$G$4:$G$300,Movimientos!$A$4:$A$300,"PAGO",Movimientos!$E$4:$E$300,A16))</f>
        <v/>
      </c>
      <c r="K16" s="5">
        <f>IF(A16="","",F16-G16)</f>
        <v/>
      </c>
      <c r="L16" s="5">
        <f>IF(A16="","",G16-H16)</f>
        <v/>
      </c>
      <c r="M16" s="5">
        <f>IF(A16="","",H16-I16)</f>
        <v/>
      </c>
      <c r="N16" s="5">
        <f>IF(A16="","",I16-J16)</f>
        <v/>
      </c>
      <c r="O16" s="6">
        <f>IF(A16="","",IF(F16=0,0,H16/F16))</f>
        <v/>
      </c>
      <c r="P16" s="6">
        <f>IF(A16="","",IF(F16=0,0,J16/F16))</f>
        <v/>
      </c>
      <c r="Q16">
        <f>IF(A16="","",IF(K16&lt;0,"CDP superan la apropiación",IF(COUNTIFS(Movimientos!$E$4:$E$300,A16,Movimientos!$J$4:$J$300,"Excede*")&gt;0,"Hay documentos que exceden el anterior","")))</f>
        <v/>
      </c>
    </row>
    <row r="17">
      <c r="A17" s="3" t="n"/>
      <c r="B17" s="3" t="n"/>
      <c r="C17" s="4" t="n"/>
      <c r="D17" s="4" t="n"/>
      <c r="E17" s="4" t="n"/>
      <c r="F17" s="5">
        <f>IF(A17="","",C17+D17-E17)</f>
        <v/>
      </c>
      <c r="G17" s="5">
        <f>IF(A17="","",SUMIFS(Movimientos!$G$4:$G$300,Movimientos!$A$4:$A$300,"CDP",Movimientos!$E$4:$E$300,A17))</f>
        <v/>
      </c>
      <c r="H17" s="5">
        <f>IF(A17="","",SUMIFS(Movimientos!$G$4:$G$300,Movimientos!$A$4:$A$300,"RP",Movimientos!$E$4:$E$300,A17))</f>
        <v/>
      </c>
      <c r="I17" s="5">
        <f>IF(A17="","",SUMIFS(Movimientos!$G$4:$G$300,Movimientos!$A$4:$A$300,"OBL",Movimientos!$E$4:$E$300,A17))</f>
        <v/>
      </c>
      <c r="J17" s="5">
        <f>IF(A17="","",SUMIFS(Movimientos!$G$4:$G$300,Movimientos!$A$4:$A$300,"PAGO",Movimientos!$E$4:$E$300,A17))</f>
        <v/>
      </c>
      <c r="K17" s="5">
        <f>IF(A17="","",F17-G17)</f>
        <v/>
      </c>
      <c r="L17" s="5">
        <f>IF(A17="","",G17-H17)</f>
        <v/>
      </c>
      <c r="M17" s="5">
        <f>IF(A17="","",H17-I17)</f>
        <v/>
      </c>
      <c r="N17" s="5">
        <f>IF(A17="","",I17-J17)</f>
        <v/>
      </c>
      <c r="O17" s="6">
        <f>IF(A17="","",IF(F17=0,0,H17/F17))</f>
        <v/>
      </c>
      <c r="P17" s="6">
        <f>IF(A17="","",IF(F17=0,0,J17/F17))</f>
        <v/>
      </c>
      <c r="Q17">
        <f>IF(A17="","",IF(K17&lt;0,"CDP superan la apropiación",IF(COUNTIFS(Movimientos!$E$4:$E$300,A17,Movimientos!$J$4:$J$300,"Excede*")&gt;0,"Hay documentos que exceden el anterior","")))</f>
        <v/>
      </c>
    </row>
    <row r="18">
      <c r="A18" s="3" t="n"/>
      <c r="B18" s="3" t="n"/>
      <c r="C18" s="4" t="n"/>
      <c r="D18" s="4" t="n"/>
      <c r="E18" s="4" t="n"/>
      <c r="F18" s="5">
        <f>IF(A18="","",C18+D18-E18)</f>
        <v/>
      </c>
      <c r="G18" s="5">
        <f>IF(A18="","",SUMIFS(Movimientos!$G$4:$G$300,Movimientos!$A$4:$A$300,"CDP",Movimientos!$E$4:$E$300,A18))</f>
        <v/>
      </c>
      <c r="H18" s="5">
        <f>IF(A18="","",SUMIFS(Movimientos!$G$4:$G$300,Movimientos!$A$4:$A$300,"RP",Movimientos!$E$4:$E$300,A18))</f>
        <v/>
      </c>
      <c r="I18" s="5">
        <f>IF(A18="","",SUMIFS(Movimientos!$G$4:$G$300,Movimientos!$A$4:$A$300,"OBL",Movimientos!$E$4:$E$300,A18))</f>
        <v/>
      </c>
      <c r="J18" s="5">
        <f>IF(A18="","",SUMIFS(Movimientos!$G$4:$G$300,Movimientos!$A$4:$A$300,"PAGO",Movimientos!$E$4:$E$300,A18))</f>
        <v/>
      </c>
      <c r="K18" s="5">
        <f>IF(A18="","",F18-G18)</f>
        <v/>
      </c>
      <c r="L18" s="5">
        <f>IF(A18="","",G18-H18)</f>
        <v/>
      </c>
      <c r="M18" s="5">
        <f>IF(A18="","",H18-I18)</f>
        <v/>
      </c>
      <c r="N18" s="5">
        <f>IF(A18="","",I18-J18)</f>
        <v/>
      </c>
      <c r="O18" s="6">
        <f>IF(A18="","",IF(F18=0,0,H18/F18))</f>
        <v/>
      </c>
      <c r="P18" s="6">
        <f>IF(A18="","",IF(F18=0,0,J18/F18))</f>
        <v/>
      </c>
      <c r="Q18">
        <f>IF(A18="","",IF(K18&lt;0,"CDP superan la apropiación",IF(COUNTIFS(Movimientos!$E$4:$E$300,A18,Movimientos!$J$4:$J$300,"Excede*")&gt;0,"Hay documentos que exceden el anterior","")))</f>
        <v/>
      </c>
    </row>
    <row r="20">
      <c r="A20" s="7" t="inlineStr">
        <is>
          <t>TOTAL</t>
        </is>
      </c>
      <c r="C20" s="5">
        <f>SUM(C4:C18)</f>
        <v/>
      </c>
      <c r="D20" s="5">
        <f>SUM(D4:D18)</f>
        <v/>
      </c>
      <c r="E20" s="5">
        <f>SUM(E4:E18)</f>
        <v/>
      </c>
      <c r="F20" s="5">
        <f>SUM(F4:F18)</f>
        <v/>
      </c>
      <c r="G20" s="5">
        <f>SUM(G4:G18)</f>
        <v/>
      </c>
      <c r="H20" s="5">
        <f>SUM(H4:H18)</f>
        <v/>
      </c>
      <c r="I20" s="5">
        <f>SUM(I4:I18)</f>
        <v/>
      </c>
      <c r="J20" s="5">
        <f>SUM(J4:J18)</f>
        <v/>
      </c>
      <c r="K20" s="5">
        <f>SUM(K4:K18)</f>
        <v/>
      </c>
      <c r="L20" s="5">
        <f>SUM(L4:L18)</f>
        <v/>
      </c>
      <c r="M20" s="5">
        <f>SUM(M4:M18)</f>
        <v/>
      </c>
      <c r="N20" s="5">
        <f>SUM(N4:N18)</f>
        <v/>
      </c>
      <c r="O20" s="6">
        <f>IF(F20=0,0,H20/F20)</f>
        <v/>
      </c>
      <c r="P20" s="6">
        <f>IF(F20=0,0,J20/F20)</f>
        <v/>
      </c>
    </row>
  </sheetData>
  <conditionalFormatting sqref="K4:K18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RESUMEN DE EJECUCIÓN</t>
        </is>
      </c>
    </row>
    <row r="3">
      <c r="A3" t="inlineStr">
        <is>
          <t>Apropiación definitiva</t>
        </is>
      </c>
      <c r="B3" s="5">
        <f>Rubros!F20</f>
        <v/>
      </c>
    </row>
    <row r="4">
      <c r="A4" t="inlineStr">
        <is>
          <t>CDP expedidos</t>
        </is>
      </c>
      <c r="B4" s="5">
        <f>Rubros!G20</f>
        <v/>
      </c>
    </row>
    <row r="5">
      <c r="A5" t="inlineStr">
        <is>
          <t>Comprometido (RP)</t>
        </is>
      </c>
      <c r="B5" s="5">
        <f>Rubros!H20</f>
        <v/>
      </c>
    </row>
    <row r="6">
      <c r="A6" t="inlineStr">
        <is>
          <t>Obligado</t>
        </is>
      </c>
      <c r="B6" s="5">
        <f>Rubros!I20</f>
        <v/>
      </c>
    </row>
    <row r="7">
      <c r="A7" t="inlineStr">
        <is>
          <t>Pagado</t>
        </is>
      </c>
      <c r="B7" s="5">
        <f>Rubros!J20</f>
        <v/>
      </c>
    </row>
    <row r="8">
      <c r="A8" t="inlineStr">
        <is>
          <t>Disponible para nuevos CDP</t>
        </is>
      </c>
      <c r="B8" s="5">
        <f>Rubros!K20</f>
        <v/>
      </c>
    </row>
    <row r="9">
      <c r="A9" t="inlineStr">
        <is>
          <t>Por comprometer (CDP sin RP)</t>
        </is>
      </c>
      <c r="B9" s="5">
        <f>Rubros!L20</f>
        <v/>
      </c>
    </row>
    <row r="10">
      <c r="A10" t="inlineStr">
        <is>
          <t>Por pagar (obligado sin pagar)</t>
        </is>
      </c>
      <c r="B10" s="5">
        <f>Rubros!N20</f>
        <v/>
      </c>
    </row>
    <row r="11">
      <c r="A11" t="inlineStr">
        <is>
          <t>% comprometido</t>
        </is>
      </c>
      <c r="B11" s="8">
        <f>Rubros!O20</f>
        <v/>
      </c>
    </row>
    <row r="12">
      <c r="A12" t="inlineStr">
        <is>
          <t>% pagado</t>
        </is>
      </c>
      <c r="B12" s="8">
        <f>Rubros!P20</f>
        <v/>
      </c>
    </row>
    <row r="13">
      <c r="A13" t="inlineStr">
        <is>
          <t>Rubros con CDP que superan la apropiación</t>
        </is>
      </c>
      <c r="B13" s="9">
        <f>COUNTIF(Rubros!K4:K18,"&lt;0")</f>
        <v/>
      </c>
    </row>
    <row r="14">
      <c r="A14" t="inlineStr">
        <is>
          <t>Documentos que exceden el anterior</t>
        </is>
      </c>
      <c r="B14" s="9">
        <f>COUNTIF(Movimientos!J4:J300,"Excede*")</f>
        <v/>
      </c>
    </row>
    <row r="15">
      <c r="A15" t="inlineStr">
        <is>
          <t>Documentos sin documento previo</t>
        </is>
      </c>
      <c r="B15" s="9">
        <f>COUNTIF(Movimientos!J4:J300,"Falta*")</f>
        <v/>
      </c>
    </row>
    <row r="17">
      <c r="A17" t="inlineStr">
        <is>
          <t>Ciclo del gasto (resumen): apropiación → CDP (reserva disponibilidad) → RP (compromiso) → obligación (recibido el bien o servicio) → pago.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24" customWidth="1" min="4" max="4"/>
    <col width="8" customWidth="1" min="5" max="5"/>
    <col width="12" customWidth="1" min="6" max="6"/>
    <col width="14" customWidth="1" min="7" max="7"/>
    <col width="18" customWidth="1" min="8" max="8"/>
    <col width="14" customWidth="1" min="9" max="9"/>
    <col width="44" customWidth="1" min="10" max="10"/>
  </cols>
  <sheetData>
    <row r="1">
      <c r="A1" s="1" t="inlineStr">
        <is>
          <t>MOVIMIENTOS PRESUPUESTALES (cada documento con su referencia al documento previo: RP → CDP, obligación → RP, pago → obligación)</t>
        </is>
      </c>
    </row>
    <row r="3" ht="40" customHeight="1">
      <c r="A3" s="2" t="inlineStr">
        <is>
          <t>Tipo</t>
        </is>
      </c>
      <c r="B3" s="2" t="inlineStr">
        <is>
          <t>Número</t>
        </is>
      </c>
      <c r="C3" s="2" t="inlineStr">
        <is>
          <t>Documento previo</t>
        </is>
      </c>
      <c r="D3" s="2" t="inlineStr">
        <is>
          <t>Descripción</t>
        </is>
      </c>
      <c r="E3" s="2" t="inlineStr">
        <is>
          <t>Rubro</t>
        </is>
      </c>
      <c r="F3" s="2" t="inlineStr">
        <is>
          <t>Fecha</t>
        </is>
      </c>
      <c r="G3" s="2" t="inlineStr">
        <is>
          <t>Valor</t>
        </is>
      </c>
      <c r="H3" s="2" t="inlineStr">
        <is>
          <t>Suma de documentos que lo referencian</t>
        </is>
      </c>
      <c r="I3" s="2" t="inlineStr">
        <is>
          <t>Saldo del documento</t>
        </is>
      </c>
      <c r="J3" s="2" t="inlineStr">
        <is>
          <t>Control</t>
        </is>
      </c>
    </row>
    <row r="4">
      <c r="A4" s="3" t="inlineStr">
        <is>
          <t>CDP</t>
        </is>
      </c>
      <c r="B4" s="3" t="inlineStr">
        <is>
          <t>CDP-001</t>
        </is>
      </c>
      <c r="C4" s="3" t="n"/>
      <c r="D4" s="3" t="n"/>
      <c r="E4" s="3" t="inlineStr">
        <is>
          <t>R1</t>
        </is>
      </c>
      <c r="F4" s="10" t="n">
        <v>46419</v>
      </c>
      <c r="G4" s="4" t="n">
        <v>5000000</v>
      </c>
      <c r="H4" s="5">
        <f>IF(B4="","",SUMIFS($G$4:$G$300,$C$4:$C$300,B4))</f>
        <v/>
      </c>
      <c r="I4" s="5">
        <f>IF(OR(B4="",A4="PAGO"),"",G4-H4)</f>
        <v/>
      </c>
      <c r="J4">
        <f>IF(B4="","",IF(AND(A4&lt;&gt;"PAGO",H4&gt;G4),"Excede el documento (los posteriores suman más)",IF(AND(A4&lt;&gt;"CDP",C4=""),"Falta el documento previo","OK")))</f>
        <v/>
      </c>
    </row>
    <row r="5">
      <c r="A5" s="3" t="inlineStr">
        <is>
          <t>RP</t>
        </is>
      </c>
      <c r="B5" s="3" t="inlineStr">
        <is>
          <t>RP-001</t>
        </is>
      </c>
      <c r="C5" s="3" t="inlineStr">
        <is>
          <t>CDP-001</t>
        </is>
      </c>
      <c r="D5" s="3" t="n"/>
      <c r="E5" s="3" t="inlineStr">
        <is>
          <t>R1</t>
        </is>
      </c>
      <c r="F5" s="10" t="n">
        <v>46421</v>
      </c>
      <c r="G5" s="4" t="n">
        <v>4800000</v>
      </c>
      <c r="H5" s="5">
        <f>IF(B5="","",SUMIFS($G$4:$G$300,$C$4:$C$300,B5))</f>
        <v/>
      </c>
      <c r="I5" s="5">
        <f>IF(OR(B5="",A5="PAGO"),"",G5-H5)</f>
        <v/>
      </c>
      <c r="J5">
        <f>IF(B5="","",IF(AND(A5&lt;&gt;"PAGO",H5&gt;G5),"Excede el documento (los posteriores suman más)",IF(AND(A5&lt;&gt;"CDP",C5=""),"Falta el documento previo","OK")))</f>
        <v/>
      </c>
    </row>
    <row r="6">
      <c r="A6" s="3" t="inlineStr">
        <is>
          <t>OBL</t>
        </is>
      </c>
      <c r="B6" s="3" t="inlineStr">
        <is>
          <t>OB-001</t>
        </is>
      </c>
      <c r="C6" s="3" t="inlineStr">
        <is>
          <t>RP-001</t>
        </is>
      </c>
      <c r="D6" s="3" t="n"/>
      <c r="E6" s="3" t="inlineStr">
        <is>
          <t>R1</t>
        </is>
      </c>
      <c r="F6" s="10" t="n">
        <v>46428</v>
      </c>
      <c r="G6" s="4" t="n">
        <v>4800000</v>
      </c>
      <c r="H6" s="5">
        <f>IF(B6="","",SUMIFS($G$4:$G$300,$C$4:$C$300,B6))</f>
        <v/>
      </c>
      <c r="I6" s="5">
        <f>IF(OR(B6="",A6="PAGO"),"",G6-H6)</f>
        <v/>
      </c>
      <c r="J6">
        <f>IF(B6="","",IF(AND(A6&lt;&gt;"PAGO",H6&gt;G6),"Excede el documento (los posteriores suman más)",IF(AND(A6&lt;&gt;"CDP",C6=""),"Falta el documento previo","OK")))</f>
        <v/>
      </c>
    </row>
    <row r="7">
      <c r="A7" s="3" t="inlineStr">
        <is>
          <t>PAGO</t>
        </is>
      </c>
      <c r="B7" s="3" t="inlineStr">
        <is>
          <t>PG-001</t>
        </is>
      </c>
      <c r="C7" s="3" t="inlineStr">
        <is>
          <t>OB-001</t>
        </is>
      </c>
      <c r="D7" s="3" t="n"/>
      <c r="E7" s="3" t="inlineStr">
        <is>
          <t>R1</t>
        </is>
      </c>
      <c r="F7" s="10" t="n">
        <v>46430</v>
      </c>
      <c r="G7" s="4" t="n">
        <v>4800000</v>
      </c>
      <c r="H7" s="5">
        <f>IF(B7="","",SUMIFS($G$4:$G$300,$C$4:$C$300,B7))</f>
        <v/>
      </c>
      <c r="I7" s="5">
        <f>IF(OR(B7="",A7="PAGO"),"",G7-H7)</f>
        <v/>
      </c>
      <c r="J7">
        <f>IF(B7="","",IF(AND(A7&lt;&gt;"PAGO",H7&gt;G7),"Excede el documento (los posteriores suman más)",IF(AND(A7&lt;&gt;"CDP",C7=""),"Falta el documento previo","OK")))</f>
        <v/>
      </c>
    </row>
    <row r="8">
      <c r="A8" s="3" t="inlineStr">
        <is>
          <t>CDP</t>
        </is>
      </c>
      <c r="B8" s="3" t="inlineStr">
        <is>
          <t>CDP-002</t>
        </is>
      </c>
      <c r="C8" s="3" t="n"/>
      <c r="D8" s="3" t="n"/>
      <c r="E8" s="3" t="inlineStr">
        <is>
          <t>R2</t>
        </is>
      </c>
      <c r="F8" s="10" t="n">
        <v>46420</v>
      </c>
      <c r="G8" s="4" t="n">
        <v>12000000</v>
      </c>
      <c r="H8" s="5">
        <f>IF(B8="","",SUMIFS($G$4:$G$300,$C$4:$C$300,B8))</f>
        <v/>
      </c>
      <c r="I8" s="5">
        <f>IF(OR(B8="",A8="PAGO"),"",G8-H8)</f>
        <v/>
      </c>
      <c r="J8">
        <f>IF(B8="","",IF(AND(A8&lt;&gt;"PAGO",H8&gt;G8),"Excede el documento (los posteriores suman más)",IF(AND(A8&lt;&gt;"CDP",C8=""),"Falta el documento previo","OK")))</f>
        <v/>
      </c>
    </row>
    <row r="9">
      <c r="A9" s="3" t="inlineStr">
        <is>
          <t>RP</t>
        </is>
      </c>
      <c r="B9" s="3" t="inlineStr">
        <is>
          <t>RP-002</t>
        </is>
      </c>
      <c r="C9" s="3" t="inlineStr">
        <is>
          <t>CDP-002</t>
        </is>
      </c>
      <c r="D9" s="3" t="n"/>
      <c r="E9" s="3" t="inlineStr">
        <is>
          <t>R2</t>
        </is>
      </c>
      <c r="F9" s="10" t="n">
        <v>46423</v>
      </c>
      <c r="G9" s="4" t="n">
        <v>11500000</v>
      </c>
      <c r="H9" s="5">
        <f>IF(B9="","",SUMIFS($G$4:$G$300,$C$4:$C$300,B9))</f>
        <v/>
      </c>
      <c r="I9" s="5">
        <f>IF(OR(B9="",A9="PAGO"),"",G9-H9)</f>
        <v/>
      </c>
      <c r="J9">
        <f>IF(B9="","",IF(AND(A9&lt;&gt;"PAGO",H9&gt;G9),"Excede el documento (los posteriores suman más)",IF(AND(A9&lt;&gt;"CDP",C9=""),"Falta el documento previo","OK")))</f>
        <v/>
      </c>
    </row>
    <row r="10">
      <c r="A10" s="3" t="inlineStr">
        <is>
          <t>OBL</t>
        </is>
      </c>
      <c r="B10" s="3" t="inlineStr">
        <is>
          <t>OB-002</t>
        </is>
      </c>
      <c r="C10" s="3" t="inlineStr">
        <is>
          <t>RP-002</t>
        </is>
      </c>
      <c r="D10" s="3" t="n"/>
      <c r="E10" s="3" t="inlineStr">
        <is>
          <t>R2</t>
        </is>
      </c>
      <c r="F10" s="10" t="n">
        <v>46438</v>
      </c>
      <c r="G10" s="4" t="n">
        <v>6000000</v>
      </c>
      <c r="H10" s="5">
        <f>IF(B10="","",SUMIFS($G$4:$G$300,$C$4:$C$300,B10))</f>
        <v/>
      </c>
      <c r="I10" s="5">
        <f>IF(OR(B10="",A10="PAGO"),"",G10-H10)</f>
        <v/>
      </c>
      <c r="J10">
        <f>IF(B10="","",IF(AND(A10&lt;&gt;"PAGO",H10&gt;G10),"Excede el documento (los posteriores suman más)",IF(AND(A10&lt;&gt;"CDP",C10=""),"Falta el documento previo","OK")))</f>
        <v/>
      </c>
    </row>
    <row r="11">
      <c r="A11" s="3" t="inlineStr">
        <is>
          <t>PAGO</t>
        </is>
      </c>
      <c r="B11" s="3" t="inlineStr">
        <is>
          <t>PG-002</t>
        </is>
      </c>
      <c r="C11" s="3" t="inlineStr">
        <is>
          <t>OB-002</t>
        </is>
      </c>
      <c r="D11" s="3" t="n"/>
      <c r="E11" s="3" t="inlineStr">
        <is>
          <t>R2</t>
        </is>
      </c>
      <c r="F11" s="10" t="n">
        <v>46442</v>
      </c>
      <c r="G11" s="4" t="n">
        <v>6000000</v>
      </c>
      <c r="H11" s="5">
        <f>IF(B11="","",SUMIFS($G$4:$G$300,$C$4:$C$300,B11))</f>
        <v/>
      </c>
      <c r="I11" s="5">
        <f>IF(OR(B11="",A11="PAGO"),"",G11-H11)</f>
        <v/>
      </c>
      <c r="J11">
        <f>IF(B11="","",IF(AND(A11&lt;&gt;"PAGO",H11&gt;G11),"Excede el documento (los posteriores suman más)",IF(AND(A11&lt;&gt;"CDP",C11=""),"Falta el documento previo","OK")))</f>
        <v/>
      </c>
    </row>
    <row r="12">
      <c r="A12" s="3" t="inlineStr">
        <is>
          <t>CDP</t>
        </is>
      </c>
      <c r="B12" s="3" t="inlineStr">
        <is>
          <t>CDP-003</t>
        </is>
      </c>
      <c r="C12" s="3" t="n"/>
      <c r="D12" s="3" t="n"/>
      <c r="E12" s="3" t="inlineStr">
        <is>
          <t>R3</t>
        </is>
      </c>
      <c r="F12" s="10" t="n">
        <v>46420</v>
      </c>
      <c r="G12" s="4" t="n">
        <v>9000000</v>
      </c>
      <c r="H12" s="5">
        <f>IF(B12="","",SUMIFS($G$4:$G$300,$C$4:$C$300,B12))</f>
        <v/>
      </c>
      <c r="I12" s="5">
        <f>IF(OR(B12="",A12="PAGO"),"",G12-H12)</f>
        <v/>
      </c>
      <c r="J12">
        <f>IF(B12="","",IF(AND(A12&lt;&gt;"PAGO",H12&gt;G12),"Excede el documento (los posteriores suman más)",IF(AND(A12&lt;&gt;"CDP",C12=""),"Falta el documento previo","OK")))</f>
        <v/>
      </c>
    </row>
    <row r="13">
      <c r="A13" s="3" t="inlineStr">
        <is>
          <t>RP</t>
        </is>
      </c>
      <c r="B13" s="3" t="inlineStr">
        <is>
          <t>RP-003</t>
        </is>
      </c>
      <c r="C13" s="3" t="inlineStr">
        <is>
          <t>CDP-003</t>
        </is>
      </c>
      <c r="D13" s="3" t="n"/>
      <c r="E13" s="3" t="inlineStr">
        <is>
          <t>R3</t>
        </is>
      </c>
      <c r="F13" s="10" t="n">
        <v>46422</v>
      </c>
      <c r="G13" s="4" t="n">
        <v>9000000</v>
      </c>
      <c r="H13" s="5">
        <f>IF(B13="","",SUMIFS($G$4:$G$300,$C$4:$C$300,B13))</f>
        <v/>
      </c>
      <c r="I13" s="5">
        <f>IF(OR(B13="",A13="PAGO"),"",G13-H13)</f>
        <v/>
      </c>
      <c r="J13">
        <f>IF(B13="","",IF(AND(A13&lt;&gt;"PAGO",H13&gt;G13),"Excede el documento (los posteriores suman más)",IF(AND(A13&lt;&gt;"CDP",C13=""),"Falta el documento previo","OK")))</f>
        <v/>
      </c>
    </row>
    <row r="14">
      <c r="A14" s="3" t="inlineStr">
        <is>
          <t>OBL</t>
        </is>
      </c>
      <c r="B14" s="3" t="inlineStr">
        <is>
          <t>OB-003</t>
        </is>
      </c>
      <c r="C14" s="3" t="inlineStr">
        <is>
          <t>RP-003</t>
        </is>
      </c>
      <c r="D14" s="3" t="n"/>
      <c r="E14" s="3" t="inlineStr">
        <is>
          <t>R3</t>
        </is>
      </c>
      <c r="F14" s="10" t="n">
        <v>46446</v>
      </c>
      <c r="G14" s="4" t="n">
        <v>4500000</v>
      </c>
      <c r="H14" s="5">
        <f>IF(B14="","",SUMIFS($G$4:$G$300,$C$4:$C$300,B14))</f>
        <v/>
      </c>
      <c r="I14" s="5">
        <f>IF(OR(B14="",A14="PAGO"),"",G14-H14)</f>
        <v/>
      </c>
      <c r="J14">
        <f>IF(B14="","",IF(AND(A14&lt;&gt;"PAGO",H14&gt;G14),"Excede el documento (los posteriores suman más)",IF(AND(A14&lt;&gt;"CDP",C14=""),"Falta el documento previo","OK")))</f>
        <v/>
      </c>
    </row>
    <row r="15">
      <c r="A15" s="3" t="inlineStr">
        <is>
          <t>PAGO</t>
        </is>
      </c>
      <c r="B15" s="3" t="inlineStr">
        <is>
          <t>PG-003</t>
        </is>
      </c>
      <c r="C15" s="3" t="inlineStr">
        <is>
          <t>OB-003</t>
        </is>
      </c>
      <c r="D15" s="3" t="n"/>
      <c r="E15" s="3" t="inlineStr">
        <is>
          <t>R3</t>
        </is>
      </c>
      <c r="F15" s="10" t="n">
        <v>46448</v>
      </c>
      <c r="G15" s="4" t="n">
        <v>4500000</v>
      </c>
      <c r="H15" s="5">
        <f>IF(B15="","",SUMIFS($G$4:$G$300,$C$4:$C$300,B15))</f>
        <v/>
      </c>
      <c r="I15" s="5">
        <f>IF(OR(B15="",A15="PAGO"),"",G15-H15)</f>
        <v/>
      </c>
      <c r="J15">
        <f>IF(B15="","",IF(AND(A15&lt;&gt;"PAGO",H15&gt;G15),"Excede el documento (los posteriores suman más)",IF(AND(A15&lt;&gt;"CDP",C15=""),"Falta el documento previo","OK")))</f>
        <v/>
      </c>
    </row>
    <row r="16">
      <c r="A16" s="3" t="inlineStr">
        <is>
          <t>CDP</t>
        </is>
      </c>
      <c r="B16" s="3" t="inlineStr">
        <is>
          <t>CDP-004</t>
        </is>
      </c>
      <c r="C16" s="3" t="n"/>
      <c r="D16" s="3" t="n"/>
      <c r="E16" s="3" t="inlineStr">
        <is>
          <t>R5</t>
        </is>
      </c>
      <c r="F16" s="10" t="n">
        <v>46426</v>
      </c>
      <c r="G16" s="4" t="n">
        <v>20000000</v>
      </c>
      <c r="H16" s="5">
        <f>IF(B16="","",SUMIFS($G$4:$G$300,$C$4:$C$300,B16))</f>
        <v/>
      </c>
      <c r="I16" s="5">
        <f>IF(OR(B16="",A16="PAGO"),"",G16-H16)</f>
        <v/>
      </c>
      <c r="J16">
        <f>IF(B16="","",IF(AND(A16&lt;&gt;"PAGO",H16&gt;G16),"Excede el documento (los posteriores suman más)",IF(AND(A16&lt;&gt;"CDP",C16=""),"Falta el documento previo","OK")))</f>
        <v/>
      </c>
    </row>
    <row r="17">
      <c r="A17" s="3" t="inlineStr">
        <is>
          <t>RP</t>
        </is>
      </c>
      <c r="B17" s="3" t="inlineStr">
        <is>
          <t>RP-004</t>
        </is>
      </c>
      <c r="C17" s="3" t="inlineStr">
        <is>
          <t>CDP-004</t>
        </is>
      </c>
      <c r="D17" s="3" t="n"/>
      <c r="E17" s="3" t="inlineStr">
        <is>
          <t>R5</t>
        </is>
      </c>
      <c r="F17" s="10" t="n">
        <v>46427</v>
      </c>
      <c r="G17" s="4" t="n">
        <v>20000000</v>
      </c>
      <c r="H17" s="5">
        <f>IF(B17="","",SUMIFS($G$4:$G$300,$C$4:$C$300,B17))</f>
        <v/>
      </c>
      <c r="I17" s="5">
        <f>IF(OR(B17="",A17="PAGO"),"",G17-H17)</f>
        <v/>
      </c>
      <c r="J17">
        <f>IF(B17="","",IF(AND(A17&lt;&gt;"PAGO",H17&gt;G17),"Excede el documento (los posteriores suman más)",IF(AND(A17&lt;&gt;"CDP",C17=""),"Falta el documento previo","OK")))</f>
        <v/>
      </c>
    </row>
    <row r="18">
      <c r="A18" s="3" t="inlineStr">
        <is>
          <t>OBL</t>
        </is>
      </c>
      <c r="B18" s="3" t="inlineStr">
        <is>
          <t>OB-004</t>
        </is>
      </c>
      <c r="C18" s="3" t="inlineStr">
        <is>
          <t>RP-004</t>
        </is>
      </c>
      <c r="D18" s="3" t="n"/>
      <c r="E18" s="3" t="inlineStr">
        <is>
          <t>R5</t>
        </is>
      </c>
      <c r="F18" s="10" t="n">
        <v>46447</v>
      </c>
      <c r="G18" s="4" t="n">
        <v>15000000</v>
      </c>
      <c r="H18" s="5">
        <f>IF(B18="","",SUMIFS($G$4:$G$300,$C$4:$C$300,B18))</f>
        <v/>
      </c>
      <c r="I18" s="5">
        <f>IF(OR(B18="",A18="PAGO"),"",G18-H18)</f>
        <v/>
      </c>
      <c r="J18">
        <f>IF(B18="","",IF(AND(A18&lt;&gt;"PAGO",H18&gt;G18),"Excede el documento (los posteriores suman más)",IF(AND(A18&lt;&gt;"CDP",C18=""),"Falta el documento previo","OK")))</f>
        <v/>
      </c>
    </row>
    <row r="19">
      <c r="A19" s="3" t="inlineStr">
        <is>
          <t>PAGO</t>
        </is>
      </c>
      <c r="B19" s="3" t="inlineStr">
        <is>
          <t>PG-004</t>
        </is>
      </c>
      <c r="C19" s="3" t="inlineStr">
        <is>
          <t>OB-004</t>
        </is>
      </c>
      <c r="D19" s="3" t="n"/>
      <c r="E19" s="3" t="inlineStr">
        <is>
          <t>R5</t>
        </is>
      </c>
      <c r="F19" s="10" t="n">
        <v>46451</v>
      </c>
      <c r="G19" s="4" t="n">
        <v>10000000</v>
      </c>
      <c r="H19" s="5">
        <f>IF(B19="","",SUMIFS($G$4:$G$300,$C$4:$C$300,B19))</f>
        <v/>
      </c>
      <c r="I19" s="5">
        <f>IF(OR(B19="",A19="PAGO"),"",G19-H19)</f>
        <v/>
      </c>
      <c r="J19">
        <f>IF(B19="","",IF(AND(A19&lt;&gt;"PAGO",H19&gt;G19),"Excede el documento (los posteriores suman más)",IF(AND(A19&lt;&gt;"CDP",C19=""),"Falta el documento previo","OK")))</f>
        <v/>
      </c>
    </row>
    <row r="20">
      <c r="A20" s="3" t="inlineStr">
        <is>
          <t>CDP</t>
        </is>
      </c>
      <c r="B20" s="3" t="inlineStr">
        <is>
          <t>CDP-005</t>
        </is>
      </c>
      <c r="C20" s="3" t="n"/>
      <c r="D20" s="3" t="n"/>
      <c r="E20" s="3" t="inlineStr">
        <is>
          <t>R4</t>
        </is>
      </c>
      <c r="F20" s="10" t="n">
        <v>46427</v>
      </c>
      <c r="G20" s="4" t="n">
        <v>2000000</v>
      </c>
      <c r="H20" s="5">
        <f>IF(B20="","",SUMIFS($G$4:$G$300,$C$4:$C$300,B20))</f>
        <v/>
      </c>
      <c r="I20" s="5">
        <f>IF(OR(B20="",A20="PAGO"),"",G20-H20)</f>
        <v/>
      </c>
      <c r="J20">
        <f>IF(B20="","",IF(AND(A20&lt;&gt;"PAGO",H20&gt;G20),"Excede el documento (los posteriores suman más)",IF(AND(A20&lt;&gt;"CDP",C20=""),"Falta el documento previo","OK")))</f>
        <v/>
      </c>
    </row>
    <row r="21">
      <c r="A21" s="3" t="inlineStr">
        <is>
          <t>RP</t>
        </is>
      </c>
      <c r="B21" s="3" t="inlineStr">
        <is>
          <t>RP-005</t>
        </is>
      </c>
      <c r="C21" s="3" t="inlineStr">
        <is>
          <t>CDP-005</t>
        </is>
      </c>
      <c r="D21" s="3" t="n"/>
      <c r="E21" s="3" t="inlineStr">
        <is>
          <t>R4</t>
        </is>
      </c>
      <c r="F21" s="10" t="n">
        <v>46429</v>
      </c>
      <c r="G21" s="4" t="n">
        <v>2300000</v>
      </c>
      <c r="H21" s="5">
        <f>IF(B21="","",SUMIFS($G$4:$G$300,$C$4:$C$300,B21))</f>
        <v/>
      </c>
      <c r="I21" s="5">
        <f>IF(OR(B21="",A21="PAGO"),"",G21-H21)</f>
        <v/>
      </c>
      <c r="J21">
        <f>IF(B21="","",IF(AND(A21&lt;&gt;"PAGO",H21&gt;G21),"Excede el documento (los posteriores suman más)",IF(AND(A21&lt;&gt;"CDP",C21=""),"Falta el documento previo","OK")))</f>
        <v/>
      </c>
    </row>
    <row r="22">
      <c r="A22" s="3" t="inlineStr">
        <is>
          <t>OBL</t>
        </is>
      </c>
      <c r="B22" s="3" t="inlineStr">
        <is>
          <t>OB-005</t>
        </is>
      </c>
      <c r="C22" s="3" t="inlineStr">
        <is>
          <t>RP-005</t>
        </is>
      </c>
      <c r="D22" s="3" t="n"/>
      <c r="E22" s="3" t="inlineStr">
        <is>
          <t>R4</t>
        </is>
      </c>
      <c r="F22" s="10" t="n">
        <v>46443</v>
      </c>
      <c r="G22" s="4" t="n">
        <v>2300000</v>
      </c>
      <c r="H22" s="5">
        <f>IF(B22="","",SUMIFS($G$4:$G$300,$C$4:$C$300,B22))</f>
        <v/>
      </c>
      <c r="I22" s="5">
        <f>IF(OR(B22="",A22="PAGO"),"",G22-H22)</f>
        <v/>
      </c>
      <c r="J22">
        <f>IF(B22="","",IF(AND(A22&lt;&gt;"PAGO",H22&gt;G22),"Excede el documento (los posteriores suman más)",IF(AND(A22&lt;&gt;"CDP",C22=""),"Falta el documento previo","OK")))</f>
        <v/>
      </c>
    </row>
    <row r="23">
      <c r="A23" s="3" t="inlineStr">
        <is>
          <t>PAGO</t>
        </is>
      </c>
      <c r="B23" s="3" t="inlineStr">
        <is>
          <t>PG-005</t>
        </is>
      </c>
      <c r="C23" s="3" t="inlineStr">
        <is>
          <t>OB-005</t>
        </is>
      </c>
      <c r="D23" s="3" t="n"/>
      <c r="E23" s="3" t="inlineStr">
        <is>
          <t>R4</t>
        </is>
      </c>
      <c r="F23" s="10" t="n">
        <v>46444</v>
      </c>
      <c r="G23" s="4" t="n">
        <v>2300000</v>
      </c>
      <c r="H23" s="5">
        <f>IF(B23="","",SUMIFS($G$4:$G$300,$C$4:$C$300,B23))</f>
        <v/>
      </c>
      <c r="I23" s="5">
        <f>IF(OR(B23="",A23="PAGO"),"",G23-H23)</f>
        <v/>
      </c>
      <c r="J23">
        <f>IF(B23="","",IF(AND(A23&lt;&gt;"PAGO",H23&gt;G23),"Excede el documento (los posteriores suman más)",IF(AND(A23&lt;&gt;"CDP",C23=""),"Falta el documento previo","OK")))</f>
        <v/>
      </c>
    </row>
    <row r="24">
      <c r="A24" s="3" t="inlineStr">
        <is>
          <t>CDP</t>
        </is>
      </c>
      <c r="B24" s="3" t="inlineStr">
        <is>
          <t>CDP-006</t>
        </is>
      </c>
      <c r="C24" s="3" t="n"/>
      <c r="D24" s="3" t="n"/>
      <c r="E24" s="3" t="inlineStr">
        <is>
          <t>R6</t>
        </is>
      </c>
      <c r="F24" s="10" t="n">
        <v>46433</v>
      </c>
      <c r="G24" s="4" t="n">
        <v>3000000</v>
      </c>
      <c r="H24" s="5">
        <f>IF(B24="","",SUMIFS($G$4:$G$300,$C$4:$C$300,B24))</f>
        <v/>
      </c>
      <c r="I24" s="5">
        <f>IF(OR(B24="",A24="PAGO"),"",G24-H24)</f>
        <v/>
      </c>
      <c r="J24">
        <f>IF(B24="","",IF(AND(A24&lt;&gt;"PAGO",H24&gt;G24),"Excede el documento (los posteriores suman más)",IF(AND(A24&lt;&gt;"CDP",C24=""),"Falta el documento previo","OK")))</f>
        <v/>
      </c>
    </row>
    <row r="25">
      <c r="A25" s="3" t="inlineStr">
        <is>
          <t>CDP</t>
        </is>
      </c>
      <c r="B25" s="3" t="inlineStr">
        <is>
          <t>CDP-007</t>
        </is>
      </c>
      <c r="C25" s="3" t="n"/>
      <c r="D25" s="3" t="n"/>
      <c r="E25" s="3" t="inlineStr">
        <is>
          <t>R7</t>
        </is>
      </c>
      <c r="F25" s="10" t="n">
        <v>46434</v>
      </c>
      <c r="G25" s="4" t="n">
        <v>5000000</v>
      </c>
      <c r="H25" s="5">
        <f>IF(B25="","",SUMIFS($G$4:$G$300,$C$4:$C$300,B25))</f>
        <v/>
      </c>
      <c r="I25" s="5">
        <f>IF(OR(B25="",A25="PAGO"),"",G25-H25)</f>
        <v/>
      </c>
      <c r="J25">
        <f>IF(B25="","",IF(AND(A25&lt;&gt;"PAGO",H25&gt;G25),"Excede el documento (los posteriores suman más)",IF(AND(A25&lt;&gt;"CDP",C25=""),"Falta el documento previo","OK")))</f>
        <v/>
      </c>
    </row>
    <row r="26">
      <c r="A26" s="3" t="inlineStr">
        <is>
          <t>RP</t>
        </is>
      </c>
      <c r="B26" s="3" t="inlineStr">
        <is>
          <t>RP-006</t>
        </is>
      </c>
      <c r="C26" s="3" t="inlineStr">
        <is>
          <t>CDP-007</t>
        </is>
      </c>
      <c r="D26" s="3" t="n"/>
      <c r="E26" s="3" t="inlineStr">
        <is>
          <t>R7</t>
        </is>
      </c>
      <c r="F26" s="10" t="n">
        <v>46435</v>
      </c>
      <c r="G26" s="4" t="n">
        <v>5000000</v>
      </c>
      <c r="H26" s="5">
        <f>IF(B26="","",SUMIFS($G$4:$G$300,$C$4:$C$300,B26))</f>
        <v/>
      </c>
      <c r="I26" s="5">
        <f>IF(OR(B26="",A26="PAGO"),"",G26-H26)</f>
        <v/>
      </c>
      <c r="J26">
        <f>IF(B26="","",IF(AND(A26&lt;&gt;"PAGO",H26&gt;G26),"Excede el documento (los posteriores suman más)",IF(AND(A26&lt;&gt;"CDP",C26=""),"Falta el documento previo","OK")))</f>
        <v/>
      </c>
    </row>
    <row r="27">
      <c r="A27" s="3" t="inlineStr">
        <is>
          <t>OBL</t>
        </is>
      </c>
      <c r="B27" s="3" t="inlineStr">
        <is>
          <t>OB-006</t>
        </is>
      </c>
      <c r="C27" s="3" t="inlineStr">
        <is>
          <t>RP-006</t>
        </is>
      </c>
      <c r="D27" s="3" t="n"/>
      <c r="E27" s="3" t="inlineStr">
        <is>
          <t>R7</t>
        </is>
      </c>
      <c r="F27" s="10" t="n">
        <v>46445</v>
      </c>
      <c r="G27" s="4" t="n">
        <v>5000000</v>
      </c>
      <c r="H27" s="5">
        <f>IF(B27="","",SUMIFS($G$4:$G$300,$C$4:$C$300,B27))</f>
        <v/>
      </c>
      <c r="I27" s="5">
        <f>IF(OR(B27="",A27="PAGO"),"",G27-H27)</f>
        <v/>
      </c>
      <c r="J27">
        <f>IF(B27="","",IF(AND(A27&lt;&gt;"PAGO",H27&gt;G27),"Excede el documento (los posteriores suman más)",IF(AND(A27&lt;&gt;"CDP",C27=""),"Falta el documento previo","OK")))</f>
        <v/>
      </c>
    </row>
    <row r="28">
      <c r="A28" s="3" t="inlineStr">
        <is>
          <t>PAGO</t>
        </is>
      </c>
      <c r="B28" s="3" t="inlineStr">
        <is>
          <t>PG-006</t>
        </is>
      </c>
      <c r="C28" s="3" t="inlineStr">
        <is>
          <t>OB-006</t>
        </is>
      </c>
      <c r="D28" s="3" t="n"/>
      <c r="E28" s="3" t="inlineStr">
        <is>
          <t>R7</t>
        </is>
      </c>
      <c r="F28" s="10" t="n">
        <v>46449</v>
      </c>
      <c r="G28" s="4" t="n">
        <v>4000000</v>
      </c>
      <c r="H28" s="5">
        <f>IF(B28="","",SUMIFS($G$4:$G$300,$C$4:$C$300,B28))</f>
        <v/>
      </c>
      <c r="I28" s="5">
        <f>IF(OR(B28="",A28="PAGO"),"",G28-H28)</f>
        <v/>
      </c>
      <c r="J28">
        <f>IF(B28="","",IF(AND(A28&lt;&gt;"PAGO",H28&gt;G28),"Excede el documento (los posteriores suman más)",IF(AND(A28&lt;&gt;"CDP",C28=""),"Falta el documento previo","OK")))</f>
        <v/>
      </c>
    </row>
    <row r="29">
      <c r="A29" s="3" t="inlineStr">
        <is>
          <t>CDP</t>
        </is>
      </c>
      <c r="B29" s="3" t="inlineStr">
        <is>
          <t>CDP-008</t>
        </is>
      </c>
      <c r="C29" s="3" t="n"/>
      <c r="D29" s="3" t="n"/>
      <c r="E29" s="3" t="inlineStr">
        <is>
          <t>R1</t>
        </is>
      </c>
      <c r="F29" s="10" t="n">
        <v>46436</v>
      </c>
      <c r="G29" s="4" t="n">
        <v>6000000</v>
      </c>
      <c r="H29" s="5">
        <f>IF(B29="","",SUMIFS($G$4:$G$300,$C$4:$C$300,B29))</f>
        <v/>
      </c>
      <c r="I29" s="5">
        <f>IF(OR(B29="",A29="PAGO"),"",G29-H29)</f>
        <v/>
      </c>
      <c r="J29">
        <f>IF(B29="","",IF(AND(A29&lt;&gt;"PAGO",H29&gt;G29),"Excede el documento (los posteriores suman más)",IF(AND(A29&lt;&gt;"CDP",C29=""),"Falta el documento previo","OK")))</f>
        <v/>
      </c>
    </row>
    <row r="30">
      <c r="A30" s="3" t="inlineStr">
        <is>
          <t>RP</t>
        </is>
      </c>
      <c r="B30" s="3" t="inlineStr">
        <is>
          <t>RP-007</t>
        </is>
      </c>
      <c r="C30" s="3" t="inlineStr">
        <is>
          <t>CDP-008</t>
        </is>
      </c>
      <c r="D30" s="3" t="n"/>
      <c r="E30" s="3" t="inlineStr">
        <is>
          <t>R1</t>
        </is>
      </c>
      <c r="F30" s="10" t="n">
        <v>46437</v>
      </c>
      <c r="G30" s="4" t="n">
        <v>6000000</v>
      </c>
      <c r="H30" s="5">
        <f>IF(B30="","",SUMIFS($G$4:$G$300,$C$4:$C$300,B30))</f>
        <v/>
      </c>
      <c r="I30" s="5">
        <f>IF(OR(B30="",A30="PAGO"),"",G30-H30)</f>
        <v/>
      </c>
      <c r="J30">
        <f>IF(B30="","",IF(AND(A30&lt;&gt;"PAGO",H30&gt;G30),"Excede el documento (los posteriores suman más)",IF(AND(A30&lt;&gt;"CDP",C30=""),"Falta el documento previo","OK")))</f>
        <v/>
      </c>
    </row>
    <row r="31">
      <c r="A31" s="3" t="inlineStr">
        <is>
          <t>OBL</t>
        </is>
      </c>
      <c r="B31" s="3" t="inlineStr">
        <is>
          <t>OB-007</t>
        </is>
      </c>
      <c r="C31" s="3" t="inlineStr">
        <is>
          <t>RP-007</t>
        </is>
      </c>
      <c r="D31" s="3" t="n"/>
      <c r="E31" s="3" t="inlineStr">
        <is>
          <t>R1</t>
        </is>
      </c>
      <c r="F31" s="10" t="n">
        <v>46444</v>
      </c>
      <c r="G31" s="4" t="n">
        <v>6000000</v>
      </c>
      <c r="H31" s="5">
        <f>IF(B31="","",SUMIFS($G$4:$G$300,$C$4:$C$300,B31))</f>
        <v/>
      </c>
      <c r="I31" s="5">
        <f>IF(OR(B31="",A31="PAGO"),"",G31-H31)</f>
        <v/>
      </c>
      <c r="J31">
        <f>IF(B31="","",IF(AND(A31&lt;&gt;"PAGO",H31&gt;G31),"Excede el documento (los posteriores suman más)",IF(AND(A31&lt;&gt;"CDP",C31=""),"Falta el documento previo","OK")))</f>
        <v/>
      </c>
    </row>
    <row r="32">
      <c r="A32" s="3" t="inlineStr">
        <is>
          <t>PAGO</t>
        </is>
      </c>
      <c r="B32" s="3" t="inlineStr">
        <is>
          <t>PG-007</t>
        </is>
      </c>
      <c r="C32" s="3" t="inlineStr">
        <is>
          <t>OB-007</t>
        </is>
      </c>
      <c r="D32" s="3" t="n"/>
      <c r="E32" s="3" t="inlineStr">
        <is>
          <t>R1</t>
        </is>
      </c>
      <c r="F32" s="10" t="n">
        <v>46447</v>
      </c>
      <c r="G32" s="4" t="n">
        <v>6000000</v>
      </c>
      <c r="H32" s="5">
        <f>IF(B32="","",SUMIFS($G$4:$G$300,$C$4:$C$300,B32))</f>
        <v/>
      </c>
      <c r="I32" s="5">
        <f>IF(OR(B32="",A32="PAGO"),"",G32-H32)</f>
        <v/>
      </c>
      <c r="J32">
        <f>IF(B32="","",IF(AND(A32&lt;&gt;"PAGO",H32&gt;G32),"Excede el documento (los posteriores suman más)",IF(AND(A32&lt;&gt;"CDP",C32=""),"Falta el documento previo","OK")))</f>
        <v/>
      </c>
    </row>
    <row r="33">
      <c r="A33" s="3" t="inlineStr">
        <is>
          <t>CDP</t>
        </is>
      </c>
      <c r="B33" s="3" t="inlineStr">
        <is>
          <t>CDP-009</t>
        </is>
      </c>
      <c r="C33" s="3" t="n"/>
      <c r="D33" s="3" t="n"/>
      <c r="E33" s="3" t="inlineStr">
        <is>
          <t>R8</t>
        </is>
      </c>
      <c r="F33" s="10" t="n">
        <v>46440</v>
      </c>
      <c r="G33" s="4" t="n">
        <v>3500000</v>
      </c>
      <c r="H33" s="5">
        <f>IF(B33="","",SUMIFS($G$4:$G$300,$C$4:$C$300,B33))</f>
        <v/>
      </c>
      <c r="I33" s="5">
        <f>IF(OR(B33="",A33="PAGO"),"",G33-H33)</f>
        <v/>
      </c>
      <c r="J33">
        <f>IF(B33="","",IF(AND(A33&lt;&gt;"PAGO",H33&gt;G33),"Excede el documento (los posteriores suman más)",IF(AND(A33&lt;&gt;"CDP",C33=""),"Falta el documento previo","OK")))</f>
        <v/>
      </c>
    </row>
    <row r="34">
      <c r="A34" s="3" t="n"/>
      <c r="B34" s="3" t="n"/>
      <c r="C34" s="3" t="n"/>
      <c r="D34" s="3" t="n"/>
      <c r="E34" s="3" t="n"/>
      <c r="F34" s="10" t="n"/>
      <c r="G34" s="4" t="n"/>
      <c r="H34" s="5">
        <f>IF(B34="","",SUMIFS($G$4:$G$300,$C$4:$C$300,B34))</f>
        <v/>
      </c>
      <c r="I34" s="5">
        <f>IF(OR(B34="",A34="PAGO"),"",G34-H34)</f>
        <v/>
      </c>
      <c r="J34">
        <f>IF(B34="","",IF(AND(A34&lt;&gt;"PAGO",H34&gt;G34),"Excede el documento (los posteriores suman más)",IF(AND(A34&lt;&gt;"CDP",C34=""),"Falta el documento previo","OK")))</f>
        <v/>
      </c>
    </row>
    <row r="35">
      <c r="A35" s="3" t="n"/>
      <c r="B35" s="3" t="n"/>
      <c r="C35" s="3" t="n"/>
      <c r="D35" s="3" t="n"/>
      <c r="E35" s="3" t="n"/>
      <c r="F35" s="10" t="n"/>
      <c r="G35" s="4" t="n"/>
      <c r="H35" s="5">
        <f>IF(B35="","",SUMIFS($G$4:$G$300,$C$4:$C$300,B35))</f>
        <v/>
      </c>
      <c r="I35" s="5">
        <f>IF(OR(B35="",A35="PAGO"),"",G35-H35)</f>
        <v/>
      </c>
      <c r="J35">
        <f>IF(B35="","",IF(AND(A35&lt;&gt;"PAGO",H35&gt;G35),"Excede el documento (los posteriores suman más)",IF(AND(A35&lt;&gt;"CDP",C35=""),"Falta el documento previo","OK")))</f>
        <v/>
      </c>
    </row>
    <row r="36">
      <c r="A36" s="3" t="n"/>
      <c r="B36" s="3" t="n"/>
      <c r="C36" s="3" t="n"/>
      <c r="D36" s="3" t="n"/>
      <c r="E36" s="3" t="n"/>
      <c r="F36" s="10" t="n"/>
      <c r="G36" s="4" t="n"/>
      <c r="H36" s="5">
        <f>IF(B36="","",SUMIFS($G$4:$G$300,$C$4:$C$300,B36))</f>
        <v/>
      </c>
      <c r="I36" s="5">
        <f>IF(OR(B36="",A36="PAGO"),"",G36-H36)</f>
        <v/>
      </c>
      <c r="J36">
        <f>IF(B36="","",IF(AND(A36&lt;&gt;"PAGO",H36&gt;G36),"Excede el documento (los posteriores suman más)",IF(AND(A36&lt;&gt;"CDP",C36=""),"Falta el documento previo","OK")))</f>
        <v/>
      </c>
    </row>
    <row r="37">
      <c r="A37" s="3" t="n"/>
      <c r="B37" s="3" t="n"/>
      <c r="C37" s="3" t="n"/>
      <c r="D37" s="3" t="n"/>
      <c r="E37" s="3" t="n"/>
      <c r="F37" s="10" t="n"/>
      <c r="G37" s="4" t="n"/>
      <c r="H37" s="5">
        <f>IF(B37="","",SUMIFS($G$4:$G$300,$C$4:$C$300,B37))</f>
        <v/>
      </c>
      <c r="I37" s="5">
        <f>IF(OR(B37="",A37="PAGO"),"",G37-H37)</f>
        <v/>
      </c>
      <c r="J37">
        <f>IF(B37="","",IF(AND(A37&lt;&gt;"PAGO",H37&gt;G37),"Excede el documento (los posteriores suman más)",IF(AND(A37&lt;&gt;"CDP",C37=""),"Falta el documento previo","OK")))</f>
        <v/>
      </c>
    </row>
    <row r="38">
      <c r="A38" s="3" t="n"/>
      <c r="B38" s="3" t="n"/>
      <c r="C38" s="3" t="n"/>
      <c r="D38" s="3" t="n"/>
      <c r="E38" s="3" t="n"/>
      <c r="F38" s="10" t="n"/>
      <c r="G38" s="4" t="n"/>
      <c r="H38" s="5">
        <f>IF(B38="","",SUMIFS($G$4:$G$300,$C$4:$C$300,B38))</f>
        <v/>
      </c>
      <c r="I38" s="5">
        <f>IF(OR(B38="",A38="PAGO"),"",G38-H38)</f>
        <v/>
      </c>
      <c r="J38">
        <f>IF(B38="","",IF(AND(A38&lt;&gt;"PAGO",H38&gt;G38),"Excede el documento (los posteriores suman más)",IF(AND(A38&lt;&gt;"CDP",C38=""),"Falta el documento previo","OK")))</f>
        <v/>
      </c>
    </row>
    <row r="39">
      <c r="A39" s="3" t="n"/>
      <c r="B39" s="3" t="n"/>
      <c r="C39" s="3" t="n"/>
      <c r="D39" s="3" t="n"/>
      <c r="E39" s="3" t="n"/>
      <c r="F39" s="10" t="n"/>
      <c r="G39" s="4" t="n"/>
      <c r="H39" s="5">
        <f>IF(B39="","",SUMIFS($G$4:$G$300,$C$4:$C$300,B39))</f>
        <v/>
      </c>
      <c r="I39" s="5">
        <f>IF(OR(B39="",A39="PAGO"),"",G39-H39)</f>
        <v/>
      </c>
      <c r="J39">
        <f>IF(B39="","",IF(AND(A39&lt;&gt;"PAGO",H39&gt;G39),"Excede el documento (los posteriores suman más)",IF(AND(A39&lt;&gt;"CDP",C39=""),"Falta el documento previo","OK")))</f>
        <v/>
      </c>
    </row>
    <row r="40">
      <c r="A40" s="3" t="n"/>
      <c r="B40" s="3" t="n"/>
      <c r="C40" s="3" t="n"/>
      <c r="D40" s="3" t="n"/>
      <c r="E40" s="3" t="n"/>
      <c r="F40" s="10" t="n"/>
      <c r="G40" s="4" t="n"/>
      <c r="H40" s="5">
        <f>IF(B40="","",SUMIFS($G$4:$G$300,$C$4:$C$300,B40))</f>
        <v/>
      </c>
      <c r="I40" s="5">
        <f>IF(OR(B40="",A40="PAGO"),"",G40-H40)</f>
        <v/>
      </c>
      <c r="J40">
        <f>IF(B40="","",IF(AND(A40&lt;&gt;"PAGO",H40&gt;G40),"Excede el documento (los posteriores suman más)",IF(AND(A40&lt;&gt;"CDP",C40=""),"Falta el documento previo","OK")))</f>
        <v/>
      </c>
    </row>
    <row r="41">
      <c r="A41" s="3" t="n"/>
      <c r="B41" s="3" t="n"/>
      <c r="C41" s="3" t="n"/>
      <c r="D41" s="3" t="n"/>
      <c r="E41" s="3" t="n"/>
      <c r="F41" s="10" t="n"/>
      <c r="G41" s="4" t="n"/>
      <c r="H41" s="5">
        <f>IF(B41="","",SUMIFS($G$4:$G$300,$C$4:$C$300,B41))</f>
        <v/>
      </c>
      <c r="I41" s="5">
        <f>IF(OR(B41="",A41="PAGO"),"",G41-H41)</f>
        <v/>
      </c>
      <c r="J41">
        <f>IF(B41="","",IF(AND(A41&lt;&gt;"PAGO",H41&gt;G41),"Excede el documento (los posteriores suman más)",IF(AND(A41&lt;&gt;"CDP",C41=""),"Falta el documento previo","OK")))</f>
        <v/>
      </c>
    </row>
    <row r="42">
      <c r="A42" s="3" t="n"/>
      <c r="B42" s="3" t="n"/>
      <c r="C42" s="3" t="n"/>
      <c r="D42" s="3" t="n"/>
      <c r="E42" s="3" t="n"/>
      <c r="F42" s="10" t="n"/>
      <c r="G42" s="4" t="n"/>
      <c r="H42" s="5">
        <f>IF(B42="","",SUMIFS($G$4:$G$300,$C$4:$C$300,B42))</f>
        <v/>
      </c>
      <c r="I42" s="5">
        <f>IF(OR(B42="",A42="PAGO"),"",G42-H42)</f>
        <v/>
      </c>
      <c r="J42">
        <f>IF(B42="","",IF(AND(A42&lt;&gt;"PAGO",H42&gt;G42),"Excede el documento (los posteriores suman más)",IF(AND(A42&lt;&gt;"CDP",C42=""),"Falta el documento previo","OK")))</f>
        <v/>
      </c>
    </row>
    <row r="43">
      <c r="A43" s="3" t="n"/>
      <c r="B43" s="3" t="n"/>
      <c r="C43" s="3" t="n"/>
      <c r="D43" s="3" t="n"/>
      <c r="E43" s="3" t="n"/>
      <c r="F43" s="10" t="n"/>
      <c r="G43" s="4" t="n"/>
      <c r="H43" s="5">
        <f>IF(B43="","",SUMIFS($G$4:$G$300,$C$4:$C$300,B43))</f>
        <v/>
      </c>
      <c r="I43" s="5">
        <f>IF(OR(B43="",A43="PAGO"),"",G43-H43)</f>
        <v/>
      </c>
      <c r="J43">
        <f>IF(B43="","",IF(AND(A43&lt;&gt;"PAGO",H43&gt;G43),"Excede el documento (los posteriores suman más)",IF(AND(A43&lt;&gt;"CDP",C43=""),"Falta el documento previo","OK")))</f>
        <v/>
      </c>
    </row>
    <row r="44">
      <c r="A44" s="3" t="n"/>
      <c r="B44" s="3" t="n"/>
      <c r="C44" s="3" t="n"/>
      <c r="D44" s="3" t="n"/>
      <c r="E44" s="3" t="n"/>
      <c r="F44" s="10" t="n"/>
      <c r="G44" s="4" t="n"/>
      <c r="H44" s="5">
        <f>IF(B44="","",SUMIFS($G$4:$G$300,$C$4:$C$300,B44))</f>
        <v/>
      </c>
      <c r="I44" s="5">
        <f>IF(OR(B44="",A44="PAGO"),"",G44-H44)</f>
        <v/>
      </c>
      <c r="J44">
        <f>IF(B44="","",IF(AND(A44&lt;&gt;"PAGO",H44&gt;G44),"Excede el documento (los posteriores suman más)",IF(AND(A44&lt;&gt;"CDP",C44=""),"Falta el documento previo","OK")))</f>
        <v/>
      </c>
    </row>
    <row r="45">
      <c r="A45" s="3" t="n"/>
      <c r="B45" s="3" t="n"/>
      <c r="C45" s="3" t="n"/>
      <c r="D45" s="3" t="n"/>
      <c r="E45" s="3" t="n"/>
      <c r="F45" s="10" t="n"/>
      <c r="G45" s="4" t="n"/>
      <c r="H45" s="5">
        <f>IF(B45="","",SUMIFS($G$4:$G$300,$C$4:$C$300,B45))</f>
        <v/>
      </c>
      <c r="I45" s="5">
        <f>IF(OR(B45="",A45="PAGO"),"",G45-H45)</f>
        <v/>
      </c>
      <c r="J45">
        <f>IF(B45="","",IF(AND(A45&lt;&gt;"PAGO",H45&gt;G45),"Excede el documento (los posteriores suman más)",IF(AND(A45&lt;&gt;"CDP",C45=""),"Falta el documento previo","OK")))</f>
        <v/>
      </c>
    </row>
    <row r="46">
      <c r="A46" s="3" t="n"/>
      <c r="B46" s="3" t="n"/>
      <c r="C46" s="3" t="n"/>
      <c r="D46" s="3" t="n"/>
      <c r="E46" s="3" t="n"/>
      <c r="F46" s="10" t="n"/>
      <c r="G46" s="4" t="n"/>
      <c r="H46" s="5">
        <f>IF(B46="","",SUMIFS($G$4:$G$300,$C$4:$C$300,B46))</f>
        <v/>
      </c>
      <c r="I46" s="5">
        <f>IF(OR(B46="",A46="PAGO"),"",G46-H46)</f>
        <v/>
      </c>
      <c r="J46">
        <f>IF(B46="","",IF(AND(A46&lt;&gt;"PAGO",H46&gt;G46),"Excede el documento (los posteriores suman más)",IF(AND(A46&lt;&gt;"CDP",C46=""),"Falta el documento previo","OK")))</f>
        <v/>
      </c>
    </row>
    <row r="47">
      <c r="A47" s="3" t="n"/>
      <c r="B47" s="3" t="n"/>
      <c r="C47" s="3" t="n"/>
      <c r="D47" s="3" t="n"/>
      <c r="E47" s="3" t="n"/>
      <c r="F47" s="10" t="n"/>
      <c r="G47" s="4" t="n"/>
      <c r="H47" s="5">
        <f>IF(B47="","",SUMIFS($G$4:$G$300,$C$4:$C$300,B47))</f>
        <v/>
      </c>
      <c r="I47" s="5">
        <f>IF(OR(B47="",A47="PAGO"),"",G47-H47)</f>
        <v/>
      </c>
      <c r="J47">
        <f>IF(B47="","",IF(AND(A47&lt;&gt;"PAGO",H47&gt;G47),"Excede el documento (los posteriores suman más)",IF(AND(A47&lt;&gt;"CDP",C47=""),"Falta el documento previo","OK")))</f>
        <v/>
      </c>
    </row>
    <row r="48">
      <c r="A48" s="3" t="n"/>
      <c r="B48" s="3" t="n"/>
      <c r="C48" s="3" t="n"/>
      <c r="D48" s="3" t="n"/>
      <c r="E48" s="3" t="n"/>
      <c r="F48" s="10" t="n"/>
      <c r="G48" s="4" t="n"/>
      <c r="H48" s="5">
        <f>IF(B48="","",SUMIFS($G$4:$G$300,$C$4:$C$300,B48))</f>
        <v/>
      </c>
      <c r="I48" s="5">
        <f>IF(OR(B48="",A48="PAGO"),"",G48-H48)</f>
        <v/>
      </c>
      <c r="J48">
        <f>IF(B48="","",IF(AND(A48&lt;&gt;"PAGO",H48&gt;G48),"Excede el documento (los posteriores suman más)",IF(AND(A48&lt;&gt;"CDP",C48=""),"Falta el documento previo","OK")))</f>
        <v/>
      </c>
    </row>
    <row r="49">
      <c r="A49" s="3" t="n"/>
      <c r="B49" s="3" t="n"/>
      <c r="C49" s="3" t="n"/>
      <c r="D49" s="3" t="n"/>
      <c r="E49" s="3" t="n"/>
      <c r="F49" s="10" t="n"/>
      <c r="G49" s="4" t="n"/>
      <c r="H49" s="5">
        <f>IF(B49="","",SUMIFS($G$4:$G$300,$C$4:$C$300,B49))</f>
        <v/>
      </c>
      <c r="I49" s="5">
        <f>IF(OR(B49="",A49="PAGO"),"",G49-H49)</f>
        <v/>
      </c>
      <c r="J49">
        <f>IF(B49="","",IF(AND(A49&lt;&gt;"PAGO",H49&gt;G49),"Excede el documento (los posteriores suman más)",IF(AND(A49&lt;&gt;"CDP",C49=""),"Falta el documento previo","OK")))</f>
        <v/>
      </c>
    </row>
    <row r="50">
      <c r="A50" s="3" t="n"/>
      <c r="B50" s="3" t="n"/>
      <c r="C50" s="3" t="n"/>
      <c r="D50" s="3" t="n"/>
      <c r="E50" s="3" t="n"/>
      <c r="F50" s="10" t="n"/>
      <c r="G50" s="4" t="n"/>
      <c r="H50" s="5">
        <f>IF(B50="","",SUMIFS($G$4:$G$300,$C$4:$C$300,B50))</f>
        <v/>
      </c>
      <c r="I50" s="5">
        <f>IF(OR(B50="",A50="PAGO"),"",G50-H50)</f>
        <v/>
      </c>
      <c r="J50">
        <f>IF(B50="","",IF(AND(A50&lt;&gt;"PAGO",H50&gt;G50),"Excede el documento (los posteriores suman más)",IF(AND(A50&lt;&gt;"CDP",C50=""),"Falta el documento previo","OK")))</f>
        <v/>
      </c>
    </row>
    <row r="51">
      <c r="A51" s="3" t="n"/>
      <c r="B51" s="3" t="n"/>
      <c r="C51" s="3" t="n"/>
      <c r="D51" s="3" t="n"/>
      <c r="E51" s="3" t="n"/>
      <c r="F51" s="10" t="n"/>
      <c r="G51" s="4" t="n"/>
      <c r="H51" s="5">
        <f>IF(B51="","",SUMIFS($G$4:$G$300,$C$4:$C$300,B51))</f>
        <v/>
      </c>
      <c r="I51" s="5">
        <f>IF(OR(B51="",A51="PAGO"),"",G51-H51)</f>
        <v/>
      </c>
      <c r="J51">
        <f>IF(B51="","",IF(AND(A51&lt;&gt;"PAGO",H51&gt;G51),"Excede el documento (los posteriores suman más)",IF(AND(A51&lt;&gt;"CDP",C51=""),"Falta el documento previo","OK")))</f>
        <v/>
      </c>
    </row>
    <row r="52">
      <c r="A52" s="3" t="n"/>
      <c r="B52" s="3" t="n"/>
      <c r="C52" s="3" t="n"/>
      <c r="D52" s="3" t="n"/>
      <c r="E52" s="3" t="n"/>
      <c r="F52" s="10" t="n"/>
      <c r="G52" s="4" t="n"/>
      <c r="H52" s="5">
        <f>IF(B52="","",SUMIFS($G$4:$G$300,$C$4:$C$300,B52))</f>
        <v/>
      </c>
      <c r="I52" s="5">
        <f>IF(OR(B52="",A52="PAGO"),"",G52-H52)</f>
        <v/>
      </c>
      <c r="J52">
        <f>IF(B52="","",IF(AND(A52&lt;&gt;"PAGO",H52&gt;G52),"Excede el documento (los posteriores suman más)",IF(AND(A52&lt;&gt;"CDP",C52=""),"Falta el documento previo","OK")))</f>
        <v/>
      </c>
    </row>
    <row r="53">
      <c r="A53" s="3" t="n"/>
      <c r="B53" s="3" t="n"/>
      <c r="C53" s="3" t="n"/>
      <c r="D53" s="3" t="n"/>
      <c r="E53" s="3" t="n"/>
      <c r="F53" s="10" t="n"/>
      <c r="G53" s="4" t="n"/>
      <c r="H53" s="5">
        <f>IF(B53="","",SUMIFS($G$4:$G$300,$C$4:$C$300,B53))</f>
        <v/>
      </c>
      <c r="I53" s="5">
        <f>IF(OR(B53="",A53="PAGO"),"",G53-H53)</f>
        <v/>
      </c>
      <c r="J53">
        <f>IF(B53="","",IF(AND(A53&lt;&gt;"PAGO",H53&gt;G53),"Excede el documento (los posteriores suman más)",IF(AND(A53&lt;&gt;"CDP",C53=""),"Falta el documento previo","OK")))</f>
        <v/>
      </c>
    </row>
    <row r="54">
      <c r="A54" s="3" t="n"/>
      <c r="B54" s="3" t="n"/>
      <c r="C54" s="3" t="n"/>
      <c r="D54" s="3" t="n"/>
      <c r="E54" s="3" t="n"/>
      <c r="F54" s="10" t="n"/>
      <c r="G54" s="4" t="n"/>
      <c r="H54" s="5">
        <f>IF(B54="","",SUMIFS($G$4:$G$300,$C$4:$C$300,B54))</f>
        <v/>
      </c>
      <c r="I54" s="5">
        <f>IF(OR(B54="",A54="PAGO"),"",G54-H54)</f>
        <v/>
      </c>
      <c r="J54">
        <f>IF(B54="","",IF(AND(A54&lt;&gt;"PAGO",H54&gt;G54),"Excede el documento (los posteriores suman más)",IF(AND(A54&lt;&gt;"CDP",C54=""),"Falta el documento previo","OK")))</f>
        <v/>
      </c>
    </row>
    <row r="55">
      <c r="A55" s="3" t="n"/>
      <c r="B55" s="3" t="n"/>
      <c r="C55" s="3" t="n"/>
      <c r="D55" s="3" t="n"/>
      <c r="E55" s="3" t="n"/>
      <c r="F55" s="10" t="n"/>
      <c r="G55" s="4" t="n"/>
      <c r="H55" s="5">
        <f>IF(B55="","",SUMIFS($G$4:$G$300,$C$4:$C$300,B55))</f>
        <v/>
      </c>
      <c r="I55" s="5">
        <f>IF(OR(B55="",A55="PAGO"),"",G55-H55)</f>
        <v/>
      </c>
      <c r="J55">
        <f>IF(B55="","",IF(AND(A55&lt;&gt;"PAGO",H55&gt;G55),"Excede el documento (los posteriores suman más)",IF(AND(A55&lt;&gt;"CDP",C55=""),"Falta el documento previo","OK")))</f>
        <v/>
      </c>
    </row>
    <row r="56">
      <c r="A56" s="3" t="n"/>
      <c r="B56" s="3" t="n"/>
      <c r="C56" s="3" t="n"/>
      <c r="D56" s="3" t="n"/>
      <c r="E56" s="3" t="n"/>
      <c r="F56" s="10" t="n"/>
      <c r="G56" s="4" t="n"/>
      <c r="H56" s="5">
        <f>IF(B56="","",SUMIFS($G$4:$G$300,$C$4:$C$300,B56))</f>
        <v/>
      </c>
      <c r="I56" s="5">
        <f>IF(OR(B56="",A56="PAGO"),"",G56-H56)</f>
        <v/>
      </c>
      <c r="J56">
        <f>IF(B56="","",IF(AND(A56&lt;&gt;"PAGO",H56&gt;G56),"Excede el documento (los posteriores suman más)",IF(AND(A56&lt;&gt;"CDP",C56=""),"Falta el documento previo","OK")))</f>
        <v/>
      </c>
    </row>
    <row r="57">
      <c r="A57" s="3" t="n"/>
      <c r="B57" s="3" t="n"/>
      <c r="C57" s="3" t="n"/>
      <c r="D57" s="3" t="n"/>
      <c r="E57" s="3" t="n"/>
      <c r="F57" s="10" t="n"/>
      <c r="G57" s="4" t="n"/>
      <c r="H57" s="5">
        <f>IF(B57="","",SUMIFS($G$4:$G$300,$C$4:$C$300,B57))</f>
        <v/>
      </c>
      <c r="I57" s="5">
        <f>IF(OR(B57="",A57="PAGO"),"",G57-H57)</f>
        <v/>
      </c>
      <c r="J57">
        <f>IF(B57="","",IF(AND(A57&lt;&gt;"PAGO",H57&gt;G57),"Excede el documento (los posteriores suman más)",IF(AND(A57&lt;&gt;"CDP",C57=""),"Falta el documento previo","OK")))</f>
        <v/>
      </c>
    </row>
    <row r="58">
      <c r="A58" s="3" t="n"/>
      <c r="B58" s="3" t="n"/>
      <c r="C58" s="3" t="n"/>
      <c r="D58" s="3" t="n"/>
      <c r="E58" s="3" t="n"/>
      <c r="F58" s="10" t="n"/>
      <c r="G58" s="4" t="n"/>
      <c r="H58" s="5">
        <f>IF(B58="","",SUMIFS($G$4:$G$300,$C$4:$C$300,B58))</f>
        <v/>
      </c>
      <c r="I58" s="5">
        <f>IF(OR(B58="",A58="PAGO"),"",G58-H58)</f>
        <v/>
      </c>
      <c r="J58">
        <f>IF(B58="","",IF(AND(A58&lt;&gt;"PAGO",H58&gt;G58),"Excede el documento (los posteriores suman más)",IF(AND(A58&lt;&gt;"CDP",C58=""),"Falta el documento previo","OK")))</f>
        <v/>
      </c>
    </row>
    <row r="59">
      <c r="A59" s="3" t="n"/>
      <c r="B59" s="3" t="n"/>
      <c r="C59" s="3" t="n"/>
      <c r="D59" s="3" t="n"/>
      <c r="E59" s="3" t="n"/>
      <c r="F59" s="10" t="n"/>
      <c r="G59" s="4" t="n"/>
      <c r="H59" s="5">
        <f>IF(B59="","",SUMIFS($G$4:$G$300,$C$4:$C$300,B59))</f>
        <v/>
      </c>
      <c r="I59" s="5">
        <f>IF(OR(B59="",A59="PAGO"),"",G59-H59)</f>
        <v/>
      </c>
      <c r="J59">
        <f>IF(B59="","",IF(AND(A59&lt;&gt;"PAGO",H59&gt;G59),"Excede el documento (los posteriores suman más)",IF(AND(A59&lt;&gt;"CDP",C59=""),"Falta el documento previo","OK")))</f>
        <v/>
      </c>
    </row>
    <row r="60">
      <c r="A60" s="3" t="n"/>
      <c r="B60" s="3" t="n"/>
      <c r="C60" s="3" t="n"/>
      <c r="D60" s="3" t="n"/>
      <c r="E60" s="3" t="n"/>
      <c r="F60" s="10" t="n"/>
      <c r="G60" s="4" t="n"/>
      <c r="H60" s="5">
        <f>IF(B60="","",SUMIFS($G$4:$G$300,$C$4:$C$300,B60))</f>
        <v/>
      </c>
      <c r="I60" s="5">
        <f>IF(OR(B60="",A60="PAGO"),"",G60-H60)</f>
        <v/>
      </c>
      <c r="J60">
        <f>IF(B60="","",IF(AND(A60&lt;&gt;"PAGO",H60&gt;G60),"Excede el documento (los posteriores suman más)",IF(AND(A60&lt;&gt;"CDP",C60=""),"Falta el documento previo","OK")))</f>
        <v/>
      </c>
    </row>
    <row r="61">
      <c r="A61" s="3" t="n"/>
      <c r="B61" s="3" t="n"/>
      <c r="C61" s="3" t="n"/>
      <c r="D61" s="3" t="n"/>
      <c r="E61" s="3" t="n"/>
      <c r="F61" s="10" t="n"/>
      <c r="G61" s="4" t="n"/>
      <c r="H61" s="5">
        <f>IF(B61="","",SUMIFS($G$4:$G$300,$C$4:$C$300,B61))</f>
        <v/>
      </c>
      <c r="I61" s="5">
        <f>IF(OR(B61="",A61="PAGO"),"",G61-H61)</f>
        <v/>
      </c>
      <c r="J61">
        <f>IF(B61="","",IF(AND(A61&lt;&gt;"PAGO",H61&gt;G61),"Excede el documento (los posteriores suman más)",IF(AND(A61&lt;&gt;"CDP",C61=""),"Falta el documento previo","OK")))</f>
        <v/>
      </c>
    </row>
    <row r="62">
      <c r="A62" s="3" t="n"/>
      <c r="B62" s="3" t="n"/>
      <c r="C62" s="3" t="n"/>
      <c r="D62" s="3" t="n"/>
      <c r="E62" s="3" t="n"/>
      <c r="F62" s="10" t="n"/>
      <c r="G62" s="4" t="n"/>
      <c r="H62" s="5">
        <f>IF(B62="","",SUMIFS($G$4:$G$300,$C$4:$C$300,B62))</f>
        <v/>
      </c>
      <c r="I62" s="5">
        <f>IF(OR(B62="",A62="PAGO"),"",G62-H62)</f>
        <v/>
      </c>
      <c r="J62">
        <f>IF(B62="","",IF(AND(A62&lt;&gt;"PAGO",H62&gt;G62),"Excede el documento (los posteriores suman más)",IF(AND(A62&lt;&gt;"CDP",C62=""),"Falta el documento previo","OK")))</f>
        <v/>
      </c>
    </row>
    <row r="63">
      <c r="A63" s="3" t="n"/>
      <c r="B63" s="3" t="n"/>
      <c r="C63" s="3" t="n"/>
      <c r="D63" s="3" t="n"/>
      <c r="E63" s="3" t="n"/>
      <c r="F63" s="10" t="n"/>
      <c r="G63" s="4" t="n"/>
      <c r="H63" s="5">
        <f>IF(B63="","",SUMIFS($G$4:$G$300,$C$4:$C$300,B63))</f>
        <v/>
      </c>
      <c r="I63" s="5">
        <f>IF(OR(B63="",A63="PAGO"),"",G63-H63)</f>
        <v/>
      </c>
      <c r="J63">
        <f>IF(B63="","",IF(AND(A63&lt;&gt;"PAGO",H63&gt;G63),"Excede el documento (los posteriores suman más)",IF(AND(A63&lt;&gt;"CDP",C63=""),"Falta el documento previo","OK")))</f>
        <v/>
      </c>
    </row>
    <row r="64">
      <c r="A64" s="3" t="n"/>
      <c r="B64" s="3" t="n"/>
      <c r="C64" s="3" t="n"/>
      <c r="D64" s="3" t="n"/>
      <c r="E64" s="3" t="n"/>
      <c r="F64" s="10" t="n"/>
      <c r="G64" s="4" t="n"/>
      <c r="H64" s="5">
        <f>IF(B64="","",SUMIFS($G$4:$G$300,$C$4:$C$300,B64))</f>
        <v/>
      </c>
      <c r="I64" s="5">
        <f>IF(OR(B64="",A64="PAGO"),"",G64-H64)</f>
        <v/>
      </c>
      <c r="J64">
        <f>IF(B64="","",IF(AND(A64&lt;&gt;"PAGO",H64&gt;G64),"Excede el documento (los posteriores suman más)",IF(AND(A64&lt;&gt;"CDP",C64=""),"Falta el documento previo","OK")))</f>
        <v/>
      </c>
    </row>
    <row r="65">
      <c r="A65" s="3" t="n"/>
      <c r="B65" s="3" t="n"/>
      <c r="C65" s="3" t="n"/>
      <c r="D65" s="3" t="n"/>
      <c r="E65" s="3" t="n"/>
      <c r="F65" s="10" t="n"/>
      <c r="G65" s="4" t="n"/>
      <c r="H65" s="5">
        <f>IF(B65="","",SUMIFS($G$4:$G$300,$C$4:$C$300,B65))</f>
        <v/>
      </c>
      <c r="I65" s="5">
        <f>IF(OR(B65="",A65="PAGO"),"",G65-H65)</f>
        <v/>
      </c>
      <c r="J65">
        <f>IF(B65="","",IF(AND(A65&lt;&gt;"PAGO",H65&gt;G65),"Excede el documento (los posteriores suman más)",IF(AND(A65&lt;&gt;"CDP",C65=""),"Falta el documento previo","OK")))</f>
        <v/>
      </c>
    </row>
    <row r="66">
      <c r="A66" s="3" t="n"/>
      <c r="B66" s="3" t="n"/>
      <c r="C66" s="3" t="n"/>
      <c r="D66" s="3" t="n"/>
      <c r="E66" s="3" t="n"/>
      <c r="F66" s="10" t="n"/>
      <c r="G66" s="4" t="n"/>
      <c r="H66" s="5">
        <f>IF(B66="","",SUMIFS($G$4:$G$300,$C$4:$C$300,B66))</f>
        <v/>
      </c>
      <c r="I66" s="5">
        <f>IF(OR(B66="",A66="PAGO"),"",G66-H66)</f>
        <v/>
      </c>
      <c r="J66">
        <f>IF(B66="","",IF(AND(A66&lt;&gt;"PAGO",H66&gt;G66),"Excede el documento (los posteriores suman más)",IF(AND(A66&lt;&gt;"CDP",C66=""),"Falta el documento previo","OK")))</f>
        <v/>
      </c>
    </row>
    <row r="67">
      <c r="A67" s="3" t="n"/>
      <c r="B67" s="3" t="n"/>
      <c r="C67" s="3" t="n"/>
      <c r="D67" s="3" t="n"/>
      <c r="E67" s="3" t="n"/>
      <c r="F67" s="10" t="n"/>
      <c r="G67" s="4" t="n"/>
      <c r="H67" s="5">
        <f>IF(B67="","",SUMIFS($G$4:$G$300,$C$4:$C$300,B67))</f>
        <v/>
      </c>
      <c r="I67" s="5">
        <f>IF(OR(B67="",A67="PAGO"),"",G67-H67)</f>
        <v/>
      </c>
      <c r="J67">
        <f>IF(B67="","",IF(AND(A67&lt;&gt;"PAGO",H67&gt;G67),"Excede el documento (los posteriores suman más)",IF(AND(A67&lt;&gt;"CDP",C67=""),"Falta el documento previo","OK")))</f>
        <v/>
      </c>
    </row>
    <row r="68">
      <c r="A68" s="3" t="n"/>
      <c r="B68" s="3" t="n"/>
      <c r="C68" s="3" t="n"/>
      <c r="D68" s="3" t="n"/>
      <c r="E68" s="3" t="n"/>
      <c r="F68" s="10" t="n"/>
      <c r="G68" s="4" t="n"/>
      <c r="H68" s="5">
        <f>IF(B68="","",SUMIFS($G$4:$G$300,$C$4:$C$300,B68))</f>
        <v/>
      </c>
      <c r="I68" s="5">
        <f>IF(OR(B68="",A68="PAGO"),"",G68-H68)</f>
        <v/>
      </c>
      <c r="J68">
        <f>IF(B68="","",IF(AND(A68&lt;&gt;"PAGO",H68&gt;G68),"Excede el documento (los posteriores suman más)",IF(AND(A68&lt;&gt;"CDP",C68=""),"Falta el documento previo","OK")))</f>
        <v/>
      </c>
    </row>
    <row r="69">
      <c r="A69" s="3" t="n"/>
      <c r="B69" s="3" t="n"/>
      <c r="C69" s="3" t="n"/>
      <c r="D69" s="3" t="n"/>
      <c r="E69" s="3" t="n"/>
      <c r="F69" s="10" t="n"/>
      <c r="G69" s="4" t="n"/>
      <c r="H69" s="5">
        <f>IF(B69="","",SUMIFS($G$4:$G$300,$C$4:$C$300,B69))</f>
        <v/>
      </c>
      <c r="I69" s="5">
        <f>IF(OR(B69="",A69="PAGO"),"",G69-H69)</f>
        <v/>
      </c>
      <c r="J69">
        <f>IF(B69="","",IF(AND(A69&lt;&gt;"PAGO",H69&gt;G69),"Excede el documento (los posteriores suman más)",IF(AND(A69&lt;&gt;"CDP",C69=""),"Falta el documento previo","OK")))</f>
        <v/>
      </c>
    </row>
    <row r="70">
      <c r="A70" s="3" t="n"/>
      <c r="B70" s="3" t="n"/>
      <c r="C70" s="3" t="n"/>
      <c r="D70" s="3" t="n"/>
      <c r="E70" s="3" t="n"/>
      <c r="F70" s="10" t="n"/>
      <c r="G70" s="4" t="n"/>
      <c r="H70" s="5">
        <f>IF(B70="","",SUMIFS($G$4:$G$300,$C$4:$C$300,B70))</f>
        <v/>
      </c>
      <c r="I70" s="5">
        <f>IF(OR(B70="",A70="PAGO"),"",G70-H70)</f>
        <v/>
      </c>
      <c r="J70">
        <f>IF(B70="","",IF(AND(A70&lt;&gt;"PAGO",H70&gt;G70),"Excede el documento (los posteriores suman más)",IF(AND(A70&lt;&gt;"CDP",C70=""),"Falta el documento previo","OK")))</f>
        <v/>
      </c>
    </row>
    <row r="71">
      <c r="A71" s="3" t="n"/>
      <c r="B71" s="3" t="n"/>
      <c r="C71" s="3" t="n"/>
      <c r="D71" s="3" t="n"/>
      <c r="E71" s="3" t="n"/>
      <c r="F71" s="10" t="n"/>
      <c r="G71" s="4" t="n"/>
      <c r="H71" s="5">
        <f>IF(B71="","",SUMIFS($G$4:$G$300,$C$4:$C$300,B71))</f>
        <v/>
      </c>
      <c r="I71" s="5">
        <f>IF(OR(B71="",A71="PAGO"),"",G71-H71)</f>
        <v/>
      </c>
      <c r="J71">
        <f>IF(B71="","",IF(AND(A71&lt;&gt;"PAGO",H71&gt;G71),"Excede el documento (los posteriores suman más)",IF(AND(A71&lt;&gt;"CDP",C71=""),"Falta el documento previo","OK")))</f>
        <v/>
      </c>
    </row>
    <row r="72">
      <c r="A72" s="3" t="n"/>
      <c r="B72" s="3" t="n"/>
      <c r="C72" s="3" t="n"/>
      <c r="D72" s="3" t="n"/>
      <c r="E72" s="3" t="n"/>
      <c r="F72" s="10" t="n"/>
      <c r="G72" s="4" t="n"/>
      <c r="H72" s="5">
        <f>IF(B72="","",SUMIFS($G$4:$G$300,$C$4:$C$300,B72))</f>
        <v/>
      </c>
      <c r="I72" s="5">
        <f>IF(OR(B72="",A72="PAGO"),"",G72-H72)</f>
        <v/>
      </c>
      <c r="J72">
        <f>IF(B72="","",IF(AND(A72&lt;&gt;"PAGO",H72&gt;G72),"Excede el documento (los posteriores suman más)",IF(AND(A72&lt;&gt;"CDP",C72=""),"Falta el documento previo","OK")))</f>
        <v/>
      </c>
    </row>
    <row r="73">
      <c r="A73" s="3" t="n"/>
      <c r="B73" s="3" t="n"/>
      <c r="C73" s="3" t="n"/>
      <c r="D73" s="3" t="n"/>
      <c r="E73" s="3" t="n"/>
      <c r="F73" s="10" t="n"/>
      <c r="G73" s="4" t="n"/>
      <c r="H73" s="5">
        <f>IF(B73="","",SUMIFS($G$4:$G$300,$C$4:$C$300,B73))</f>
        <v/>
      </c>
      <c r="I73" s="5">
        <f>IF(OR(B73="",A73="PAGO"),"",G73-H73)</f>
        <v/>
      </c>
      <c r="J73">
        <f>IF(B73="","",IF(AND(A73&lt;&gt;"PAGO",H73&gt;G73),"Excede el documento (los posteriores suman más)",IF(AND(A73&lt;&gt;"CDP",C73=""),"Falta el documento previo","OK")))</f>
        <v/>
      </c>
    </row>
    <row r="74">
      <c r="A74" s="3" t="n"/>
      <c r="B74" s="3" t="n"/>
      <c r="C74" s="3" t="n"/>
      <c r="D74" s="3" t="n"/>
      <c r="E74" s="3" t="n"/>
      <c r="F74" s="10" t="n"/>
      <c r="G74" s="4" t="n"/>
      <c r="H74" s="5">
        <f>IF(B74="","",SUMIFS($G$4:$G$300,$C$4:$C$300,B74))</f>
        <v/>
      </c>
      <c r="I74" s="5">
        <f>IF(OR(B74="",A74="PAGO"),"",G74-H74)</f>
        <v/>
      </c>
      <c r="J74">
        <f>IF(B74="","",IF(AND(A74&lt;&gt;"PAGO",H74&gt;G74),"Excede el documento (los posteriores suman más)",IF(AND(A74&lt;&gt;"CDP",C74=""),"Falta el documento previo","OK")))</f>
        <v/>
      </c>
    </row>
    <row r="75">
      <c r="A75" s="3" t="n"/>
      <c r="B75" s="3" t="n"/>
      <c r="C75" s="3" t="n"/>
      <c r="D75" s="3" t="n"/>
      <c r="E75" s="3" t="n"/>
      <c r="F75" s="10" t="n"/>
      <c r="G75" s="4" t="n"/>
      <c r="H75" s="5">
        <f>IF(B75="","",SUMIFS($G$4:$G$300,$C$4:$C$300,B75))</f>
        <v/>
      </c>
      <c r="I75" s="5">
        <f>IF(OR(B75="",A75="PAGO"),"",G75-H75)</f>
        <v/>
      </c>
      <c r="J75">
        <f>IF(B75="","",IF(AND(A75&lt;&gt;"PAGO",H75&gt;G75),"Excede el documento (los posteriores suman más)",IF(AND(A75&lt;&gt;"CDP",C75=""),"Falta el documento previo","OK")))</f>
        <v/>
      </c>
    </row>
    <row r="76">
      <c r="A76" s="3" t="n"/>
      <c r="B76" s="3" t="n"/>
      <c r="C76" s="3" t="n"/>
      <c r="D76" s="3" t="n"/>
      <c r="E76" s="3" t="n"/>
      <c r="F76" s="10" t="n"/>
      <c r="G76" s="4" t="n"/>
      <c r="H76" s="5">
        <f>IF(B76="","",SUMIFS($G$4:$G$300,$C$4:$C$300,B76))</f>
        <v/>
      </c>
      <c r="I76" s="5">
        <f>IF(OR(B76="",A76="PAGO"),"",G76-H76)</f>
        <v/>
      </c>
      <c r="J76">
        <f>IF(B76="","",IF(AND(A76&lt;&gt;"PAGO",H76&gt;G76),"Excede el documento (los posteriores suman más)",IF(AND(A76&lt;&gt;"CDP",C76=""),"Falta el documento previo","OK")))</f>
        <v/>
      </c>
    </row>
    <row r="77">
      <c r="A77" s="3" t="n"/>
      <c r="B77" s="3" t="n"/>
      <c r="C77" s="3" t="n"/>
      <c r="D77" s="3" t="n"/>
      <c r="E77" s="3" t="n"/>
      <c r="F77" s="10" t="n"/>
      <c r="G77" s="4" t="n"/>
      <c r="H77" s="5">
        <f>IF(B77="","",SUMIFS($G$4:$G$300,$C$4:$C$300,B77))</f>
        <v/>
      </c>
      <c r="I77" s="5">
        <f>IF(OR(B77="",A77="PAGO"),"",G77-H77)</f>
        <v/>
      </c>
      <c r="J77">
        <f>IF(B77="","",IF(AND(A77&lt;&gt;"PAGO",H77&gt;G77),"Excede el documento (los posteriores suman más)",IF(AND(A77&lt;&gt;"CDP",C77=""),"Falta el documento previo","OK")))</f>
        <v/>
      </c>
    </row>
    <row r="78">
      <c r="A78" s="3" t="n"/>
      <c r="B78" s="3" t="n"/>
      <c r="C78" s="3" t="n"/>
      <c r="D78" s="3" t="n"/>
      <c r="E78" s="3" t="n"/>
      <c r="F78" s="10" t="n"/>
      <c r="G78" s="4" t="n"/>
      <c r="H78" s="5">
        <f>IF(B78="","",SUMIFS($G$4:$G$300,$C$4:$C$300,B78))</f>
        <v/>
      </c>
      <c r="I78" s="5">
        <f>IF(OR(B78="",A78="PAGO"),"",G78-H78)</f>
        <v/>
      </c>
      <c r="J78">
        <f>IF(B78="","",IF(AND(A78&lt;&gt;"PAGO",H78&gt;G78),"Excede el documento (los posteriores suman más)",IF(AND(A78&lt;&gt;"CDP",C78=""),"Falta el documento previo","OK")))</f>
        <v/>
      </c>
    </row>
    <row r="79">
      <c r="A79" s="3" t="n"/>
      <c r="B79" s="3" t="n"/>
      <c r="C79" s="3" t="n"/>
      <c r="D79" s="3" t="n"/>
      <c r="E79" s="3" t="n"/>
      <c r="F79" s="10" t="n"/>
      <c r="G79" s="4" t="n"/>
      <c r="H79" s="5">
        <f>IF(B79="","",SUMIFS($G$4:$G$300,$C$4:$C$300,B79))</f>
        <v/>
      </c>
      <c r="I79" s="5">
        <f>IF(OR(B79="",A79="PAGO"),"",G79-H79)</f>
        <v/>
      </c>
      <c r="J79">
        <f>IF(B79="","",IF(AND(A79&lt;&gt;"PAGO",H79&gt;G79),"Excede el documento (los posteriores suman más)",IF(AND(A79&lt;&gt;"CDP",C79=""),"Falta el documento previo","OK")))</f>
        <v/>
      </c>
    </row>
    <row r="80">
      <c r="A80" s="3" t="n"/>
      <c r="B80" s="3" t="n"/>
      <c r="C80" s="3" t="n"/>
      <c r="D80" s="3" t="n"/>
      <c r="E80" s="3" t="n"/>
      <c r="F80" s="10" t="n"/>
      <c r="G80" s="4" t="n"/>
      <c r="H80" s="5">
        <f>IF(B80="","",SUMIFS($G$4:$G$300,$C$4:$C$300,B80))</f>
        <v/>
      </c>
      <c r="I80" s="5">
        <f>IF(OR(B80="",A80="PAGO"),"",G80-H80)</f>
        <v/>
      </c>
      <c r="J80">
        <f>IF(B80="","",IF(AND(A80&lt;&gt;"PAGO",H80&gt;G80),"Excede el documento (los posteriores suman más)",IF(AND(A80&lt;&gt;"CDP",C80=""),"Falta el documento previo","OK")))</f>
        <v/>
      </c>
    </row>
    <row r="81">
      <c r="A81" s="3" t="n"/>
      <c r="B81" s="3" t="n"/>
      <c r="C81" s="3" t="n"/>
      <c r="D81" s="3" t="n"/>
      <c r="E81" s="3" t="n"/>
      <c r="F81" s="10" t="n"/>
      <c r="G81" s="4" t="n"/>
      <c r="H81" s="5">
        <f>IF(B81="","",SUMIFS($G$4:$G$300,$C$4:$C$300,B81))</f>
        <v/>
      </c>
      <c r="I81" s="5">
        <f>IF(OR(B81="",A81="PAGO"),"",G81-H81)</f>
        <v/>
      </c>
      <c r="J81">
        <f>IF(B81="","",IF(AND(A81&lt;&gt;"PAGO",H81&gt;G81),"Excede el documento (los posteriores suman más)",IF(AND(A81&lt;&gt;"CDP",C81=""),"Falta el documento previo","OK")))</f>
        <v/>
      </c>
    </row>
    <row r="82">
      <c r="A82" s="3" t="n"/>
      <c r="B82" s="3" t="n"/>
      <c r="C82" s="3" t="n"/>
      <c r="D82" s="3" t="n"/>
      <c r="E82" s="3" t="n"/>
      <c r="F82" s="10" t="n"/>
      <c r="G82" s="4" t="n"/>
      <c r="H82" s="5">
        <f>IF(B82="","",SUMIFS($G$4:$G$300,$C$4:$C$300,B82))</f>
        <v/>
      </c>
      <c r="I82" s="5">
        <f>IF(OR(B82="",A82="PAGO"),"",G82-H82)</f>
        <v/>
      </c>
      <c r="J82">
        <f>IF(B82="","",IF(AND(A82&lt;&gt;"PAGO",H82&gt;G82),"Excede el documento (los posteriores suman más)",IF(AND(A82&lt;&gt;"CDP",C82=""),"Falta el documento previo","OK")))</f>
        <v/>
      </c>
    </row>
    <row r="83">
      <c r="A83" s="3" t="n"/>
      <c r="B83" s="3" t="n"/>
      <c r="C83" s="3" t="n"/>
      <c r="D83" s="3" t="n"/>
      <c r="E83" s="3" t="n"/>
      <c r="F83" s="10" t="n"/>
      <c r="G83" s="4" t="n"/>
      <c r="H83" s="5">
        <f>IF(B83="","",SUMIFS($G$4:$G$300,$C$4:$C$300,B83))</f>
        <v/>
      </c>
      <c r="I83" s="5">
        <f>IF(OR(B83="",A83="PAGO"),"",G83-H83)</f>
        <v/>
      </c>
      <c r="J83">
        <f>IF(B83="","",IF(AND(A83&lt;&gt;"PAGO",H83&gt;G83),"Excede el documento (los posteriores suman más)",IF(AND(A83&lt;&gt;"CDP",C83=""),"Falta el documento previo","OK")))</f>
        <v/>
      </c>
    </row>
    <row r="84">
      <c r="A84" s="3" t="n"/>
      <c r="B84" s="3" t="n"/>
      <c r="C84" s="3" t="n"/>
      <c r="D84" s="3" t="n"/>
      <c r="E84" s="3" t="n"/>
      <c r="F84" s="10" t="n"/>
      <c r="G84" s="4" t="n"/>
      <c r="H84" s="5">
        <f>IF(B84="","",SUMIFS($G$4:$G$300,$C$4:$C$300,B84))</f>
        <v/>
      </c>
      <c r="I84" s="5">
        <f>IF(OR(B84="",A84="PAGO"),"",G84-H84)</f>
        <v/>
      </c>
      <c r="J84">
        <f>IF(B84="","",IF(AND(A84&lt;&gt;"PAGO",H84&gt;G84),"Excede el documento (los posteriores suman más)",IF(AND(A84&lt;&gt;"CDP",C84=""),"Falta el documento previo","OK")))</f>
        <v/>
      </c>
    </row>
    <row r="85">
      <c r="A85" s="3" t="n"/>
      <c r="B85" s="3" t="n"/>
      <c r="C85" s="3" t="n"/>
      <c r="D85" s="3" t="n"/>
      <c r="E85" s="3" t="n"/>
      <c r="F85" s="10" t="n"/>
      <c r="G85" s="4" t="n"/>
      <c r="H85" s="5">
        <f>IF(B85="","",SUMIFS($G$4:$G$300,$C$4:$C$300,B85))</f>
        <v/>
      </c>
      <c r="I85" s="5">
        <f>IF(OR(B85="",A85="PAGO"),"",G85-H85)</f>
        <v/>
      </c>
      <c r="J85">
        <f>IF(B85="","",IF(AND(A85&lt;&gt;"PAGO",H85&gt;G85),"Excede el documento (los posteriores suman más)",IF(AND(A85&lt;&gt;"CDP",C85=""),"Falta el documento previo","OK")))</f>
        <v/>
      </c>
    </row>
    <row r="86">
      <c r="A86" s="3" t="n"/>
      <c r="B86" s="3" t="n"/>
      <c r="C86" s="3" t="n"/>
      <c r="D86" s="3" t="n"/>
      <c r="E86" s="3" t="n"/>
      <c r="F86" s="10" t="n"/>
      <c r="G86" s="4" t="n"/>
      <c r="H86" s="5">
        <f>IF(B86="","",SUMIFS($G$4:$G$300,$C$4:$C$300,B86))</f>
        <v/>
      </c>
      <c r="I86" s="5">
        <f>IF(OR(B86="",A86="PAGO"),"",G86-H86)</f>
        <v/>
      </c>
      <c r="J86">
        <f>IF(B86="","",IF(AND(A86&lt;&gt;"PAGO",H86&gt;G86),"Excede el documento (los posteriores suman más)",IF(AND(A86&lt;&gt;"CDP",C86=""),"Falta el documento previo","OK")))</f>
        <v/>
      </c>
    </row>
    <row r="87">
      <c r="A87" s="3" t="n"/>
      <c r="B87" s="3" t="n"/>
      <c r="C87" s="3" t="n"/>
      <c r="D87" s="3" t="n"/>
      <c r="E87" s="3" t="n"/>
      <c r="F87" s="10" t="n"/>
      <c r="G87" s="4" t="n"/>
      <c r="H87" s="5">
        <f>IF(B87="","",SUMIFS($G$4:$G$300,$C$4:$C$300,B87))</f>
        <v/>
      </c>
      <c r="I87" s="5">
        <f>IF(OR(B87="",A87="PAGO"),"",G87-H87)</f>
        <v/>
      </c>
      <c r="J87">
        <f>IF(B87="","",IF(AND(A87&lt;&gt;"PAGO",H87&gt;G87),"Excede el documento (los posteriores suman más)",IF(AND(A87&lt;&gt;"CDP",C87=""),"Falta el documento previo","OK")))</f>
        <v/>
      </c>
    </row>
    <row r="88">
      <c r="A88" s="3" t="n"/>
      <c r="B88" s="3" t="n"/>
      <c r="C88" s="3" t="n"/>
      <c r="D88" s="3" t="n"/>
      <c r="E88" s="3" t="n"/>
      <c r="F88" s="10" t="n"/>
      <c r="G88" s="4" t="n"/>
      <c r="H88" s="5">
        <f>IF(B88="","",SUMIFS($G$4:$G$300,$C$4:$C$300,B88))</f>
        <v/>
      </c>
      <c r="I88" s="5">
        <f>IF(OR(B88="",A88="PAGO"),"",G88-H88)</f>
        <v/>
      </c>
      <c r="J88">
        <f>IF(B88="","",IF(AND(A88&lt;&gt;"PAGO",H88&gt;G88),"Excede el documento (los posteriores suman más)",IF(AND(A88&lt;&gt;"CDP",C88=""),"Falta el documento previo","OK")))</f>
        <v/>
      </c>
    </row>
    <row r="89">
      <c r="A89" s="3" t="n"/>
      <c r="B89" s="3" t="n"/>
      <c r="C89" s="3" t="n"/>
      <c r="D89" s="3" t="n"/>
      <c r="E89" s="3" t="n"/>
      <c r="F89" s="10" t="n"/>
      <c r="G89" s="4" t="n"/>
      <c r="H89" s="5">
        <f>IF(B89="","",SUMIFS($G$4:$G$300,$C$4:$C$300,B89))</f>
        <v/>
      </c>
      <c r="I89" s="5">
        <f>IF(OR(B89="",A89="PAGO"),"",G89-H89)</f>
        <v/>
      </c>
      <c r="J89">
        <f>IF(B89="","",IF(AND(A89&lt;&gt;"PAGO",H89&gt;G89),"Excede el documento (los posteriores suman más)",IF(AND(A89&lt;&gt;"CDP",C89=""),"Falta el documento previo","OK")))</f>
        <v/>
      </c>
    </row>
    <row r="90">
      <c r="A90" s="3" t="n"/>
      <c r="B90" s="3" t="n"/>
      <c r="C90" s="3" t="n"/>
      <c r="D90" s="3" t="n"/>
      <c r="E90" s="3" t="n"/>
      <c r="F90" s="10" t="n"/>
      <c r="G90" s="4" t="n"/>
      <c r="H90" s="5">
        <f>IF(B90="","",SUMIFS($G$4:$G$300,$C$4:$C$300,B90))</f>
        <v/>
      </c>
      <c r="I90" s="5">
        <f>IF(OR(B90="",A90="PAGO"),"",G90-H90)</f>
        <v/>
      </c>
      <c r="J90">
        <f>IF(B90="","",IF(AND(A90&lt;&gt;"PAGO",H90&gt;G90),"Excede el documento (los posteriores suman más)",IF(AND(A90&lt;&gt;"CDP",C90=""),"Falta el documento previo","OK")))</f>
        <v/>
      </c>
    </row>
    <row r="91">
      <c r="A91" s="3" t="n"/>
      <c r="B91" s="3" t="n"/>
      <c r="C91" s="3" t="n"/>
      <c r="D91" s="3" t="n"/>
      <c r="E91" s="3" t="n"/>
      <c r="F91" s="10" t="n"/>
      <c r="G91" s="4" t="n"/>
      <c r="H91" s="5">
        <f>IF(B91="","",SUMIFS($G$4:$G$300,$C$4:$C$300,B91))</f>
        <v/>
      </c>
      <c r="I91" s="5">
        <f>IF(OR(B91="",A91="PAGO"),"",G91-H91)</f>
        <v/>
      </c>
      <c r="J91">
        <f>IF(B91="","",IF(AND(A91&lt;&gt;"PAGO",H91&gt;G91),"Excede el documento (los posteriores suman más)",IF(AND(A91&lt;&gt;"CDP",C91=""),"Falta el documento previo","OK")))</f>
        <v/>
      </c>
    </row>
    <row r="92">
      <c r="A92" s="3" t="n"/>
      <c r="B92" s="3" t="n"/>
      <c r="C92" s="3" t="n"/>
      <c r="D92" s="3" t="n"/>
      <c r="E92" s="3" t="n"/>
      <c r="F92" s="10" t="n"/>
      <c r="G92" s="4" t="n"/>
      <c r="H92" s="5">
        <f>IF(B92="","",SUMIFS($G$4:$G$300,$C$4:$C$300,B92))</f>
        <v/>
      </c>
      <c r="I92" s="5">
        <f>IF(OR(B92="",A92="PAGO"),"",G92-H92)</f>
        <v/>
      </c>
      <c r="J92">
        <f>IF(B92="","",IF(AND(A92&lt;&gt;"PAGO",H92&gt;G92),"Excede el documento (los posteriores suman más)",IF(AND(A92&lt;&gt;"CDP",C92=""),"Falta el documento previo","OK")))</f>
        <v/>
      </c>
    </row>
    <row r="93">
      <c r="A93" s="3" t="n"/>
      <c r="B93" s="3" t="n"/>
      <c r="C93" s="3" t="n"/>
      <c r="D93" s="3" t="n"/>
      <c r="E93" s="3" t="n"/>
      <c r="F93" s="10" t="n"/>
      <c r="G93" s="4" t="n"/>
      <c r="H93" s="5">
        <f>IF(B93="","",SUMIFS($G$4:$G$300,$C$4:$C$300,B93))</f>
        <v/>
      </c>
      <c r="I93" s="5">
        <f>IF(OR(B93="",A93="PAGO"),"",G93-H93)</f>
        <v/>
      </c>
      <c r="J93">
        <f>IF(B93="","",IF(AND(A93&lt;&gt;"PAGO",H93&gt;G93),"Excede el documento (los posteriores suman más)",IF(AND(A93&lt;&gt;"CDP",C93=""),"Falta el documento previo","OK")))</f>
        <v/>
      </c>
    </row>
    <row r="94">
      <c r="A94" s="3" t="n"/>
      <c r="B94" s="3" t="n"/>
      <c r="C94" s="3" t="n"/>
      <c r="D94" s="3" t="n"/>
      <c r="E94" s="3" t="n"/>
      <c r="F94" s="10" t="n"/>
      <c r="G94" s="4" t="n"/>
      <c r="H94" s="5">
        <f>IF(B94="","",SUMIFS($G$4:$G$300,$C$4:$C$300,B94))</f>
        <v/>
      </c>
      <c r="I94" s="5">
        <f>IF(OR(B94="",A94="PAGO"),"",G94-H94)</f>
        <v/>
      </c>
      <c r="J94">
        <f>IF(B94="","",IF(AND(A94&lt;&gt;"PAGO",H94&gt;G94),"Excede el documento (los posteriores suman más)",IF(AND(A94&lt;&gt;"CDP",C94=""),"Falta el documento previo","OK")))</f>
        <v/>
      </c>
    </row>
    <row r="95">
      <c r="A95" s="3" t="n"/>
      <c r="B95" s="3" t="n"/>
      <c r="C95" s="3" t="n"/>
      <c r="D95" s="3" t="n"/>
      <c r="E95" s="3" t="n"/>
      <c r="F95" s="10" t="n"/>
      <c r="G95" s="4" t="n"/>
      <c r="H95" s="5">
        <f>IF(B95="","",SUMIFS($G$4:$G$300,$C$4:$C$300,B95))</f>
        <v/>
      </c>
      <c r="I95" s="5">
        <f>IF(OR(B95="",A95="PAGO"),"",G95-H95)</f>
        <v/>
      </c>
      <c r="J95">
        <f>IF(B95="","",IF(AND(A95&lt;&gt;"PAGO",H95&gt;G95),"Excede el documento (los posteriores suman más)",IF(AND(A95&lt;&gt;"CDP",C95=""),"Falta el documento previo","OK")))</f>
        <v/>
      </c>
    </row>
    <row r="96">
      <c r="A96" s="3" t="n"/>
      <c r="B96" s="3" t="n"/>
      <c r="C96" s="3" t="n"/>
      <c r="D96" s="3" t="n"/>
      <c r="E96" s="3" t="n"/>
      <c r="F96" s="10" t="n"/>
      <c r="G96" s="4" t="n"/>
      <c r="H96" s="5">
        <f>IF(B96="","",SUMIFS($G$4:$G$300,$C$4:$C$300,B96))</f>
        <v/>
      </c>
      <c r="I96" s="5">
        <f>IF(OR(B96="",A96="PAGO"),"",G96-H96)</f>
        <v/>
      </c>
      <c r="J96">
        <f>IF(B96="","",IF(AND(A96&lt;&gt;"PAGO",H96&gt;G96),"Excede el documento (los posteriores suman más)",IF(AND(A96&lt;&gt;"CDP",C96=""),"Falta el documento previo","OK")))</f>
        <v/>
      </c>
    </row>
    <row r="97">
      <c r="A97" s="3" t="n"/>
      <c r="B97" s="3" t="n"/>
      <c r="C97" s="3" t="n"/>
      <c r="D97" s="3" t="n"/>
      <c r="E97" s="3" t="n"/>
      <c r="F97" s="10" t="n"/>
      <c r="G97" s="4" t="n"/>
      <c r="H97" s="5">
        <f>IF(B97="","",SUMIFS($G$4:$G$300,$C$4:$C$300,B97))</f>
        <v/>
      </c>
      <c r="I97" s="5">
        <f>IF(OR(B97="",A97="PAGO"),"",G97-H97)</f>
        <v/>
      </c>
      <c r="J97">
        <f>IF(B97="","",IF(AND(A97&lt;&gt;"PAGO",H97&gt;G97),"Excede el documento (los posteriores suman más)",IF(AND(A97&lt;&gt;"CDP",C97=""),"Falta el documento previo","OK")))</f>
        <v/>
      </c>
    </row>
    <row r="98">
      <c r="A98" s="3" t="n"/>
      <c r="B98" s="3" t="n"/>
      <c r="C98" s="3" t="n"/>
      <c r="D98" s="3" t="n"/>
      <c r="E98" s="3" t="n"/>
      <c r="F98" s="10" t="n"/>
      <c r="G98" s="4" t="n"/>
      <c r="H98" s="5">
        <f>IF(B98="","",SUMIFS($G$4:$G$300,$C$4:$C$300,B98))</f>
        <v/>
      </c>
      <c r="I98" s="5">
        <f>IF(OR(B98="",A98="PAGO"),"",G98-H98)</f>
        <v/>
      </c>
      <c r="J98">
        <f>IF(B98="","",IF(AND(A98&lt;&gt;"PAGO",H98&gt;G98),"Excede el documento (los posteriores suman más)",IF(AND(A98&lt;&gt;"CDP",C98=""),"Falta el documento previo","OK")))</f>
        <v/>
      </c>
    </row>
    <row r="99">
      <c r="A99" s="3" t="n"/>
      <c r="B99" s="3" t="n"/>
      <c r="C99" s="3" t="n"/>
      <c r="D99" s="3" t="n"/>
      <c r="E99" s="3" t="n"/>
      <c r="F99" s="10" t="n"/>
      <c r="G99" s="4" t="n"/>
      <c r="H99" s="5">
        <f>IF(B99="","",SUMIFS($G$4:$G$300,$C$4:$C$300,B99))</f>
        <v/>
      </c>
      <c r="I99" s="5">
        <f>IF(OR(B99="",A99="PAGO"),"",G99-H99)</f>
        <v/>
      </c>
      <c r="J99">
        <f>IF(B99="","",IF(AND(A99&lt;&gt;"PAGO",H99&gt;G99),"Excede el documento (los posteriores suman más)",IF(AND(A99&lt;&gt;"CDP",C99=""),"Falta el documento previo","OK")))</f>
        <v/>
      </c>
    </row>
    <row r="100">
      <c r="A100" s="3" t="n"/>
      <c r="B100" s="3" t="n"/>
      <c r="C100" s="3" t="n"/>
      <c r="D100" s="3" t="n"/>
      <c r="E100" s="3" t="n"/>
      <c r="F100" s="10" t="n"/>
      <c r="G100" s="4" t="n"/>
      <c r="H100" s="5">
        <f>IF(B100="","",SUMIFS($G$4:$G$300,$C$4:$C$300,B100))</f>
        <v/>
      </c>
      <c r="I100" s="5">
        <f>IF(OR(B100="",A100="PAGO"),"",G100-H100)</f>
        <v/>
      </c>
      <c r="J100">
        <f>IF(B100="","",IF(AND(A100&lt;&gt;"PAGO",H100&gt;G100),"Excede el documento (los posteriores suman más)",IF(AND(A100&lt;&gt;"CDP",C100=""),"Falta el documento previo","OK")))</f>
        <v/>
      </c>
    </row>
    <row r="101">
      <c r="A101" s="3" t="n"/>
      <c r="B101" s="3" t="n"/>
      <c r="C101" s="3" t="n"/>
      <c r="D101" s="3" t="n"/>
      <c r="E101" s="3" t="n"/>
      <c r="F101" s="10" t="n"/>
      <c r="G101" s="4" t="n"/>
      <c r="H101" s="5">
        <f>IF(B101="","",SUMIFS($G$4:$G$300,$C$4:$C$300,B101))</f>
        <v/>
      </c>
      <c r="I101" s="5">
        <f>IF(OR(B101="",A101="PAGO"),"",G101-H101)</f>
        <v/>
      </c>
      <c r="J101">
        <f>IF(B101="","",IF(AND(A101&lt;&gt;"PAGO",H101&gt;G101),"Excede el documento (los posteriores suman más)",IF(AND(A101&lt;&gt;"CDP",C101=""),"Falta el documento previo","OK")))</f>
        <v/>
      </c>
    </row>
    <row r="102">
      <c r="A102" s="3" t="n"/>
      <c r="B102" s="3" t="n"/>
      <c r="C102" s="3" t="n"/>
      <c r="D102" s="3" t="n"/>
      <c r="E102" s="3" t="n"/>
      <c r="F102" s="10" t="n"/>
      <c r="G102" s="4" t="n"/>
      <c r="H102" s="5">
        <f>IF(B102="","",SUMIFS($G$4:$G$300,$C$4:$C$300,B102))</f>
        <v/>
      </c>
      <c r="I102" s="5">
        <f>IF(OR(B102="",A102="PAGO"),"",G102-H102)</f>
        <v/>
      </c>
      <c r="J102">
        <f>IF(B102="","",IF(AND(A102&lt;&gt;"PAGO",H102&gt;G102),"Excede el documento (los posteriores suman más)",IF(AND(A102&lt;&gt;"CDP",C102=""),"Falta el documento previo","OK")))</f>
        <v/>
      </c>
    </row>
    <row r="103">
      <c r="A103" s="3" t="n"/>
      <c r="B103" s="3" t="n"/>
      <c r="C103" s="3" t="n"/>
      <c r="D103" s="3" t="n"/>
      <c r="E103" s="3" t="n"/>
      <c r="F103" s="10" t="n"/>
      <c r="G103" s="4" t="n"/>
      <c r="H103" s="5">
        <f>IF(B103="","",SUMIFS($G$4:$G$300,$C$4:$C$300,B103))</f>
        <v/>
      </c>
      <c r="I103" s="5">
        <f>IF(OR(B103="",A103="PAGO"),"",G103-H103)</f>
        <v/>
      </c>
      <c r="J103">
        <f>IF(B103="","",IF(AND(A103&lt;&gt;"PAGO",H103&gt;G103),"Excede el documento (los posteriores suman más)",IF(AND(A103&lt;&gt;"CDP",C103=""),"Falta el documento previo","OK")))</f>
        <v/>
      </c>
    </row>
    <row r="104">
      <c r="A104" s="3" t="n"/>
      <c r="B104" s="3" t="n"/>
      <c r="C104" s="3" t="n"/>
      <c r="D104" s="3" t="n"/>
      <c r="E104" s="3" t="n"/>
      <c r="F104" s="10" t="n"/>
      <c r="G104" s="4" t="n"/>
      <c r="H104" s="5">
        <f>IF(B104="","",SUMIFS($G$4:$G$300,$C$4:$C$300,B104))</f>
        <v/>
      </c>
      <c r="I104" s="5">
        <f>IF(OR(B104="",A104="PAGO"),"",G104-H104)</f>
        <v/>
      </c>
      <c r="J104">
        <f>IF(B104="","",IF(AND(A104&lt;&gt;"PAGO",H104&gt;G104),"Excede el documento (los posteriores suman más)",IF(AND(A104&lt;&gt;"CDP",C104=""),"Falta el documento previo","OK")))</f>
        <v/>
      </c>
    </row>
    <row r="105">
      <c r="A105" s="3" t="n"/>
      <c r="B105" s="3" t="n"/>
      <c r="C105" s="3" t="n"/>
      <c r="D105" s="3" t="n"/>
      <c r="E105" s="3" t="n"/>
      <c r="F105" s="10" t="n"/>
      <c r="G105" s="4" t="n"/>
      <c r="H105" s="5">
        <f>IF(B105="","",SUMIFS($G$4:$G$300,$C$4:$C$300,B105))</f>
        <v/>
      </c>
      <c r="I105" s="5">
        <f>IF(OR(B105="",A105="PAGO"),"",G105-H105)</f>
        <v/>
      </c>
      <c r="J105">
        <f>IF(B105="","",IF(AND(A105&lt;&gt;"PAGO",H105&gt;G105),"Excede el documento (los posteriores suman más)",IF(AND(A105&lt;&gt;"CDP",C105=""),"Falta el documento previo","OK")))</f>
        <v/>
      </c>
    </row>
    <row r="106">
      <c r="A106" s="3" t="n"/>
      <c r="B106" s="3" t="n"/>
      <c r="C106" s="3" t="n"/>
      <c r="D106" s="3" t="n"/>
      <c r="E106" s="3" t="n"/>
      <c r="F106" s="10" t="n"/>
      <c r="G106" s="4" t="n"/>
      <c r="H106" s="5">
        <f>IF(B106="","",SUMIFS($G$4:$G$300,$C$4:$C$300,B106))</f>
        <v/>
      </c>
      <c r="I106" s="5">
        <f>IF(OR(B106="",A106="PAGO"),"",G106-H106)</f>
        <v/>
      </c>
      <c r="J106">
        <f>IF(B106="","",IF(AND(A106&lt;&gt;"PAGO",H106&gt;G106),"Excede el documento (los posteriores suman más)",IF(AND(A106&lt;&gt;"CDP",C106=""),"Falta el documento previo","OK")))</f>
        <v/>
      </c>
    </row>
    <row r="107">
      <c r="A107" s="3" t="n"/>
      <c r="B107" s="3" t="n"/>
      <c r="C107" s="3" t="n"/>
      <c r="D107" s="3" t="n"/>
      <c r="E107" s="3" t="n"/>
      <c r="F107" s="10" t="n"/>
      <c r="G107" s="4" t="n"/>
      <c r="H107" s="5">
        <f>IF(B107="","",SUMIFS($G$4:$G$300,$C$4:$C$300,B107))</f>
        <v/>
      </c>
      <c r="I107" s="5">
        <f>IF(OR(B107="",A107="PAGO"),"",G107-H107)</f>
        <v/>
      </c>
      <c r="J107">
        <f>IF(B107="","",IF(AND(A107&lt;&gt;"PAGO",H107&gt;G107),"Excede el documento (los posteriores suman más)",IF(AND(A107&lt;&gt;"CDP",C107=""),"Falta el documento previo","OK")))</f>
        <v/>
      </c>
    </row>
    <row r="108">
      <c r="A108" s="3" t="n"/>
      <c r="B108" s="3" t="n"/>
      <c r="C108" s="3" t="n"/>
      <c r="D108" s="3" t="n"/>
      <c r="E108" s="3" t="n"/>
      <c r="F108" s="10" t="n"/>
      <c r="G108" s="4" t="n"/>
      <c r="H108" s="5">
        <f>IF(B108="","",SUMIFS($G$4:$G$300,$C$4:$C$300,B108))</f>
        <v/>
      </c>
      <c r="I108" s="5">
        <f>IF(OR(B108="",A108="PAGO"),"",G108-H108)</f>
        <v/>
      </c>
      <c r="J108">
        <f>IF(B108="","",IF(AND(A108&lt;&gt;"PAGO",H108&gt;G108),"Excede el documento (los posteriores suman más)",IF(AND(A108&lt;&gt;"CDP",C108=""),"Falta el documento previo","OK")))</f>
        <v/>
      </c>
    </row>
    <row r="109">
      <c r="A109" s="3" t="n"/>
      <c r="B109" s="3" t="n"/>
      <c r="C109" s="3" t="n"/>
      <c r="D109" s="3" t="n"/>
      <c r="E109" s="3" t="n"/>
      <c r="F109" s="10" t="n"/>
      <c r="G109" s="4" t="n"/>
      <c r="H109" s="5">
        <f>IF(B109="","",SUMIFS($G$4:$G$300,$C$4:$C$300,B109))</f>
        <v/>
      </c>
      <c r="I109" s="5">
        <f>IF(OR(B109="",A109="PAGO"),"",G109-H109)</f>
        <v/>
      </c>
      <c r="J109">
        <f>IF(B109="","",IF(AND(A109&lt;&gt;"PAGO",H109&gt;G109),"Excede el documento (los posteriores suman más)",IF(AND(A109&lt;&gt;"CDP",C109=""),"Falta el documento previo","OK")))</f>
        <v/>
      </c>
    </row>
    <row r="110">
      <c r="A110" s="3" t="n"/>
      <c r="B110" s="3" t="n"/>
      <c r="C110" s="3" t="n"/>
      <c r="D110" s="3" t="n"/>
      <c r="E110" s="3" t="n"/>
      <c r="F110" s="10" t="n"/>
      <c r="G110" s="4" t="n"/>
      <c r="H110" s="5">
        <f>IF(B110="","",SUMIFS($G$4:$G$300,$C$4:$C$300,B110))</f>
        <v/>
      </c>
      <c r="I110" s="5">
        <f>IF(OR(B110="",A110="PAGO"),"",G110-H110)</f>
        <v/>
      </c>
      <c r="J110">
        <f>IF(B110="","",IF(AND(A110&lt;&gt;"PAGO",H110&gt;G110),"Excede el documento (los posteriores suman más)",IF(AND(A110&lt;&gt;"CDP",C110=""),"Falta el documento previo","OK")))</f>
        <v/>
      </c>
    </row>
    <row r="111">
      <c r="A111" s="3" t="n"/>
      <c r="B111" s="3" t="n"/>
      <c r="C111" s="3" t="n"/>
      <c r="D111" s="3" t="n"/>
      <c r="E111" s="3" t="n"/>
      <c r="F111" s="10" t="n"/>
      <c r="G111" s="4" t="n"/>
      <c r="H111" s="5">
        <f>IF(B111="","",SUMIFS($G$4:$G$300,$C$4:$C$300,B111))</f>
        <v/>
      </c>
      <c r="I111" s="5">
        <f>IF(OR(B111="",A111="PAGO"),"",G111-H111)</f>
        <v/>
      </c>
      <c r="J111">
        <f>IF(B111="","",IF(AND(A111&lt;&gt;"PAGO",H111&gt;G111),"Excede el documento (los posteriores suman más)",IF(AND(A111&lt;&gt;"CDP",C111=""),"Falta el documento previo","OK")))</f>
        <v/>
      </c>
    </row>
    <row r="112">
      <c r="A112" s="3" t="n"/>
      <c r="B112" s="3" t="n"/>
      <c r="C112" s="3" t="n"/>
      <c r="D112" s="3" t="n"/>
      <c r="E112" s="3" t="n"/>
      <c r="F112" s="10" t="n"/>
      <c r="G112" s="4" t="n"/>
      <c r="H112" s="5">
        <f>IF(B112="","",SUMIFS($G$4:$G$300,$C$4:$C$300,B112))</f>
        <v/>
      </c>
      <c r="I112" s="5">
        <f>IF(OR(B112="",A112="PAGO"),"",G112-H112)</f>
        <v/>
      </c>
      <c r="J112">
        <f>IF(B112="","",IF(AND(A112&lt;&gt;"PAGO",H112&gt;G112),"Excede el documento (los posteriores suman más)",IF(AND(A112&lt;&gt;"CDP",C112=""),"Falta el documento previo","OK")))</f>
        <v/>
      </c>
    </row>
    <row r="113">
      <c r="A113" s="3" t="n"/>
      <c r="B113" s="3" t="n"/>
      <c r="C113" s="3" t="n"/>
      <c r="D113" s="3" t="n"/>
      <c r="E113" s="3" t="n"/>
      <c r="F113" s="10" t="n"/>
      <c r="G113" s="4" t="n"/>
      <c r="H113" s="5">
        <f>IF(B113="","",SUMIFS($G$4:$G$300,$C$4:$C$300,B113))</f>
        <v/>
      </c>
      <c r="I113" s="5">
        <f>IF(OR(B113="",A113="PAGO"),"",G113-H113)</f>
        <v/>
      </c>
      <c r="J113">
        <f>IF(B113="","",IF(AND(A113&lt;&gt;"PAGO",H113&gt;G113),"Excede el documento (los posteriores suman más)",IF(AND(A113&lt;&gt;"CDP",C113=""),"Falta el documento previo","OK")))</f>
        <v/>
      </c>
    </row>
    <row r="114">
      <c r="A114" s="3" t="n"/>
      <c r="B114" s="3" t="n"/>
      <c r="C114" s="3" t="n"/>
      <c r="D114" s="3" t="n"/>
      <c r="E114" s="3" t="n"/>
      <c r="F114" s="10" t="n"/>
      <c r="G114" s="4" t="n"/>
      <c r="H114" s="5">
        <f>IF(B114="","",SUMIFS($G$4:$G$300,$C$4:$C$300,B114))</f>
        <v/>
      </c>
      <c r="I114" s="5">
        <f>IF(OR(B114="",A114="PAGO"),"",G114-H114)</f>
        <v/>
      </c>
      <c r="J114">
        <f>IF(B114="","",IF(AND(A114&lt;&gt;"PAGO",H114&gt;G114),"Excede el documento (los posteriores suman más)",IF(AND(A114&lt;&gt;"CDP",C114=""),"Falta el documento previo","OK")))</f>
        <v/>
      </c>
    </row>
    <row r="115">
      <c r="A115" s="3" t="n"/>
      <c r="B115" s="3" t="n"/>
      <c r="C115" s="3" t="n"/>
      <c r="D115" s="3" t="n"/>
      <c r="E115" s="3" t="n"/>
      <c r="F115" s="10" t="n"/>
      <c r="G115" s="4" t="n"/>
      <c r="H115" s="5">
        <f>IF(B115="","",SUMIFS($G$4:$G$300,$C$4:$C$300,B115))</f>
        <v/>
      </c>
      <c r="I115" s="5">
        <f>IF(OR(B115="",A115="PAGO"),"",G115-H115)</f>
        <v/>
      </c>
      <c r="J115">
        <f>IF(B115="","",IF(AND(A115&lt;&gt;"PAGO",H115&gt;G115),"Excede el documento (los posteriores suman más)",IF(AND(A115&lt;&gt;"CDP",C115=""),"Falta el documento previo","OK")))</f>
        <v/>
      </c>
    </row>
    <row r="116">
      <c r="A116" s="3" t="n"/>
      <c r="B116" s="3" t="n"/>
      <c r="C116" s="3" t="n"/>
      <c r="D116" s="3" t="n"/>
      <c r="E116" s="3" t="n"/>
      <c r="F116" s="10" t="n"/>
      <c r="G116" s="4" t="n"/>
      <c r="H116" s="5">
        <f>IF(B116="","",SUMIFS($G$4:$G$300,$C$4:$C$300,B116))</f>
        <v/>
      </c>
      <c r="I116" s="5">
        <f>IF(OR(B116="",A116="PAGO"),"",G116-H116)</f>
        <v/>
      </c>
      <c r="J116">
        <f>IF(B116="","",IF(AND(A116&lt;&gt;"PAGO",H116&gt;G116),"Excede el documento (los posteriores suman más)",IF(AND(A116&lt;&gt;"CDP",C116=""),"Falta el documento previo","OK")))</f>
        <v/>
      </c>
    </row>
    <row r="117">
      <c r="A117" s="3" t="n"/>
      <c r="B117" s="3" t="n"/>
      <c r="C117" s="3" t="n"/>
      <c r="D117" s="3" t="n"/>
      <c r="E117" s="3" t="n"/>
      <c r="F117" s="10" t="n"/>
      <c r="G117" s="4" t="n"/>
      <c r="H117" s="5">
        <f>IF(B117="","",SUMIFS($G$4:$G$300,$C$4:$C$300,B117))</f>
        <v/>
      </c>
      <c r="I117" s="5">
        <f>IF(OR(B117="",A117="PAGO"),"",G117-H117)</f>
        <v/>
      </c>
      <c r="J117">
        <f>IF(B117="","",IF(AND(A117&lt;&gt;"PAGO",H117&gt;G117),"Excede el documento (los posteriores suman más)",IF(AND(A117&lt;&gt;"CDP",C117=""),"Falta el documento previo","OK")))</f>
        <v/>
      </c>
    </row>
    <row r="118">
      <c r="A118" s="3" t="n"/>
      <c r="B118" s="3" t="n"/>
      <c r="C118" s="3" t="n"/>
      <c r="D118" s="3" t="n"/>
      <c r="E118" s="3" t="n"/>
      <c r="F118" s="10" t="n"/>
      <c r="G118" s="4" t="n"/>
      <c r="H118" s="5">
        <f>IF(B118="","",SUMIFS($G$4:$G$300,$C$4:$C$300,B118))</f>
        <v/>
      </c>
      <c r="I118" s="5">
        <f>IF(OR(B118="",A118="PAGO"),"",G118-H118)</f>
        <v/>
      </c>
      <c r="J118">
        <f>IF(B118="","",IF(AND(A118&lt;&gt;"PAGO",H118&gt;G118),"Excede el documento (los posteriores suman más)",IF(AND(A118&lt;&gt;"CDP",C118=""),"Falta el documento previo","OK")))</f>
        <v/>
      </c>
    </row>
    <row r="119">
      <c r="A119" s="3" t="n"/>
      <c r="B119" s="3" t="n"/>
      <c r="C119" s="3" t="n"/>
      <c r="D119" s="3" t="n"/>
      <c r="E119" s="3" t="n"/>
      <c r="F119" s="10" t="n"/>
      <c r="G119" s="4" t="n"/>
      <c r="H119" s="5">
        <f>IF(B119="","",SUMIFS($G$4:$G$300,$C$4:$C$300,B119))</f>
        <v/>
      </c>
      <c r="I119" s="5">
        <f>IF(OR(B119="",A119="PAGO"),"",G119-H119)</f>
        <v/>
      </c>
      <c r="J119">
        <f>IF(B119="","",IF(AND(A119&lt;&gt;"PAGO",H119&gt;G119),"Excede el documento (los posteriores suman más)",IF(AND(A119&lt;&gt;"CDP",C119=""),"Falta el documento previo","OK")))</f>
        <v/>
      </c>
    </row>
    <row r="120">
      <c r="A120" s="3" t="n"/>
      <c r="B120" s="3" t="n"/>
      <c r="C120" s="3" t="n"/>
      <c r="D120" s="3" t="n"/>
      <c r="E120" s="3" t="n"/>
      <c r="F120" s="10" t="n"/>
      <c r="G120" s="4" t="n"/>
      <c r="H120" s="5">
        <f>IF(B120="","",SUMIFS($G$4:$G$300,$C$4:$C$300,B120))</f>
        <v/>
      </c>
      <c r="I120" s="5">
        <f>IF(OR(B120="",A120="PAGO"),"",G120-H120)</f>
        <v/>
      </c>
      <c r="J120">
        <f>IF(B120="","",IF(AND(A120&lt;&gt;"PAGO",H120&gt;G120),"Excede el documento (los posteriores suman más)",IF(AND(A120&lt;&gt;"CDP",C120=""),"Falta el documento previo","OK")))</f>
        <v/>
      </c>
    </row>
    <row r="121">
      <c r="A121" s="3" t="n"/>
      <c r="B121" s="3" t="n"/>
      <c r="C121" s="3" t="n"/>
      <c r="D121" s="3" t="n"/>
      <c r="E121" s="3" t="n"/>
      <c r="F121" s="10" t="n"/>
      <c r="G121" s="4" t="n"/>
      <c r="H121" s="5">
        <f>IF(B121="","",SUMIFS($G$4:$G$300,$C$4:$C$300,B121))</f>
        <v/>
      </c>
      <c r="I121" s="5">
        <f>IF(OR(B121="",A121="PAGO"),"",G121-H121)</f>
        <v/>
      </c>
      <c r="J121">
        <f>IF(B121="","",IF(AND(A121&lt;&gt;"PAGO",H121&gt;G121),"Excede el documento (los posteriores suman más)",IF(AND(A121&lt;&gt;"CDP",C121=""),"Falta el documento previo","OK")))</f>
        <v/>
      </c>
    </row>
    <row r="122">
      <c r="A122" s="3" t="n"/>
      <c r="B122" s="3" t="n"/>
      <c r="C122" s="3" t="n"/>
      <c r="D122" s="3" t="n"/>
      <c r="E122" s="3" t="n"/>
      <c r="F122" s="10" t="n"/>
      <c r="G122" s="4" t="n"/>
      <c r="H122" s="5">
        <f>IF(B122="","",SUMIFS($G$4:$G$300,$C$4:$C$300,B122))</f>
        <v/>
      </c>
      <c r="I122" s="5">
        <f>IF(OR(B122="",A122="PAGO"),"",G122-H122)</f>
        <v/>
      </c>
      <c r="J122">
        <f>IF(B122="","",IF(AND(A122&lt;&gt;"PAGO",H122&gt;G122),"Excede el documento (los posteriores suman más)",IF(AND(A122&lt;&gt;"CDP",C122=""),"Falta el documento previo","OK")))</f>
        <v/>
      </c>
    </row>
    <row r="123">
      <c r="A123" s="3" t="n"/>
      <c r="B123" s="3" t="n"/>
      <c r="C123" s="3" t="n"/>
      <c r="D123" s="3" t="n"/>
      <c r="E123" s="3" t="n"/>
      <c r="F123" s="10" t="n"/>
      <c r="G123" s="4" t="n"/>
      <c r="H123" s="5">
        <f>IF(B123="","",SUMIFS($G$4:$G$300,$C$4:$C$300,B123))</f>
        <v/>
      </c>
      <c r="I123" s="5">
        <f>IF(OR(B123="",A123="PAGO"),"",G123-H123)</f>
        <v/>
      </c>
      <c r="J123">
        <f>IF(B123="","",IF(AND(A123&lt;&gt;"PAGO",H123&gt;G123),"Excede el documento (los posteriores suman más)",IF(AND(A123&lt;&gt;"CDP",C123=""),"Falta el documento previo","OK")))</f>
        <v/>
      </c>
    </row>
    <row r="124">
      <c r="A124" s="3" t="n"/>
      <c r="B124" s="3" t="n"/>
      <c r="C124" s="3" t="n"/>
      <c r="D124" s="3" t="n"/>
      <c r="E124" s="3" t="n"/>
      <c r="F124" s="10" t="n"/>
      <c r="G124" s="4" t="n"/>
      <c r="H124" s="5">
        <f>IF(B124="","",SUMIFS($G$4:$G$300,$C$4:$C$300,B124))</f>
        <v/>
      </c>
      <c r="I124" s="5">
        <f>IF(OR(B124="",A124="PAGO"),"",G124-H124)</f>
        <v/>
      </c>
      <c r="J124">
        <f>IF(B124="","",IF(AND(A124&lt;&gt;"PAGO",H124&gt;G124),"Excede el documento (los posteriores suman más)",IF(AND(A124&lt;&gt;"CDP",C124=""),"Falta el documento previo","OK")))</f>
        <v/>
      </c>
    </row>
    <row r="125">
      <c r="A125" s="3" t="n"/>
      <c r="B125" s="3" t="n"/>
      <c r="C125" s="3" t="n"/>
      <c r="D125" s="3" t="n"/>
      <c r="E125" s="3" t="n"/>
      <c r="F125" s="10" t="n"/>
      <c r="G125" s="4" t="n"/>
      <c r="H125" s="5">
        <f>IF(B125="","",SUMIFS($G$4:$G$300,$C$4:$C$300,B125))</f>
        <v/>
      </c>
      <c r="I125" s="5">
        <f>IF(OR(B125="",A125="PAGO"),"",G125-H125)</f>
        <v/>
      </c>
      <c r="J125">
        <f>IF(B125="","",IF(AND(A125&lt;&gt;"PAGO",H125&gt;G125),"Excede el documento (los posteriores suman más)",IF(AND(A125&lt;&gt;"CDP",C125=""),"Falta el documento previo","OK")))</f>
        <v/>
      </c>
    </row>
    <row r="126">
      <c r="A126" s="3" t="n"/>
      <c r="B126" s="3" t="n"/>
      <c r="C126" s="3" t="n"/>
      <c r="D126" s="3" t="n"/>
      <c r="E126" s="3" t="n"/>
      <c r="F126" s="10" t="n"/>
      <c r="G126" s="4" t="n"/>
      <c r="H126" s="5">
        <f>IF(B126="","",SUMIFS($G$4:$G$300,$C$4:$C$300,B126))</f>
        <v/>
      </c>
      <c r="I126" s="5">
        <f>IF(OR(B126="",A126="PAGO"),"",G126-H126)</f>
        <v/>
      </c>
      <c r="J126">
        <f>IF(B126="","",IF(AND(A126&lt;&gt;"PAGO",H126&gt;G126),"Excede el documento (los posteriores suman más)",IF(AND(A126&lt;&gt;"CDP",C126=""),"Falta el documento previo","OK")))</f>
        <v/>
      </c>
    </row>
    <row r="127">
      <c r="A127" s="3" t="n"/>
      <c r="B127" s="3" t="n"/>
      <c r="C127" s="3" t="n"/>
      <c r="D127" s="3" t="n"/>
      <c r="E127" s="3" t="n"/>
      <c r="F127" s="10" t="n"/>
      <c r="G127" s="4" t="n"/>
      <c r="H127" s="5">
        <f>IF(B127="","",SUMIFS($G$4:$G$300,$C$4:$C$300,B127))</f>
        <v/>
      </c>
      <c r="I127" s="5">
        <f>IF(OR(B127="",A127="PAGO"),"",G127-H127)</f>
        <v/>
      </c>
      <c r="J127">
        <f>IF(B127="","",IF(AND(A127&lt;&gt;"PAGO",H127&gt;G127),"Excede el documento (los posteriores suman más)",IF(AND(A127&lt;&gt;"CDP",C127=""),"Falta el documento previo","OK")))</f>
        <v/>
      </c>
    </row>
    <row r="128">
      <c r="A128" s="3" t="n"/>
      <c r="B128" s="3" t="n"/>
      <c r="C128" s="3" t="n"/>
      <c r="D128" s="3" t="n"/>
      <c r="E128" s="3" t="n"/>
      <c r="F128" s="10" t="n"/>
      <c r="G128" s="4" t="n"/>
      <c r="H128" s="5">
        <f>IF(B128="","",SUMIFS($G$4:$G$300,$C$4:$C$300,B128))</f>
        <v/>
      </c>
      <c r="I128" s="5">
        <f>IF(OR(B128="",A128="PAGO"),"",G128-H128)</f>
        <v/>
      </c>
      <c r="J128">
        <f>IF(B128="","",IF(AND(A128&lt;&gt;"PAGO",H128&gt;G128),"Excede el documento (los posteriores suman más)",IF(AND(A128&lt;&gt;"CDP",C128=""),"Falta el documento previo","OK")))</f>
        <v/>
      </c>
    </row>
    <row r="129">
      <c r="A129" s="3" t="n"/>
      <c r="B129" s="3" t="n"/>
      <c r="C129" s="3" t="n"/>
      <c r="D129" s="3" t="n"/>
      <c r="E129" s="3" t="n"/>
      <c r="F129" s="10" t="n"/>
      <c r="G129" s="4" t="n"/>
      <c r="H129" s="5">
        <f>IF(B129="","",SUMIFS($G$4:$G$300,$C$4:$C$300,B129))</f>
        <v/>
      </c>
      <c r="I129" s="5">
        <f>IF(OR(B129="",A129="PAGO"),"",G129-H129)</f>
        <v/>
      </c>
      <c r="J129">
        <f>IF(B129="","",IF(AND(A129&lt;&gt;"PAGO",H129&gt;G129),"Excede el documento (los posteriores suman más)",IF(AND(A129&lt;&gt;"CDP",C129=""),"Falta el documento previo","OK")))</f>
        <v/>
      </c>
    </row>
    <row r="130">
      <c r="A130" s="3" t="n"/>
      <c r="B130" s="3" t="n"/>
      <c r="C130" s="3" t="n"/>
      <c r="D130" s="3" t="n"/>
      <c r="E130" s="3" t="n"/>
      <c r="F130" s="10" t="n"/>
      <c r="G130" s="4" t="n"/>
      <c r="H130" s="5">
        <f>IF(B130="","",SUMIFS($G$4:$G$300,$C$4:$C$300,B130))</f>
        <v/>
      </c>
      <c r="I130" s="5">
        <f>IF(OR(B130="",A130="PAGO"),"",G130-H130)</f>
        <v/>
      </c>
      <c r="J130">
        <f>IF(B130="","",IF(AND(A130&lt;&gt;"PAGO",H130&gt;G130),"Excede el documento (los posteriores suman más)",IF(AND(A130&lt;&gt;"CDP",C130=""),"Falta el documento previo","OK")))</f>
        <v/>
      </c>
    </row>
    <row r="131">
      <c r="A131" s="3" t="n"/>
      <c r="B131" s="3" t="n"/>
      <c r="C131" s="3" t="n"/>
      <c r="D131" s="3" t="n"/>
      <c r="E131" s="3" t="n"/>
      <c r="F131" s="10" t="n"/>
      <c r="G131" s="4" t="n"/>
      <c r="H131" s="5">
        <f>IF(B131="","",SUMIFS($G$4:$G$300,$C$4:$C$300,B131))</f>
        <v/>
      </c>
      <c r="I131" s="5">
        <f>IF(OR(B131="",A131="PAGO"),"",G131-H131)</f>
        <v/>
      </c>
      <c r="J131">
        <f>IF(B131="","",IF(AND(A131&lt;&gt;"PAGO",H131&gt;G131),"Excede el documento (los posteriores suman más)",IF(AND(A131&lt;&gt;"CDP",C131=""),"Falta el documento previo","OK")))</f>
        <v/>
      </c>
    </row>
    <row r="132">
      <c r="A132" s="3" t="n"/>
      <c r="B132" s="3" t="n"/>
      <c r="C132" s="3" t="n"/>
      <c r="D132" s="3" t="n"/>
      <c r="E132" s="3" t="n"/>
      <c r="F132" s="10" t="n"/>
      <c r="G132" s="4" t="n"/>
      <c r="H132" s="5">
        <f>IF(B132="","",SUMIFS($G$4:$G$300,$C$4:$C$300,B132))</f>
        <v/>
      </c>
      <c r="I132" s="5">
        <f>IF(OR(B132="",A132="PAGO"),"",G132-H132)</f>
        <v/>
      </c>
      <c r="J132">
        <f>IF(B132="","",IF(AND(A132&lt;&gt;"PAGO",H132&gt;G132),"Excede el documento (los posteriores suman más)",IF(AND(A132&lt;&gt;"CDP",C132=""),"Falta el documento previo","OK")))</f>
        <v/>
      </c>
    </row>
    <row r="133">
      <c r="A133" s="3" t="n"/>
      <c r="B133" s="3" t="n"/>
      <c r="C133" s="3" t="n"/>
      <c r="D133" s="3" t="n"/>
      <c r="E133" s="3" t="n"/>
      <c r="F133" s="10" t="n"/>
      <c r="G133" s="4" t="n"/>
      <c r="H133" s="5">
        <f>IF(B133="","",SUMIFS($G$4:$G$300,$C$4:$C$300,B133))</f>
        <v/>
      </c>
      <c r="I133" s="5">
        <f>IF(OR(B133="",A133="PAGO"),"",G133-H133)</f>
        <v/>
      </c>
      <c r="J133">
        <f>IF(B133="","",IF(AND(A133&lt;&gt;"PAGO",H133&gt;G133),"Excede el documento (los posteriores suman más)",IF(AND(A133&lt;&gt;"CDP",C133=""),"Falta el documento previo","OK")))</f>
        <v/>
      </c>
    </row>
    <row r="134">
      <c r="A134" s="3" t="n"/>
      <c r="B134" s="3" t="n"/>
      <c r="C134" s="3" t="n"/>
      <c r="D134" s="3" t="n"/>
      <c r="E134" s="3" t="n"/>
      <c r="F134" s="10" t="n"/>
      <c r="G134" s="4" t="n"/>
      <c r="H134" s="5">
        <f>IF(B134="","",SUMIFS($G$4:$G$300,$C$4:$C$300,B134))</f>
        <v/>
      </c>
      <c r="I134" s="5">
        <f>IF(OR(B134="",A134="PAGO"),"",G134-H134)</f>
        <v/>
      </c>
      <c r="J134">
        <f>IF(B134="","",IF(AND(A134&lt;&gt;"PAGO",H134&gt;G134),"Excede el documento (los posteriores suman más)",IF(AND(A134&lt;&gt;"CDP",C134=""),"Falta el documento previo","OK")))</f>
        <v/>
      </c>
    </row>
    <row r="135">
      <c r="A135" s="3" t="n"/>
      <c r="B135" s="3" t="n"/>
      <c r="C135" s="3" t="n"/>
      <c r="D135" s="3" t="n"/>
      <c r="E135" s="3" t="n"/>
      <c r="F135" s="10" t="n"/>
      <c r="G135" s="4" t="n"/>
      <c r="H135" s="5">
        <f>IF(B135="","",SUMIFS($G$4:$G$300,$C$4:$C$300,B135))</f>
        <v/>
      </c>
      <c r="I135" s="5">
        <f>IF(OR(B135="",A135="PAGO"),"",G135-H135)</f>
        <v/>
      </c>
      <c r="J135">
        <f>IF(B135="","",IF(AND(A135&lt;&gt;"PAGO",H135&gt;G135),"Excede el documento (los posteriores suman más)",IF(AND(A135&lt;&gt;"CDP",C135=""),"Falta el documento previo","OK")))</f>
        <v/>
      </c>
    </row>
    <row r="136">
      <c r="A136" s="3" t="n"/>
      <c r="B136" s="3" t="n"/>
      <c r="C136" s="3" t="n"/>
      <c r="D136" s="3" t="n"/>
      <c r="E136" s="3" t="n"/>
      <c r="F136" s="10" t="n"/>
      <c r="G136" s="4" t="n"/>
      <c r="H136" s="5">
        <f>IF(B136="","",SUMIFS($G$4:$G$300,$C$4:$C$300,B136))</f>
        <v/>
      </c>
      <c r="I136" s="5">
        <f>IF(OR(B136="",A136="PAGO"),"",G136-H136)</f>
        <v/>
      </c>
      <c r="J136">
        <f>IF(B136="","",IF(AND(A136&lt;&gt;"PAGO",H136&gt;G136),"Excede el documento (los posteriores suman más)",IF(AND(A136&lt;&gt;"CDP",C136=""),"Falta el documento previo","OK")))</f>
        <v/>
      </c>
    </row>
    <row r="137">
      <c r="A137" s="3" t="n"/>
      <c r="B137" s="3" t="n"/>
      <c r="C137" s="3" t="n"/>
      <c r="D137" s="3" t="n"/>
      <c r="E137" s="3" t="n"/>
      <c r="F137" s="10" t="n"/>
      <c r="G137" s="4" t="n"/>
      <c r="H137" s="5">
        <f>IF(B137="","",SUMIFS($G$4:$G$300,$C$4:$C$300,B137))</f>
        <v/>
      </c>
      <c r="I137" s="5">
        <f>IF(OR(B137="",A137="PAGO"),"",G137-H137)</f>
        <v/>
      </c>
      <c r="J137">
        <f>IF(B137="","",IF(AND(A137&lt;&gt;"PAGO",H137&gt;G137),"Excede el documento (los posteriores suman más)",IF(AND(A137&lt;&gt;"CDP",C137=""),"Falta el documento previo","OK")))</f>
        <v/>
      </c>
    </row>
    <row r="138">
      <c r="A138" s="3" t="n"/>
      <c r="B138" s="3" t="n"/>
      <c r="C138" s="3" t="n"/>
      <c r="D138" s="3" t="n"/>
      <c r="E138" s="3" t="n"/>
      <c r="F138" s="10" t="n"/>
      <c r="G138" s="4" t="n"/>
      <c r="H138" s="5">
        <f>IF(B138="","",SUMIFS($G$4:$G$300,$C$4:$C$300,B138))</f>
        <v/>
      </c>
      <c r="I138" s="5">
        <f>IF(OR(B138="",A138="PAGO"),"",G138-H138)</f>
        <v/>
      </c>
      <c r="J138">
        <f>IF(B138="","",IF(AND(A138&lt;&gt;"PAGO",H138&gt;G138),"Excede el documento (los posteriores suman más)",IF(AND(A138&lt;&gt;"CDP",C138=""),"Falta el documento previo","OK")))</f>
        <v/>
      </c>
    </row>
    <row r="139">
      <c r="A139" s="3" t="n"/>
      <c r="B139" s="3" t="n"/>
      <c r="C139" s="3" t="n"/>
      <c r="D139" s="3" t="n"/>
      <c r="E139" s="3" t="n"/>
      <c r="F139" s="10" t="n"/>
      <c r="G139" s="4" t="n"/>
      <c r="H139" s="5">
        <f>IF(B139="","",SUMIFS($G$4:$G$300,$C$4:$C$300,B139))</f>
        <v/>
      </c>
      <c r="I139" s="5">
        <f>IF(OR(B139="",A139="PAGO"),"",G139-H139)</f>
        <v/>
      </c>
      <c r="J139">
        <f>IF(B139="","",IF(AND(A139&lt;&gt;"PAGO",H139&gt;G139),"Excede el documento (los posteriores suman más)",IF(AND(A139&lt;&gt;"CDP",C139=""),"Falta el documento previo","OK")))</f>
        <v/>
      </c>
    </row>
    <row r="140">
      <c r="A140" s="3" t="n"/>
      <c r="B140" s="3" t="n"/>
      <c r="C140" s="3" t="n"/>
      <c r="D140" s="3" t="n"/>
      <c r="E140" s="3" t="n"/>
      <c r="F140" s="10" t="n"/>
      <c r="G140" s="4" t="n"/>
      <c r="H140" s="5">
        <f>IF(B140="","",SUMIFS($G$4:$G$300,$C$4:$C$300,B140))</f>
        <v/>
      </c>
      <c r="I140" s="5">
        <f>IF(OR(B140="",A140="PAGO"),"",G140-H140)</f>
        <v/>
      </c>
      <c r="J140">
        <f>IF(B140="","",IF(AND(A140&lt;&gt;"PAGO",H140&gt;G140),"Excede el documento (los posteriores suman más)",IF(AND(A140&lt;&gt;"CDP",C140=""),"Falta el documento previo","OK")))</f>
        <v/>
      </c>
    </row>
    <row r="141">
      <c r="A141" s="3" t="n"/>
      <c r="B141" s="3" t="n"/>
      <c r="C141" s="3" t="n"/>
      <c r="D141" s="3" t="n"/>
      <c r="E141" s="3" t="n"/>
      <c r="F141" s="10" t="n"/>
      <c r="G141" s="4" t="n"/>
      <c r="H141" s="5">
        <f>IF(B141="","",SUMIFS($G$4:$G$300,$C$4:$C$300,B141))</f>
        <v/>
      </c>
      <c r="I141" s="5">
        <f>IF(OR(B141="",A141="PAGO"),"",G141-H141)</f>
        <v/>
      </c>
      <c r="J141">
        <f>IF(B141="","",IF(AND(A141&lt;&gt;"PAGO",H141&gt;G141),"Excede el documento (los posteriores suman más)",IF(AND(A141&lt;&gt;"CDP",C141=""),"Falta el documento previo","OK")))</f>
        <v/>
      </c>
    </row>
    <row r="142">
      <c r="A142" s="3" t="n"/>
      <c r="B142" s="3" t="n"/>
      <c r="C142" s="3" t="n"/>
      <c r="D142" s="3" t="n"/>
      <c r="E142" s="3" t="n"/>
      <c r="F142" s="10" t="n"/>
      <c r="G142" s="4" t="n"/>
      <c r="H142" s="5">
        <f>IF(B142="","",SUMIFS($G$4:$G$300,$C$4:$C$300,B142))</f>
        <v/>
      </c>
      <c r="I142" s="5">
        <f>IF(OR(B142="",A142="PAGO"),"",G142-H142)</f>
        <v/>
      </c>
      <c r="J142">
        <f>IF(B142="","",IF(AND(A142&lt;&gt;"PAGO",H142&gt;G142),"Excede el documento (los posteriores suman más)",IF(AND(A142&lt;&gt;"CDP",C142=""),"Falta el documento previo","OK")))</f>
        <v/>
      </c>
    </row>
    <row r="143">
      <c r="A143" s="3" t="n"/>
      <c r="B143" s="3" t="n"/>
      <c r="C143" s="3" t="n"/>
      <c r="D143" s="3" t="n"/>
      <c r="E143" s="3" t="n"/>
      <c r="F143" s="10" t="n"/>
      <c r="G143" s="4" t="n"/>
      <c r="H143" s="5">
        <f>IF(B143="","",SUMIFS($G$4:$G$300,$C$4:$C$300,B143))</f>
        <v/>
      </c>
      <c r="I143" s="5">
        <f>IF(OR(B143="",A143="PAGO"),"",G143-H143)</f>
        <v/>
      </c>
      <c r="J143">
        <f>IF(B143="","",IF(AND(A143&lt;&gt;"PAGO",H143&gt;G143),"Excede el documento (los posteriores suman más)",IF(AND(A143&lt;&gt;"CDP",C143=""),"Falta el documento previo","OK")))</f>
        <v/>
      </c>
    </row>
    <row r="144">
      <c r="A144" s="3" t="n"/>
      <c r="B144" s="3" t="n"/>
      <c r="C144" s="3" t="n"/>
      <c r="D144" s="3" t="n"/>
      <c r="E144" s="3" t="n"/>
      <c r="F144" s="10" t="n"/>
      <c r="G144" s="4" t="n"/>
      <c r="H144" s="5">
        <f>IF(B144="","",SUMIFS($G$4:$G$300,$C$4:$C$300,B144))</f>
        <v/>
      </c>
      <c r="I144" s="5">
        <f>IF(OR(B144="",A144="PAGO"),"",G144-H144)</f>
        <v/>
      </c>
      <c r="J144">
        <f>IF(B144="","",IF(AND(A144&lt;&gt;"PAGO",H144&gt;G144),"Excede el documento (los posteriores suman más)",IF(AND(A144&lt;&gt;"CDP",C144=""),"Falta el documento previo","OK")))</f>
        <v/>
      </c>
    </row>
    <row r="145">
      <c r="A145" s="3" t="n"/>
      <c r="B145" s="3" t="n"/>
      <c r="C145" s="3" t="n"/>
      <c r="D145" s="3" t="n"/>
      <c r="E145" s="3" t="n"/>
      <c r="F145" s="10" t="n"/>
      <c r="G145" s="4" t="n"/>
      <c r="H145" s="5">
        <f>IF(B145="","",SUMIFS($G$4:$G$300,$C$4:$C$300,B145))</f>
        <v/>
      </c>
      <c r="I145" s="5">
        <f>IF(OR(B145="",A145="PAGO"),"",G145-H145)</f>
        <v/>
      </c>
      <c r="J145">
        <f>IF(B145="","",IF(AND(A145&lt;&gt;"PAGO",H145&gt;G145),"Excede el documento (los posteriores suman más)",IF(AND(A145&lt;&gt;"CDP",C145=""),"Falta el documento previo","OK")))</f>
        <v/>
      </c>
    </row>
    <row r="146">
      <c r="A146" s="3" t="n"/>
      <c r="B146" s="3" t="n"/>
      <c r="C146" s="3" t="n"/>
      <c r="D146" s="3" t="n"/>
      <c r="E146" s="3" t="n"/>
      <c r="F146" s="10" t="n"/>
      <c r="G146" s="4" t="n"/>
      <c r="H146" s="5">
        <f>IF(B146="","",SUMIFS($G$4:$G$300,$C$4:$C$300,B146))</f>
        <v/>
      </c>
      <c r="I146" s="5">
        <f>IF(OR(B146="",A146="PAGO"),"",G146-H146)</f>
        <v/>
      </c>
      <c r="J146">
        <f>IF(B146="","",IF(AND(A146&lt;&gt;"PAGO",H146&gt;G146),"Excede el documento (los posteriores suman más)",IF(AND(A146&lt;&gt;"CDP",C146=""),"Falta el documento previo","OK")))</f>
        <v/>
      </c>
    </row>
    <row r="147">
      <c r="A147" s="3" t="n"/>
      <c r="B147" s="3" t="n"/>
      <c r="C147" s="3" t="n"/>
      <c r="D147" s="3" t="n"/>
      <c r="E147" s="3" t="n"/>
      <c r="F147" s="10" t="n"/>
      <c r="G147" s="4" t="n"/>
      <c r="H147" s="5">
        <f>IF(B147="","",SUMIFS($G$4:$G$300,$C$4:$C$300,B147))</f>
        <v/>
      </c>
      <c r="I147" s="5">
        <f>IF(OR(B147="",A147="PAGO"),"",G147-H147)</f>
        <v/>
      </c>
      <c r="J147">
        <f>IF(B147="","",IF(AND(A147&lt;&gt;"PAGO",H147&gt;G147),"Excede el documento (los posteriores suman más)",IF(AND(A147&lt;&gt;"CDP",C147=""),"Falta el documento previo","OK")))</f>
        <v/>
      </c>
    </row>
    <row r="148">
      <c r="A148" s="3" t="n"/>
      <c r="B148" s="3" t="n"/>
      <c r="C148" s="3" t="n"/>
      <c r="D148" s="3" t="n"/>
      <c r="E148" s="3" t="n"/>
      <c r="F148" s="10" t="n"/>
      <c r="G148" s="4" t="n"/>
      <c r="H148" s="5">
        <f>IF(B148="","",SUMIFS($G$4:$G$300,$C$4:$C$300,B148))</f>
        <v/>
      </c>
      <c r="I148" s="5">
        <f>IF(OR(B148="",A148="PAGO"),"",G148-H148)</f>
        <v/>
      </c>
      <c r="J148">
        <f>IF(B148="","",IF(AND(A148&lt;&gt;"PAGO",H148&gt;G148),"Excede el documento (los posteriores suman más)",IF(AND(A148&lt;&gt;"CDP",C148=""),"Falta el documento previo","OK")))</f>
        <v/>
      </c>
    </row>
    <row r="149">
      <c r="A149" s="3" t="n"/>
      <c r="B149" s="3" t="n"/>
      <c r="C149" s="3" t="n"/>
      <c r="D149" s="3" t="n"/>
      <c r="E149" s="3" t="n"/>
      <c r="F149" s="10" t="n"/>
      <c r="G149" s="4" t="n"/>
      <c r="H149" s="5">
        <f>IF(B149="","",SUMIFS($G$4:$G$300,$C$4:$C$300,B149))</f>
        <v/>
      </c>
      <c r="I149" s="5">
        <f>IF(OR(B149="",A149="PAGO"),"",G149-H149)</f>
        <v/>
      </c>
      <c r="J149">
        <f>IF(B149="","",IF(AND(A149&lt;&gt;"PAGO",H149&gt;G149),"Excede el documento (los posteriores suman más)",IF(AND(A149&lt;&gt;"CDP",C149=""),"Falta el documento previo","OK")))</f>
        <v/>
      </c>
    </row>
    <row r="150">
      <c r="A150" s="3" t="n"/>
      <c r="B150" s="3" t="n"/>
      <c r="C150" s="3" t="n"/>
      <c r="D150" s="3" t="n"/>
      <c r="E150" s="3" t="n"/>
      <c r="F150" s="10" t="n"/>
      <c r="G150" s="4" t="n"/>
      <c r="H150" s="5">
        <f>IF(B150="","",SUMIFS($G$4:$G$300,$C$4:$C$300,B150))</f>
        <v/>
      </c>
      <c r="I150" s="5">
        <f>IF(OR(B150="",A150="PAGO"),"",G150-H150)</f>
        <v/>
      </c>
      <c r="J150">
        <f>IF(B150="","",IF(AND(A150&lt;&gt;"PAGO",H150&gt;G150),"Excede el documento (los posteriores suman más)",IF(AND(A150&lt;&gt;"CDP",C150=""),"Falta el documento previo","OK")))</f>
        <v/>
      </c>
    </row>
    <row r="151">
      <c r="A151" s="3" t="n"/>
      <c r="B151" s="3" t="n"/>
      <c r="C151" s="3" t="n"/>
      <c r="D151" s="3" t="n"/>
      <c r="E151" s="3" t="n"/>
      <c r="F151" s="10" t="n"/>
      <c r="G151" s="4" t="n"/>
      <c r="H151" s="5">
        <f>IF(B151="","",SUMIFS($G$4:$G$300,$C$4:$C$300,B151))</f>
        <v/>
      </c>
      <c r="I151" s="5">
        <f>IF(OR(B151="",A151="PAGO"),"",G151-H151)</f>
        <v/>
      </c>
      <c r="J151">
        <f>IF(B151="","",IF(AND(A151&lt;&gt;"PAGO",H151&gt;G151),"Excede el documento (los posteriores suman más)",IF(AND(A151&lt;&gt;"CDP",C151=""),"Falta el documento previo","OK")))</f>
        <v/>
      </c>
    </row>
    <row r="152">
      <c r="A152" s="3" t="n"/>
      <c r="B152" s="3" t="n"/>
      <c r="C152" s="3" t="n"/>
      <c r="D152" s="3" t="n"/>
      <c r="E152" s="3" t="n"/>
      <c r="F152" s="10" t="n"/>
      <c r="G152" s="4" t="n"/>
      <c r="H152" s="5">
        <f>IF(B152="","",SUMIFS($G$4:$G$300,$C$4:$C$300,B152))</f>
        <v/>
      </c>
      <c r="I152" s="5">
        <f>IF(OR(B152="",A152="PAGO"),"",G152-H152)</f>
        <v/>
      </c>
      <c r="J152">
        <f>IF(B152="","",IF(AND(A152&lt;&gt;"PAGO",H152&gt;G152),"Excede el documento (los posteriores suman más)",IF(AND(A152&lt;&gt;"CDP",C152=""),"Falta el documento previo","OK")))</f>
        <v/>
      </c>
    </row>
    <row r="153">
      <c r="A153" s="3" t="n"/>
      <c r="B153" s="3" t="n"/>
      <c r="C153" s="3" t="n"/>
      <c r="D153" s="3" t="n"/>
      <c r="E153" s="3" t="n"/>
      <c r="F153" s="10" t="n"/>
      <c r="G153" s="4" t="n"/>
      <c r="H153" s="5">
        <f>IF(B153="","",SUMIFS($G$4:$G$300,$C$4:$C$300,B153))</f>
        <v/>
      </c>
      <c r="I153" s="5">
        <f>IF(OR(B153="",A153="PAGO"),"",G153-H153)</f>
        <v/>
      </c>
      <c r="J153">
        <f>IF(B153="","",IF(AND(A153&lt;&gt;"PAGO",H153&gt;G153),"Excede el documento (los posteriores suman más)",IF(AND(A153&lt;&gt;"CDP",C153=""),"Falta el documento previo","OK")))</f>
        <v/>
      </c>
    </row>
    <row r="154">
      <c r="A154" s="3" t="n"/>
      <c r="B154" s="3" t="n"/>
      <c r="C154" s="3" t="n"/>
      <c r="D154" s="3" t="n"/>
      <c r="E154" s="3" t="n"/>
      <c r="F154" s="10" t="n"/>
      <c r="G154" s="4" t="n"/>
      <c r="H154" s="5">
        <f>IF(B154="","",SUMIFS($G$4:$G$300,$C$4:$C$300,B154))</f>
        <v/>
      </c>
      <c r="I154" s="5">
        <f>IF(OR(B154="",A154="PAGO"),"",G154-H154)</f>
        <v/>
      </c>
      <c r="J154">
        <f>IF(B154="","",IF(AND(A154&lt;&gt;"PAGO",H154&gt;G154),"Excede el documento (los posteriores suman más)",IF(AND(A154&lt;&gt;"CDP",C154=""),"Falta el documento previo","OK")))</f>
        <v/>
      </c>
    </row>
    <row r="155">
      <c r="A155" s="3" t="n"/>
      <c r="B155" s="3" t="n"/>
      <c r="C155" s="3" t="n"/>
      <c r="D155" s="3" t="n"/>
      <c r="E155" s="3" t="n"/>
      <c r="F155" s="10" t="n"/>
      <c r="G155" s="4" t="n"/>
      <c r="H155" s="5">
        <f>IF(B155="","",SUMIFS($G$4:$G$300,$C$4:$C$300,B155))</f>
        <v/>
      </c>
      <c r="I155" s="5">
        <f>IF(OR(B155="",A155="PAGO"),"",G155-H155)</f>
        <v/>
      </c>
      <c r="J155">
        <f>IF(B155="","",IF(AND(A155&lt;&gt;"PAGO",H155&gt;G155),"Excede el documento (los posteriores suman más)",IF(AND(A155&lt;&gt;"CDP",C155=""),"Falta el documento previo","OK")))</f>
        <v/>
      </c>
    </row>
    <row r="156">
      <c r="A156" s="3" t="n"/>
      <c r="B156" s="3" t="n"/>
      <c r="C156" s="3" t="n"/>
      <c r="D156" s="3" t="n"/>
      <c r="E156" s="3" t="n"/>
      <c r="F156" s="10" t="n"/>
      <c r="G156" s="4" t="n"/>
      <c r="H156" s="5">
        <f>IF(B156="","",SUMIFS($G$4:$G$300,$C$4:$C$300,B156))</f>
        <v/>
      </c>
      <c r="I156" s="5">
        <f>IF(OR(B156="",A156="PAGO"),"",G156-H156)</f>
        <v/>
      </c>
      <c r="J156">
        <f>IF(B156="","",IF(AND(A156&lt;&gt;"PAGO",H156&gt;G156),"Excede el documento (los posteriores suman más)",IF(AND(A156&lt;&gt;"CDP",C156=""),"Falta el documento previo","OK")))</f>
        <v/>
      </c>
    </row>
    <row r="157">
      <c r="A157" s="3" t="n"/>
      <c r="B157" s="3" t="n"/>
      <c r="C157" s="3" t="n"/>
      <c r="D157" s="3" t="n"/>
      <c r="E157" s="3" t="n"/>
      <c r="F157" s="10" t="n"/>
      <c r="G157" s="4" t="n"/>
      <c r="H157" s="5">
        <f>IF(B157="","",SUMIFS($G$4:$G$300,$C$4:$C$300,B157))</f>
        <v/>
      </c>
      <c r="I157" s="5">
        <f>IF(OR(B157="",A157="PAGO"),"",G157-H157)</f>
        <v/>
      </c>
      <c r="J157">
        <f>IF(B157="","",IF(AND(A157&lt;&gt;"PAGO",H157&gt;G157),"Excede el documento (los posteriores suman más)",IF(AND(A157&lt;&gt;"CDP",C157=""),"Falta el documento previo","OK")))</f>
        <v/>
      </c>
    </row>
    <row r="158">
      <c r="A158" s="3" t="n"/>
      <c r="B158" s="3" t="n"/>
      <c r="C158" s="3" t="n"/>
      <c r="D158" s="3" t="n"/>
      <c r="E158" s="3" t="n"/>
      <c r="F158" s="10" t="n"/>
      <c r="G158" s="4" t="n"/>
      <c r="H158" s="5">
        <f>IF(B158="","",SUMIFS($G$4:$G$300,$C$4:$C$300,B158))</f>
        <v/>
      </c>
      <c r="I158" s="5">
        <f>IF(OR(B158="",A158="PAGO"),"",G158-H158)</f>
        <v/>
      </c>
      <c r="J158">
        <f>IF(B158="","",IF(AND(A158&lt;&gt;"PAGO",H158&gt;G158),"Excede el documento (los posteriores suman más)",IF(AND(A158&lt;&gt;"CDP",C158=""),"Falta el documento previo","OK")))</f>
        <v/>
      </c>
    </row>
    <row r="159">
      <c r="A159" s="3" t="n"/>
      <c r="B159" s="3" t="n"/>
      <c r="C159" s="3" t="n"/>
      <c r="D159" s="3" t="n"/>
      <c r="E159" s="3" t="n"/>
      <c r="F159" s="10" t="n"/>
      <c r="G159" s="4" t="n"/>
      <c r="H159" s="5">
        <f>IF(B159="","",SUMIFS($G$4:$G$300,$C$4:$C$300,B159))</f>
        <v/>
      </c>
      <c r="I159" s="5">
        <f>IF(OR(B159="",A159="PAGO"),"",G159-H159)</f>
        <v/>
      </c>
      <c r="J159">
        <f>IF(B159="","",IF(AND(A159&lt;&gt;"PAGO",H159&gt;G159),"Excede el documento (los posteriores suman más)",IF(AND(A159&lt;&gt;"CDP",C159=""),"Falta el documento previo","OK")))</f>
        <v/>
      </c>
    </row>
    <row r="160">
      <c r="A160" s="3" t="n"/>
      <c r="B160" s="3" t="n"/>
      <c r="C160" s="3" t="n"/>
      <c r="D160" s="3" t="n"/>
      <c r="E160" s="3" t="n"/>
      <c r="F160" s="10" t="n"/>
      <c r="G160" s="4" t="n"/>
      <c r="H160" s="5">
        <f>IF(B160="","",SUMIFS($G$4:$G$300,$C$4:$C$300,B160))</f>
        <v/>
      </c>
      <c r="I160" s="5">
        <f>IF(OR(B160="",A160="PAGO"),"",G160-H160)</f>
        <v/>
      </c>
      <c r="J160">
        <f>IF(B160="","",IF(AND(A160&lt;&gt;"PAGO",H160&gt;G160),"Excede el documento (los posteriores suman más)",IF(AND(A160&lt;&gt;"CDP",C160=""),"Falta el documento previo","OK")))</f>
        <v/>
      </c>
    </row>
    <row r="161">
      <c r="A161" s="3" t="n"/>
      <c r="B161" s="3" t="n"/>
      <c r="C161" s="3" t="n"/>
      <c r="D161" s="3" t="n"/>
      <c r="E161" s="3" t="n"/>
      <c r="F161" s="10" t="n"/>
      <c r="G161" s="4" t="n"/>
      <c r="H161" s="5">
        <f>IF(B161="","",SUMIFS($G$4:$G$300,$C$4:$C$300,B161))</f>
        <v/>
      </c>
      <c r="I161" s="5">
        <f>IF(OR(B161="",A161="PAGO"),"",G161-H161)</f>
        <v/>
      </c>
      <c r="J161">
        <f>IF(B161="","",IF(AND(A161&lt;&gt;"PAGO",H161&gt;G161),"Excede el documento (los posteriores suman más)",IF(AND(A161&lt;&gt;"CDP",C161=""),"Falta el documento previo","OK")))</f>
        <v/>
      </c>
    </row>
    <row r="162">
      <c r="A162" s="3" t="n"/>
      <c r="B162" s="3" t="n"/>
      <c r="C162" s="3" t="n"/>
      <c r="D162" s="3" t="n"/>
      <c r="E162" s="3" t="n"/>
      <c r="F162" s="10" t="n"/>
      <c r="G162" s="4" t="n"/>
      <c r="H162" s="5">
        <f>IF(B162="","",SUMIFS($G$4:$G$300,$C$4:$C$300,B162))</f>
        <v/>
      </c>
      <c r="I162" s="5">
        <f>IF(OR(B162="",A162="PAGO"),"",G162-H162)</f>
        <v/>
      </c>
      <c r="J162">
        <f>IF(B162="","",IF(AND(A162&lt;&gt;"PAGO",H162&gt;G162),"Excede el documento (los posteriores suman más)",IF(AND(A162&lt;&gt;"CDP",C162=""),"Falta el documento previo","OK")))</f>
        <v/>
      </c>
    </row>
    <row r="163">
      <c r="A163" s="3" t="n"/>
      <c r="B163" s="3" t="n"/>
      <c r="C163" s="3" t="n"/>
      <c r="D163" s="3" t="n"/>
      <c r="E163" s="3" t="n"/>
      <c r="F163" s="10" t="n"/>
      <c r="G163" s="4" t="n"/>
      <c r="H163" s="5">
        <f>IF(B163="","",SUMIFS($G$4:$G$300,$C$4:$C$300,B163))</f>
        <v/>
      </c>
      <c r="I163" s="5">
        <f>IF(OR(B163="",A163="PAGO"),"",G163-H163)</f>
        <v/>
      </c>
      <c r="J163">
        <f>IF(B163="","",IF(AND(A163&lt;&gt;"PAGO",H163&gt;G163),"Excede el documento (los posteriores suman más)",IF(AND(A163&lt;&gt;"CDP",C163=""),"Falta el documento previo","OK")))</f>
        <v/>
      </c>
    </row>
    <row r="164">
      <c r="A164" s="3" t="n"/>
      <c r="B164" s="3" t="n"/>
      <c r="C164" s="3" t="n"/>
      <c r="D164" s="3" t="n"/>
      <c r="E164" s="3" t="n"/>
      <c r="F164" s="10" t="n"/>
      <c r="G164" s="4" t="n"/>
      <c r="H164" s="5">
        <f>IF(B164="","",SUMIFS($G$4:$G$300,$C$4:$C$300,B164))</f>
        <v/>
      </c>
      <c r="I164" s="5">
        <f>IF(OR(B164="",A164="PAGO"),"",G164-H164)</f>
        <v/>
      </c>
      <c r="J164">
        <f>IF(B164="","",IF(AND(A164&lt;&gt;"PAGO",H164&gt;G164),"Excede el documento (los posteriores suman más)",IF(AND(A164&lt;&gt;"CDP",C164=""),"Falta el documento previo","OK")))</f>
        <v/>
      </c>
    </row>
    <row r="165">
      <c r="A165" s="3" t="n"/>
      <c r="B165" s="3" t="n"/>
      <c r="C165" s="3" t="n"/>
      <c r="D165" s="3" t="n"/>
      <c r="E165" s="3" t="n"/>
      <c r="F165" s="10" t="n"/>
      <c r="G165" s="4" t="n"/>
      <c r="H165" s="5">
        <f>IF(B165="","",SUMIFS($G$4:$G$300,$C$4:$C$300,B165))</f>
        <v/>
      </c>
      <c r="I165" s="5">
        <f>IF(OR(B165="",A165="PAGO"),"",G165-H165)</f>
        <v/>
      </c>
      <c r="J165">
        <f>IF(B165="","",IF(AND(A165&lt;&gt;"PAGO",H165&gt;G165),"Excede el documento (los posteriores suman más)",IF(AND(A165&lt;&gt;"CDP",C165=""),"Falta el documento previo","OK")))</f>
        <v/>
      </c>
    </row>
    <row r="166">
      <c r="A166" s="3" t="n"/>
      <c r="B166" s="3" t="n"/>
      <c r="C166" s="3" t="n"/>
      <c r="D166" s="3" t="n"/>
      <c r="E166" s="3" t="n"/>
      <c r="F166" s="10" t="n"/>
      <c r="G166" s="4" t="n"/>
      <c r="H166" s="5">
        <f>IF(B166="","",SUMIFS($G$4:$G$300,$C$4:$C$300,B166))</f>
        <v/>
      </c>
      <c r="I166" s="5">
        <f>IF(OR(B166="",A166="PAGO"),"",G166-H166)</f>
        <v/>
      </c>
      <c r="J166">
        <f>IF(B166="","",IF(AND(A166&lt;&gt;"PAGO",H166&gt;G166),"Excede el documento (los posteriores suman más)",IF(AND(A166&lt;&gt;"CDP",C166=""),"Falta el documento previo","OK")))</f>
        <v/>
      </c>
    </row>
    <row r="167">
      <c r="A167" s="3" t="n"/>
      <c r="B167" s="3" t="n"/>
      <c r="C167" s="3" t="n"/>
      <c r="D167" s="3" t="n"/>
      <c r="E167" s="3" t="n"/>
      <c r="F167" s="10" t="n"/>
      <c r="G167" s="4" t="n"/>
      <c r="H167" s="5">
        <f>IF(B167="","",SUMIFS($G$4:$G$300,$C$4:$C$300,B167))</f>
        <v/>
      </c>
      <c r="I167" s="5">
        <f>IF(OR(B167="",A167="PAGO"),"",G167-H167)</f>
        <v/>
      </c>
      <c r="J167">
        <f>IF(B167="","",IF(AND(A167&lt;&gt;"PAGO",H167&gt;G167),"Excede el documento (los posteriores suman más)",IF(AND(A167&lt;&gt;"CDP",C167=""),"Falta el documento previo","OK")))</f>
        <v/>
      </c>
    </row>
    <row r="168">
      <c r="A168" s="3" t="n"/>
      <c r="B168" s="3" t="n"/>
      <c r="C168" s="3" t="n"/>
      <c r="D168" s="3" t="n"/>
      <c r="E168" s="3" t="n"/>
      <c r="F168" s="10" t="n"/>
      <c r="G168" s="4" t="n"/>
      <c r="H168" s="5">
        <f>IF(B168="","",SUMIFS($G$4:$G$300,$C$4:$C$300,B168))</f>
        <v/>
      </c>
      <c r="I168" s="5">
        <f>IF(OR(B168="",A168="PAGO"),"",G168-H168)</f>
        <v/>
      </c>
      <c r="J168">
        <f>IF(B168="","",IF(AND(A168&lt;&gt;"PAGO",H168&gt;G168),"Excede el documento (los posteriores suman más)",IF(AND(A168&lt;&gt;"CDP",C168=""),"Falta el documento previo","OK")))</f>
        <v/>
      </c>
    </row>
    <row r="169">
      <c r="A169" s="3" t="n"/>
      <c r="B169" s="3" t="n"/>
      <c r="C169" s="3" t="n"/>
      <c r="D169" s="3" t="n"/>
      <c r="E169" s="3" t="n"/>
      <c r="F169" s="10" t="n"/>
      <c r="G169" s="4" t="n"/>
      <c r="H169" s="5">
        <f>IF(B169="","",SUMIFS($G$4:$G$300,$C$4:$C$300,B169))</f>
        <v/>
      </c>
      <c r="I169" s="5">
        <f>IF(OR(B169="",A169="PAGO"),"",G169-H169)</f>
        <v/>
      </c>
      <c r="J169">
        <f>IF(B169="","",IF(AND(A169&lt;&gt;"PAGO",H169&gt;G169),"Excede el documento (los posteriores suman más)",IF(AND(A169&lt;&gt;"CDP",C169=""),"Falta el documento previo","OK")))</f>
        <v/>
      </c>
    </row>
    <row r="170">
      <c r="A170" s="3" t="n"/>
      <c r="B170" s="3" t="n"/>
      <c r="C170" s="3" t="n"/>
      <c r="D170" s="3" t="n"/>
      <c r="E170" s="3" t="n"/>
      <c r="F170" s="10" t="n"/>
      <c r="G170" s="4" t="n"/>
      <c r="H170" s="5">
        <f>IF(B170="","",SUMIFS($G$4:$G$300,$C$4:$C$300,B170))</f>
        <v/>
      </c>
      <c r="I170" s="5">
        <f>IF(OR(B170="",A170="PAGO"),"",G170-H170)</f>
        <v/>
      </c>
      <c r="J170">
        <f>IF(B170="","",IF(AND(A170&lt;&gt;"PAGO",H170&gt;G170),"Excede el documento (los posteriores suman más)",IF(AND(A170&lt;&gt;"CDP",C170=""),"Falta el documento previo","OK")))</f>
        <v/>
      </c>
    </row>
    <row r="171">
      <c r="A171" s="3" t="n"/>
      <c r="B171" s="3" t="n"/>
      <c r="C171" s="3" t="n"/>
      <c r="D171" s="3" t="n"/>
      <c r="E171" s="3" t="n"/>
      <c r="F171" s="10" t="n"/>
      <c r="G171" s="4" t="n"/>
      <c r="H171" s="5">
        <f>IF(B171="","",SUMIFS($G$4:$G$300,$C$4:$C$300,B171))</f>
        <v/>
      </c>
      <c r="I171" s="5">
        <f>IF(OR(B171="",A171="PAGO"),"",G171-H171)</f>
        <v/>
      </c>
      <c r="J171">
        <f>IF(B171="","",IF(AND(A171&lt;&gt;"PAGO",H171&gt;G171),"Excede el documento (los posteriores suman más)",IF(AND(A171&lt;&gt;"CDP",C171=""),"Falta el documento previo","OK")))</f>
        <v/>
      </c>
    </row>
    <row r="172">
      <c r="A172" s="3" t="n"/>
      <c r="B172" s="3" t="n"/>
      <c r="C172" s="3" t="n"/>
      <c r="D172" s="3" t="n"/>
      <c r="E172" s="3" t="n"/>
      <c r="F172" s="10" t="n"/>
      <c r="G172" s="4" t="n"/>
      <c r="H172" s="5">
        <f>IF(B172="","",SUMIFS($G$4:$G$300,$C$4:$C$300,B172))</f>
        <v/>
      </c>
      <c r="I172" s="5">
        <f>IF(OR(B172="",A172="PAGO"),"",G172-H172)</f>
        <v/>
      </c>
      <c r="J172">
        <f>IF(B172="","",IF(AND(A172&lt;&gt;"PAGO",H172&gt;G172),"Excede el documento (los posteriores suman más)",IF(AND(A172&lt;&gt;"CDP",C172=""),"Falta el documento previo","OK")))</f>
        <v/>
      </c>
    </row>
    <row r="173">
      <c r="A173" s="3" t="n"/>
      <c r="B173" s="3" t="n"/>
      <c r="C173" s="3" t="n"/>
      <c r="D173" s="3" t="n"/>
      <c r="E173" s="3" t="n"/>
      <c r="F173" s="10" t="n"/>
      <c r="G173" s="4" t="n"/>
      <c r="H173" s="5">
        <f>IF(B173="","",SUMIFS($G$4:$G$300,$C$4:$C$300,B173))</f>
        <v/>
      </c>
      <c r="I173" s="5">
        <f>IF(OR(B173="",A173="PAGO"),"",G173-H173)</f>
        <v/>
      </c>
      <c r="J173">
        <f>IF(B173="","",IF(AND(A173&lt;&gt;"PAGO",H173&gt;G173),"Excede el documento (los posteriores suman más)",IF(AND(A173&lt;&gt;"CDP",C173=""),"Falta el documento previo","OK")))</f>
        <v/>
      </c>
    </row>
    <row r="174">
      <c r="A174" s="3" t="n"/>
      <c r="B174" s="3" t="n"/>
      <c r="C174" s="3" t="n"/>
      <c r="D174" s="3" t="n"/>
      <c r="E174" s="3" t="n"/>
      <c r="F174" s="10" t="n"/>
      <c r="G174" s="4" t="n"/>
      <c r="H174" s="5">
        <f>IF(B174="","",SUMIFS($G$4:$G$300,$C$4:$C$300,B174))</f>
        <v/>
      </c>
      <c r="I174" s="5">
        <f>IF(OR(B174="",A174="PAGO"),"",G174-H174)</f>
        <v/>
      </c>
      <c r="J174">
        <f>IF(B174="","",IF(AND(A174&lt;&gt;"PAGO",H174&gt;G174),"Excede el documento (los posteriores suman más)",IF(AND(A174&lt;&gt;"CDP",C174=""),"Falta el documento previo","OK")))</f>
        <v/>
      </c>
    </row>
    <row r="175">
      <c r="A175" s="3" t="n"/>
      <c r="B175" s="3" t="n"/>
      <c r="C175" s="3" t="n"/>
      <c r="D175" s="3" t="n"/>
      <c r="E175" s="3" t="n"/>
      <c r="F175" s="10" t="n"/>
      <c r="G175" s="4" t="n"/>
      <c r="H175" s="5">
        <f>IF(B175="","",SUMIFS($G$4:$G$300,$C$4:$C$300,B175))</f>
        <v/>
      </c>
      <c r="I175" s="5">
        <f>IF(OR(B175="",A175="PAGO"),"",G175-H175)</f>
        <v/>
      </c>
      <c r="J175">
        <f>IF(B175="","",IF(AND(A175&lt;&gt;"PAGO",H175&gt;G175),"Excede el documento (los posteriores suman más)",IF(AND(A175&lt;&gt;"CDP",C175=""),"Falta el documento previo","OK")))</f>
        <v/>
      </c>
    </row>
    <row r="176">
      <c r="A176" s="3" t="n"/>
      <c r="B176" s="3" t="n"/>
      <c r="C176" s="3" t="n"/>
      <c r="D176" s="3" t="n"/>
      <c r="E176" s="3" t="n"/>
      <c r="F176" s="10" t="n"/>
      <c r="G176" s="4" t="n"/>
      <c r="H176" s="5">
        <f>IF(B176="","",SUMIFS($G$4:$G$300,$C$4:$C$300,B176))</f>
        <v/>
      </c>
      <c r="I176" s="5">
        <f>IF(OR(B176="",A176="PAGO"),"",G176-H176)</f>
        <v/>
      </c>
      <c r="J176">
        <f>IF(B176="","",IF(AND(A176&lt;&gt;"PAGO",H176&gt;G176),"Excede el documento (los posteriores suman más)",IF(AND(A176&lt;&gt;"CDP",C176=""),"Falta el documento previo","OK")))</f>
        <v/>
      </c>
    </row>
    <row r="177">
      <c r="A177" s="3" t="n"/>
      <c r="B177" s="3" t="n"/>
      <c r="C177" s="3" t="n"/>
      <c r="D177" s="3" t="n"/>
      <c r="E177" s="3" t="n"/>
      <c r="F177" s="10" t="n"/>
      <c r="G177" s="4" t="n"/>
      <c r="H177" s="5">
        <f>IF(B177="","",SUMIFS($G$4:$G$300,$C$4:$C$300,B177))</f>
        <v/>
      </c>
      <c r="I177" s="5">
        <f>IF(OR(B177="",A177="PAGO"),"",G177-H177)</f>
        <v/>
      </c>
      <c r="J177">
        <f>IF(B177="","",IF(AND(A177&lt;&gt;"PAGO",H177&gt;G177),"Excede el documento (los posteriores suman más)",IF(AND(A177&lt;&gt;"CDP",C177=""),"Falta el documento previo","OK")))</f>
        <v/>
      </c>
    </row>
    <row r="178">
      <c r="A178" s="3" t="n"/>
      <c r="B178" s="3" t="n"/>
      <c r="C178" s="3" t="n"/>
      <c r="D178" s="3" t="n"/>
      <c r="E178" s="3" t="n"/>
      <c r="F178" s="10" t="n"/>
      <c r="G178" s="4" t="n"/>
      <c r="H178" s="5">
        <f>IF(B178="","",SUMIFS($G$4:$G$300,$C$4:$C$300,B178))</f>
        <v/>
      </c>
      <c r="I178" s="5">
        <f>IF(OR(B178="",A178="PAGO"),"",G178-H178)</f>
        <v/>
      </c>
      <c r="J178">
        <f>IF(B178="","",IF(AND(A178&lt;&gt;"PAGO",H178&gt;G178),"Excede el documento (los posteriores suman más)",IF(AND(A178&lt;&gt;"CDP",C178=""),"Falta el documento previo","OK")))</f>
        <v/>
      </c>
    </row>
    <row r="179">
      <c r="A179" s="3" t="n"/>
      <c r="B179" s="3" t="n"/>
      <c r="C179" s="3" t="n"/>
      <c r="D179" s="3" t="n"/>
      <c r="E179" s="3" t="n"/>
      <c r="F179" s="10" t="n"/>
      <c r="G179" s="4" t="n"/>
      <c r="H179" s="5">
        <f>IF(B179="","",SUMIFS($G$4:$G$300,$C$4:$C$300,B179))</f>
        <v/>
      </c>
      <c r="I179" s="5">
        <f>IF(OR(B179="",A179="PAGO"),"",G179-H179)</f>
        <v/>
      </c>
      <c r="J179">
        <f>IF(B179="","",IF(AND(A179&lt;&gt;"PAGO",H179&gt;G179),"Excede el documento (los posteriores suman más)",IF(AND(A179&lt;&gt;"CDP",C179=""),"Falta el documento previo","OK")))</f>
        <v/>
      </c>
    </row>
    <row r="180">
      <c r="A180" s="3" t="n"/>
      <c r="B180" s="3" t="n"/>
      <c r="C180" s="3" t="n"/>
      <c r="D180" s="3" t="n"/>
      <c r="E180" s="3" t="n"/>
      <c r="F180" s="10" t="n"/>
      <c r="G180" s="4" t="n"/>
      <c r="H180" s="5">
        <f>IF(B180="","",SUMIFS($G$4:$G$300,$C$4:$C$300,B180))</f>
        <v/>
      </c>
      <c r="I180" s="5">
        <f>IF(OR(B180="",A180="PAGO"),"",G180-H180)</f>
        <v/>
      </c>
      <c r="J180">
        <f>IF(B180="","",IF(AND(A180&lt;&gt;"PAGO",H180&gt;G180),"Excede el documento (los posteriores suman más)",IF(AND(A180&lt;&gt;"CDP",C180=""),"Falta el documento previo","OK")))</f>
        <v/>
      </c>
    </row>
    <row r="181">
      <c r="A181" s="3" t="n"/>
      <c r="B181" s="3" t="n"/>
      <c r="C181" s="3" t="n"/>
      <c r="D181" s="3" t="n"/>
      <c r="E181" s="3" t="n"/>
      <c r="F181" s="10" t="n"/>
      <c r="G181" s="4" t="n"/>
      <c r="H181" s="5">
        <f>IF(B181="","",SUMIFS($G$4:$G$300,$C$4:$C$300,B181))</f>
        <v/>
      </c>
      <c r="I181" s="5">
        <f>IF(OR(B181="",A181="PAGO"),"",G181-H181)</f>
        <v/>
      </c>
      <c r="J181">
        <f>IF(B181="","",IF(AND(A181&lt;&gt;"PAGO",H181&gt;G181),"Excede el documento (los posteriores suman más)",IF(AND(A181&lt;&gt;"CDP",C181=""),"Falta el documento previo","OK")))</f>
        <v/>
      </c>
    </row>
    <row r="182">
      <c r="A182" s="3" t="n"/>
      <c r="B182" s="3" t="n"/>
      <c r="C182" s="3" t="n"/>
      <c r="D182" s="3" t="n"/>
      <c r="E182" s="3" t="n"/>
      <c r="F182" s="10" t="n"/>
      <c r="G182" s="4" t="n"/>
      <c r="H182" s="5">
        <f>IF(B182="","",SUMIFS($G$4:$G$300,$C$4:$C$300,B182))</f>
        <v/>
      </c>
      <c r="I182" s="5">
        <f>IF(OR(B182="",A182="PAGO"),"",G182-H182)</f>
        <v/>
      </c>
      <c r="J182">
        <f>IF(B182="","",IF(AND(A182&lt;&gt;"PAGO",H182&gt;G182),"Excede el documento (los posteriores suman más)",IF(AND(A182&lt;&gt;"CDP",C182=""),"Falta el documento previo","OK")))</f>
        <v/>
      </c>
    </row>
    <row r="183">
      <c r="A183" s="3" t="n"/>
      <c r="B183" s="3" t="n"/>
      <c r="C183" s="3" t="n"/>
      <c r="D183" s="3" t="n"/>
      <c r="E183" s="3" t="n"/>
      <c r="F183" s="10" t="n"/>
      <c r="G183" s="4" t="n"/>
      <c r="H183" s="5">
        <f>IF(B183="","",SUMIFS($G$4:$G$300,$C$4:$C$300,B183))</f>
        <v/>
      </c>
      <c r="I183" s="5">
        <f>IF(OR(B183="",A183="PAGO"),"",G183-H183)</f>
        <v/>
      </c>
      <c r="J183">
        <f>IF(B183="","",IF(AND(A183&lt;&gt;"PAGO",H183&gt;G183),"Excede el documento (los posteriores suman más)",IF(AND(A183&lt;&gt;"CDP",C183=""),"Falta el documento previo","OK")))</f>
        <v/>
      </c>
    </row>
    <row r="184">
      <c r="A184" s="3" t="n"/>
      <c r="B184" s="3" t="n"/>
      <c r="C184" s="3" t="n"/>
      <c r="D184" s="3" t="n"/>
      <c r="E184" s="3" t="n"/>
      <c r="F184" s="10" t="n"/>
      <c r="G184" s="4" t="n"/>
      <c r="H184" s="5">
        <f>IF(B184="","",SUMIFS($G$4:$G$300,$C$4:$C$300,B184))</f>
        <v/>
      </c>
      <c r="I184" s="5">
        <f>IF(OR(B184="",A184="PAGO"),"",G184-H184)</f>
        <v/>
      </c>
      <c r="J184">
        <f>IF(B184="","",IF(AND(A184&lt;&gt;"PAGO",H184&gt;G184),"Excede el documento (los posteriores suman más)",IF(AND(A184&lt;&gt;"CDP",C184=""),"Falta el documento previo","OK")))</f>
        <v/>
      </c>
    </row>
    <row r="185">
      <c r="A185" s="3" t="n"/>
      <c r="B185" s="3" t="n"/>
      <c r="C185" s="3" t="n"/>
      <c r="D185" s="3" t="n"/>
      <c r="E185" s="3" t="n"/>
      <c r="F185" s="10" t="n"/>
      <c r="G185" s="4" t="n"/>
      <c r="H185" s="5">
        <f>IF(B185="","",SUMIFS($G$4:$G$300,$C$4:$C$300,B185))</f>
        <v/>
      </c>
      <c r="I185" s="5">
        <f>IF(OR(B185="",A185="PAGO"),"",G185-H185)</f>
        <v/>
      </c>
      <c r="J185">
        <f>IF(B185="","",IF(AND(A185&lt;&gt;"PAGO",H185&gt;G185),"Excede el documento (los posteriores suman más)",IF(AND(A185&lt;&gt;"CDP",C185=""),"Falta el documento previo","OK")))</f>
        <v/>
      </c>
    </row>
    <row r="186">
      <c r="A186" s="3" t="n"/>
      <c r="B186" s="3" t="n"/>
      <c r="C186" s="3" t="n"/>
      <c r="D186" s="3" t="n"/>
      <c r="E186" s="3" t="n"/>
      <c r="F186" s="10" t="n"/>
      <c r="G186" s="4" t="n"/>
      <c r="H186" s="5">
        <f>IF(B186="","",SUMIFS($G$4:$G$300,$C$4:$C$300,B186))</f>
        <v/>
      </c>
      <c r="I186" s="5">
        <f>IF(OR(B186="",A186="PAGO"),"",G186-H186)</f>
        <v/>
      </c>
      <c r="J186">
        <f>IF(B186="","",IF(AND(A186&lt;&gt;"PAGO",H186&gt;G186),"Excede el documento (los posteriores suman más)",IF(AND(A186&lt;&gt;"CDP",C186=""),"Falta el documento previo","OK")))</f>
        <v/>
      </c>
    </row>
    <row r="187">
      <c r="A187" s="3" t="n"/>
      <c r="B187" s="3" t="n"/>
      <c r="C187" s="3" t="n"/>
      <c r="D187" s="3" t="n"/>
      <c r="E187" s="3" t="n"/>
      <c r="F187" s="10" t="n"/>
      <c r="G187" s="4" t="n"/>
      <c r="H187" s="5">
        <f>IF(B187="","",SUMIFS($G$4:$G$300,$C$4:$C$300,B187))</f>
        <v/>
      </c>
      <c r="I187" s="5">
        <f>IF(OR(B187="",A187="PAGO"),"",G187-H187)</f>
        <v/>
      </c>
      <c r="J187">
        <f>IF(B187="","",IF(AND(A187&lt;&gt;"PAGO",H187&gt;G187),"Excede el documento (los posteriores suman más)",IF(AND(A187&lt;&gt;"CDP",C187=""),"Falta el documento previo","OK")))</f>
        <v/>
      </c>
    </row>
    <row r="188">
      <c r="A188" s="3" t="n"/>
      <c r="B188" s="3" t="n"/>
      <c r="C188" s="3" t="n"/>
      <c r="D188" s="3" t="n"/>
      <c r="E188" s="3" t="n"/>
      <c r="F188" s="10" t="n"/>
      <c r="G188" s="4" t="n"/>
      <c r="H188" s="5">
        <f>IF(B188="","",SUMIFS($G$4:$G$300,$C$4:$C$300,B188))</f>
        <v/>
      </c>
      <c r="I188" s="5">
        <f>IF(OR(B188="",A188="PAGO"),"",G188-H188)</f>
        <v/>
      </c>
      <c r="J188">
        <f>IF(B188="","",IF(AND(A188&lt;&gt;"PAGO",H188&gt;G188),"Excede el documento (los posteriores suman más)",IF(AND(A188&lt;&gt;"CDP",C188=""),"Falta el documento previo","OK")))</f>
        <v/>
      </c>
    </row>
    <row r="189">
      <c r="A189" s="3" t="n"/>
      <c r="B189" s="3" t="n"/>
      <c r="C189" s="3" t="n"/>
      <c r="D189" s="3" t="n"/>
      <c r="E189" s="3" t="n"/>
      <c r="F189" s="10" t="n"/>
      <c r="G189" s="4" t="n"/>
      <c r="H189" s="5">
        <f>IF(B189="","",SUMIFS($G$4:$G$300,$C$4:$C$300,B189))</f>
        <v/>
      </c>
      <c r="I189" s="5">
        <f>IF(OR(B189="",A189="PAGO"),"",G189-H189)</f>
        <v/>
      </c>
      <c r="J189">
        <f>IF(B189="","",IF(AND(A189&lt;&gt;"PAGO",H189&gt;G189),"Excede el documento (los posteriores suman más)",IF(AND(A189&lt;&gt;"CDP",C189=""),"Falta el documento previo","OK")))</f>
        <v/>
      </c>
    </row>
    <row r="190">
      <c r="A190" s="3" t="n"/>
      <c r="B190" s="3" t="n"/>
      <c r="C190" s="3" t="n"/>
      <c r="D190" s="3" t="n"/>
      <c r="E190" s="3" t="n"/>
      <c r="F190" s="10" t="n"/>
      <c r="G190" s="4" t="n"/>
      <c r="H190" s="5">
        <f>IF(B190="","",SUMIFS($G$4:$G$300,$C$4:$C$300,B190))</f>
        <v/>
      </c>
      <c r="I190" s="5">
        <f>IF(OR(B190="",A190="PAGO"),"",G190-H190)</f>
        <v/>
      </c>
      <c r="J190">
        <f>IF(B190="","",IF(AND(A190&lt;&gt;"PAGO",H190&gt;G190),"Excede el documento (los posteriores suman más)",IF(AND(A190&lt;&gt;"CDP",C190=""),"Falta el documento previo","OK")))</f>
        <v/>
      </c>
    </row>
    <row r="191">
      <c r="A191" s="3" t="n"/>
      <c r="B191" s="3" t="n"/>
      <c r="C191" s="3" t="n"/>
      <c r="D191" s="3" t="n"/>
      <c r="E191" s="3" t="n"/>
      <c r="F191" s="10" t="n"/>
      <c r="G191" s="4" t="n"/>
      <c r="H191" s="5">
        <f>IF(B191="","",SUMIFS($G$4:$G$300,$C$4:$C$300,B191))</f>
        <v/>
      </c>
      <c r="I191" s="5">
        <f>IF(OR(B191="",A191="PAGO"),"",G191-H191)</f>
        <v/>
      </c>
      <c r="J191">
        <f>IF(B191="","",IF(AND(A191&lt;&gt;"PAGO",H191&gt;G191),"Excede el documento (los posteriores suman más)",IF(AND(A191&lt;&gt;"CDP",C191=""),"Falta el documento previo","OK")))</f>
        <v/>
      </c>
    </row>
    <row r="192">
      <c r="A192" s="3" t="n"/>
      <c r="B192" s="3" t="n"/>
      <c r="C192" s="3" t="n"/>
      <c r="D192" s="3" t="n"/>
      <c r="E192" s="3" t="n"/>
      <c r="F192" s="10" t="n"/>
      <c r="G192" s="4" t="n"/>
      <c r="H192" s="5">
        <f>IF(B192="","",SUMIFS($G$4:$G$300,$C$4:$C$300,B192))</f>
        <v/>
      </c>
      <c r="I192" s="5">
        <f>IF(OR(B192="",A192="PAGO"),"",G192-H192)</f>
        <v/>
      </c>
      <c r="J192">
        <f>IF(B192="","",IF(AND(A192&lt;&gt;"PAGO",H192&gt;G192),"Excede el documento (los posteriores suman más)",IF(AND(A192&lt;&gt;"CDP",C192=""),"Falta el documento previo","OK")))</f>
        <v/>
      </c>
    </row>
    <row r="193">
      <c r="A193" s="3" t="n"/>
      <c r="B193" s="3" t="n"/>
      <c r="C193" s="3" t="n"/>
      <c r="D193" s="3" t="n"/>
      <c r="E193" s="3" t="n"/>
      <c r="F193" s="10" t="n"/>
      <c r="G193" s="4" t="n"/>
      <c r="H193" s="5">
        <f>IF(B193="","",SUMIFS($G$4:$G$300,$C$4:$C$300,B193))</f>
        <v/>
      </c>
      <c r="I193" s="5">
        <f>IF(OR(B193="",A193="PAGO"),"",G193-H193)</f>
        <v/>
      </c>
      <c r="J193">
        <f>IF(B193="","",IF(AND(A193&lt;&gt;"PAGO",H193&gt;G193),"Excede el documento (los posteriores suman más)",IF(AND(A193&lt;&gt;"CDP",C193=""),"Falta el documento previo","OK")))</f>
        <v/>
      </c>
    </row>
    <row r="194">
      <c r="A194" s="3" t="n"/>
      <c r="B194" s="3" t="n"/>
      <c r="C194" s="3" t="n"/>
      <c r="D194" s="3" t="n"/>
      <c r="E194" s="3" t="n"/>
      <c r="F194" s="10" t="n"/>
      <c r="G194" s="4" t="n"/>
      <c r="H194" s="5">
        <f>IF(B194="","",SUMIFS($G$4:$G$300,$C$4:$C$300,B194))</f>
        <v/>
      </c>
      <c r="I194" s="5">
        <f>IF(OR(B194="",A194="PAGO"),"",G194-H194)</f>
        <v/>
      </c>
      <c r="J194">
        <f>IF(B194="","",IF(AND(A194&lt;&gt;"PAGO",H194&gt;G194),"Excede el documento (los posteriores suman más)",IF(AND(A194&lt;&gt;"CDP",C194=""),"Falta el documento previo","OK")))</f>
        <v/>
      </c>
    </row>
    <row r="195">
      <c r="A195" s="3" t="n"/>
      <c r="B195" s="3" t="n"/>
      <c r="C195" s="3" t="n"/>
      <c r="D195" s="3" t="n"/>
      <c r="E195" s="3" t="n"/>
      <c r="F195" s="10" t="n"/>
      <c r="G195" s="4" t="n"/>
      <c r="H195" s="5">
        <f>IF(B195="","",SUMIFS($G$4:$G$300,$C$4:$C$300,B195))</f>
        <v/>
      </c>
      <c r="I195" s="5">
        <f>IF(OR(B195="",A195="PAGO"),"",G195-H195)</f>
        <v/>
      </c>
      <c r="J195">
        <f>IF(B195="","",IF(AND(A195&lt;&gt;"PAGO",H195&gt;G195),"Excede el documento (los posteriores suman más)",IF(AND(A195&lt;&gt;"CDP",C195=""),"Falta el documento previo","OK")))</f>
        <v/>
      </c>
    </row>
    <row r="196">
      <c r="A196" s="3" t="n"/>
      <c r="B196" s="3" t="n"/>
      <c r="C196" s="3" t="n"/>
      <c r="D196" s="3" t="n"/>
      <c r="E196" s="3" t="n"/>
      <c r="F196" s="10" t="n"/>
      <c r="G196" s="4" t="n"/>
      <c r="H196" s="5">
        <f>IF(B196="","",SUMIFS($G$4:$G$300,$C$4:$C$300,B196))</f>
        <v/>
      </c>
      <c r="I196" s="5">
        <f>IF(OR(B196="",A196="PAGO"),"",G196-H196)</f>
        <v/>
      </c>
      <c r="J196">
        <f>IF(B196="","",IF(AND(A196&lt;&gt;"PAGO",H196&gt;G196),"Excede el documento (los posteriores suman más)",IF(AND(A196&lt;&gt;"CDP",C196=""),"Falta el documento previo","OK")))</f>
        <v/>
      </c>
    </row>
    <row r="197">
      <c r="A197" s="3" t="n"/>
      <c r="B197" s="3" t="n"/>
      <c r="C197" s="3" t="n"/>
      <c r="D197" s="3" t="n"/>
      <c r="E197" s="3" t="n"/>
      <c r="F197" s="10" t="n"/>
      <c r="G197" s="4" t="n"/>
      <c r="H197" s="5">
        <f>IF(B197="","",SUMIFS($G$4:$G$300,$C$4:$C$300,B197))</f>
        <v/>
      </c>
      <c r="I197" s="5">
        <f>IF(OR(B197="",A197="PAGO"),"",G197-H197)</f>
        <v/>
      </c>
      <c r="J197">
        <f>IF(B197="","",IF(AND(A197&lt;&gt;"PAGO",H197&gt;G197),"Excede el documento (los posteriores suman más)",IF(AND(A197&lt;&gt;"CDP",C197=""),"Falta el documento previo","OK")))</f>
        <v/>
      </c>
    </row>
    <row r="198">
      <c r="A198" s="3" t="n"/>
      <c r="B198" s="3" t="n"/>
      <c r="C198" s="3" t="n"/>
      <c r="D198" s="3" t="n"/>
      <c r="E198" s="3" t="n"/>
      <c r="F198" s="10" t="n"/>
      <c r="G198" s="4" t="n"/>
      <c r="H198" s="5">
        <f>IF(B198="","",SUMIFS($G$4:$G$300,$C$4:$C$300,B198))</f>
        <v/>
      </c>
      <c r="I198" s="5">
        <f>IF(OR(B198="",A198="PAGO"),"",G198-H198)</f>
        <v/>
      </c>
      <c r="J198">
        <f>IF(B198="","",IF(AND(A198&lt;&gt;"PAGO",H198&gt;G198),"Excede el documento (los posteriores suman más)",IF(AND(A198&lt;&gt;"CDP",C198=""),"Falta el documento previo","OK")))</f>
        <v/>
      </c>
    </row>
    <row r="199">
      <c r="A199" s="3" t="n"/>
      <c r="B199" s="3" t="n"/>
      <c r="C199" s="3" t="n"/>
      <c r="D199" s="3" t="n"/>
      <c r="E199" s="3" t="n"/>
      <c r="F199" s="10" t="n"/>
      <c r="G199" s="4" t="n"/>
      <c r="H199" s="5">
        <f>IF(B199="","",SUMIFS($G$4:$G$300,$C$4:$C$300,B199))</f>
        <v/>
      </c>
      <c r="I199" s="5">
        <f>IF(OR(B199="",A199="PAGO"),"",G199-H199)</f>
        <v/>
      </c>
      <c r="J199">
        <f>IF(B199="","",IF(AND(A199&lt;&gt;"PAGO",H199&gt;G199),"Excede el documento (los posteriores suman más)",IF(AND(A199&lt;&gt;"CDP",C199=""),"Falta el documento previo","OK")))</f>
        <v/>
      </c>
    </row>
    <row r="200">
      <c r="A200" s="3" t="n"/>
      <c r="B200" s="3" t="n"/>
      <c r="C200" s="3" t="n"/>
      <c r="D200" s="3" t="n"/>
      <c r="E200" s="3" t="n"/>
      <c r="F200" s="10" t="n"/>
      <c r="G200" s="4" t="n"/>
      <c r="H200" s="5">
        <f>IF(B200="","",SUMIFS($G$4:$G$300,$C$4:$C$300,B200))</f>
        <v/>
      </c>
      <c r="I200" s="5">
        <f>IF(OR(B200="",A200="PAGO"),"",G200-H200)</f>
        <v/>
      </c>
      <c r="J200">
        <f>IF(B200="","",IF(AND(A200&lt;&gt;"PAGO",H200&gt;G200),"Excede el documento (los posteriores suman más)",IF(AND(A200&lt;&gt;"CDP",C200=""),"Falta el documento previo","OK")))</f>
        <v/>
      </c>
    </row>
    <row r="201">
      <c r="A201" s="3" t="n"/>
      <c r="B201" s="3" t="n"/>
      <c r="C201" s="3" t="n"/>
      <c r="D201" s="3" t="n"/>
      <c r="E201" s="3" t="n"/>
      <c r="F201" s="10" t="n"/>
      <c r="G201" s="4" t="n"/>
      <c r="H201" s="5">
        <f>IF(B201="","",SUMIFS($G$4:$G$300,$C$4:$C$300,B201))</f>
        <v/>
      </c>
      <c r="I201" s="5">
        <f>IF(OR(B201="",A201="PAGO"),"",G201-H201)</f>
        <v/>
      </c>
      <c r="J201">
        <f>IF(B201="","",IF(AND(A201&lt;&gt;"PAGO",H201&gt;G201),"Excede el documento (los posteriores suman más)",IF(AND(A201&lt;&gt;"CDP",C201=""),"Falta el documento previo","OK")))</f>
        <v/>
      </c>
    </row>
    <row r="202">
      <c r="A202" s="3" t="n"/>
      <c r="B202" s="3" t="n"/>
      <c r="C202" s="3" t="n"/>
      <c r="D202" s="3" t="n"/>
      <c r="E202" s="3" t="n"/>
      <c r="F202" s="10" t="n"/>
      <c r="G202" s="4" t="n"/>
      <c r="H202" s="5">
        <f>IF(B202="","",SUMIFS($G$4:$G$300,$C$4:$C$300,B202))</f>
        <v/>
      </c>
      <c r="I202" s="5">
        <f>IF(OR(B202="",A202="PAGO"),"",G202-H202)</f>
        <v/>
      </c>
      <c r="J202">
        <f>IF(B202="","",IF(AND(A202&lt;&gt;"PAGO",H202&gt;G202),"Excede el documento (los posteriores suman más)",IF(AND(A202&lt;&gt;"CDP",C202=""),"Falta el documento previo","OK")))</f>
        <v/>
      </c>
    </row>
    <row r="203">
      <c r="A203" s="3" t="n"/>
      <c r="B203" s="3" t="n"/>
      <c r="C203" s="3" t="n"/>
      <c r="D203" s="3" t="n"/>
      <c r="E203" s="3" t="n"/>
      <c r="F203" s="10" t="n"/>
      <c r="G203" s="4" t="n"/>
      <c r="H203" s="5">
        <f>IF(B203="","",SUMIFS($G$4:$G$300,$C$4:$C$300,B203))</f>
        <v/>
      </c>
      <c r="I203" s="5">
        <f>IF(OR(B203="",A203="PAGO"),"",G203-H203)</f>
        <v/>
      </c>
      <c r="J203">
        <f>IF(B203="","",IF(AND(A203&lt;&gt;"PAGO",H203&gt;G203),"Excede el documento (los posteriores suman más)",IF(AND(A203&lt;&gt;"CDP",C203=""),"Falta el documento previo","OK")))</f>
        <v/>
      </c>
    </row>
    <row r="204">
      <c r="A204" s="3" t="n"/>
      <c r="B204" s="3" t="n"/>
      <c r="C204" s="3" t="n"/>
      <c r="D204" s="3" t="n"/>
      <c r="E204" s="3" t="n"/>
      <c r="F204" s="10" t="n"/>
      <c r="G204" s="4" t="n"/>
      <c r="H204" s="5">
        <f>IF(B204="","",SUMIFS($G$4:$G$300,$C$4:$C$300,B204))</f>
        <v/>
      </c>
      <c r="I204" s="5">
        <f>IF(OR(B204="",A204="PAGO"),"",G204-H204)</f>
        <v/>
      </c>
      <c r="J204">
        <f>IF(B204="","",IF(AND(A204&lt;&gt;"PAGO",H204&gt;G204),"Excede el documento (los posteriores suman más)",IF(AND(A204&lt;&gt;"CDP",C204=""),"Falta el documento previo","OK")))</f>
        <v/>
      </c>
    </row>
    <row r="205">
      <c r="A205" s="3" t="n"/>
      <c r="B205" s="3" t="n"/>
      <c r="C205" s="3" t="n"/>
      <c r="D205" s="3" t="n"/>
      <c r="E205" s="3" t="n"/>
      <c r="F205" s="10" t="n"/>
      <c r="G205" s="4" t="n"/>
      <c r="H205" s="5">
        <f>IF(B205="","",SUMIFS($G$4:$G$300,$C$4:$C$300,B205))</f>
        <v/>
      </c>
      <c r="I205" s="5">
        <f>IF(OR(B205="",A205="PAGO"),"",G205-H205)</f>
        <v/>
      </c>
      <c r="J205">
        <f>IF(B205="","",IF(AND(A205&lt;&gt;"PAGO",H205&gt;G205),"Excede el documento (los posteriores suman más)",IF(AND(A205&lt;&gt;"CDP",C205=""),"Falta el documento previo","OK")))</f>
        <v/>
      </c>
    </row>
    <row r="206">
      <c r="A206" s="3" t="n"/>
      <c r="B206" s="3" t="n"/>
      <c r="C206" s="3" t="n"/>
      <c r="D206" s="3" t="n"/>
      <c r="E206" s="3" t="n"/>
      <c r="F206" s="10" t="n"/>
      <c r="G206" s="4" t="n"/>
      <c r="H206" s="5">
        <f>IF(B206="","",SUMIFS($G$4:$G$300,$C$4:$C$300,B206))</f>
        <v/>
      </c>
      <c r="I206" s="5">
        <f>IF(OR(B206="",A206="PAGO"),"",G206-H206)</f>
        <v/>
      </c>
      <c r="J206">
        <f>IF(B206="","",IF(AND(A206&lt;&gt;"PAGO",H206&gt;G206),"Excede el documento (los posteriores suman más)",IF(AND(A206&lt;&gt;"CDP",C206=""),"Falta el documento previo","OK")))</f>
        <v/>
      </c>
    </row>
    <row r="207">
      <c r="A207" s="3" t="n"/>
      <c r="B207" s="3" t="n"/>
      <c r="C207" s="3" t="n"/>
      <c r="D207" s="3" t="n"/>
      <c r="E207" s="3" t="n"/>
      <c r="F207" s="10" t="n"/>
      <c r="G207" s="4" t="n"/>
      <c r="H207" s="5">
        <f>IF(B207="","",SUMIFS($G$4:$G$300,$C$4:$C$300,B207))</f>
        <v/>
      </c>
      <c r="I207" s="5">
        <f>IF(OR(B207="",A207="PAGO"),"",G207-H207)</f>
        <v/>
      </c>
      <c r="J207">
        <f>IF(B207="","",IF(AND(A207&lt;&gt;"PAGO",H207&gt;G207),"Excede el documento (los posteriores suman más)",IF(AND(A207&lt;&gt;"CDP",C207=""),"Falta el documento previo","OK")))</f>
        <v/>
      </c>
    </row>
    <row r="208">
      <c r="A208" s="3" t="n"/>
      <c r="B208" s="3" t="n"/>
      <c r="C208" s="3" t="n"/>
      <c r="D208" s="3" t="n"/>
      <c r="E208" s="3" t="n"/>
      <c r="F208" s="10" t="n"/>
      <c r="G208" s="4" t="n"/>
      <c r="H208" s="5">
        <f>IF(B208="","",SUMIFS($G$4:$G$300,$C$4:$C$300,B208))</f>
        <v/>
      </c>
      <c r="I208" s="5">
        <f>IF(OR(B208="",A208="PAGO"),"",G208-H208)</f>
        <v/>
      </c>
      <c r="J208">
        <f>IF(B208="","",IF(AND(A208&lt;&gt;"PAGO",H208&gt;G208),"Excede el documento (los posteriores suman más)",IF(AND(A208&lt;&gt;"CDP",C208=""),"Falta el documento previo","OK")))</f>
        <v/>
      </c>
    </row>
    <row r="209">
      <c r="A209" s="3" t="n"/>
      <c r="B209" s="3" t="n"/>
      <c r="C209" s="3" t="n"/>
      <c r="D209" s="3" t="n"/>
      <c r="E209" s="3" t="n"/>
      <c r="F209" s="10" t="n"/>
      <c r="G209" s="4" t="n"/>
      <c r="H209" s="5">
        <f>IF(B209="","",SUMIFS($G$4:$G$300,$C$4:$C$300,B209))</f>
        <v/>
      </c>
      <c r="I209" s="5">
        <f>IF(OR(B209="",A209="PAGO"),"",G209-H209)</f>
        <v/>
      </c>
      <c r="J209">
        <f>IF(B209="","",IF(AND(A209&lt;&gt;"PAGO",H209&gt;G209),"Excede el documento (los posteriores suman más)",IF(AND(A209&lt;&gt;"CDP",C209=""),"Falta el documento previo","OK")))</f>
        <v/>
      </c>
    </row>
    <row r="210">
      <c r="A210" s="3" t="n"/>
      <c r="B210" s="3" t="n"/>
      <c r="C210" s="3" t="n"/>
      <c r="D210" s="3" t="n"/>
      <c r="E210" s="3" t="n"/>
      <c r="F210" s="10" t="n"/>
      <c r="G210" s="4" t="n"/>
      <c r="H210" s="5">
        <f>IF(B210="","",SUMIFS($G$4:$G$300,$C$4:$C$300,B210))</f>
        <v/>
      </c>
      <c r="I210" s="5">
        <f>IF(OR(B210="",A210="PAGO"),"",G210-H210)</f>
        <v/>
      </c>
      <c r="J210">
        <f>IF(B210="","",IF(AND(A210&lt;&gt;"PAGO",H210&gt;G210),"Excede el documento (los posteriores suman más)",IF(AND(A210&lt;&gt;"CDP",C210=""),"Falta el documento previo","OK")))</f>
        <v/>
      </c>
    </row>
    <row r="211">
      <c r="A211" s="3" t="n"/>
      <c r="B211" s="3" t="n"/>
      <c r="C211" s="3" t="n"/>
      <c r="D211" s="3" t="n"/>
      <c r="E211" s="3" t="n"/>
      <c r="F211" s="10" t="n"/>
      <c r="G211" s="4" t="n"/>
      <c r="H211" s="5">
        <f>IF(B211="","",SUMIFS($G$4:$G$300,$C$4:$C$300,B211))</f>
        <v/>
      </c>
      <c r="I211" s="5">
        <f>IF(OR(B211="",A211="PAGO"),"",G211-H211)</f>
        <v/>
      </c>
      <c r="J211">
        <f>IF(B211="","",IF(AND(A211&lt;&gt;"PAGO",H211&gt;G211),"Excede el documento (los posteriores suman más)",IF(AND(A211&lt;&gt;"CDP",C211=""),"Falta el documento previo","OK")))</f>
        <v/>
      </c>
    </row>
    <row r="212">
      <c r="A212" s="3" t="n"/>
      <c r="B212" s="3" t="n"/>
      <c r="C212" s="3" t="n"/>
      <c r="D212" s="3" t="n"/>
      <c r="E212" s="3" t="n"/>
      <c r="F212" s="10" t="n"/>
      <c r="G212" s="4" t="n"/>
      <c r="H212" s="5">
        <f>IF(B212="","",SUMIFS($G$4:$G$300,$C$4:$C$300,B212))</f>
        <v/>
      </c>
      <c r="I212" s="5">
        <f>IF(OR(B212="",A212="PAGO"),"",G212-H212)</f>
        <v/>
      </c>
      <c r="J212">
        <f>IF(B212="","",IF(AND(A212&lt;&gt;"PAGO",H212&gt;G212),"Excede el documento (los posteriores suman más)",IF(AND(A212&lt;&gt;"CDP",C212=""),"Falta el documento previo","OK")))</f>
        <v/>
      </c>
    </row>
    <row r="213">
      <c r="A213" s="3" t="n"/>
      <c r="B213" s="3" t="n"/>
      <c r="C213" s="3" t="n"/>
      <c r="D213" s="3" t="n"/>
      <c r="E213" s="3" t="n"/>
      <c r="F213" s="10" t="n"/>
      <c r="G213" s="4" t="n"/>
      <c r="H213" s="5">
        <f>IF(B213="","",SUMIFS($G$4:$G$300,$C$4:$C$300,B213))</f>
        <v/>
      </c>
      <c r="I213" s="5">
        <f>IF(OR(B213="",A213="PAGO"),"",G213-H213)</f>
        <v/>
      </c>
      <c r="J213">
        <f>IF(B213="","",IF(AND(A213&lt;&gt;"PAGO",H213&gt;G213),"Excede el documento (los posteriores suman más)",IF(AND(A213&lt;&gt;"CDP",C213=""),"Falta el documento previo","OK")))</f>
        <v/>
      </c>
    </row>
    <row r="214">
      <c r="A214" s="3" t="n"/>
      <c r="B214" s="3" t="n"/>
      <c r="C214" s="3" t="n"/>
      <c r="D214" s="3" t="n"/>
      <c r="E214" s="3" t="n"/>
      <c r="F214" s="10" t="n"/>
      <c r="G214" s="4" t="n"/>
      <c r="H214" s="5">
        <f>IF(B214="","",SUMIFS($G$4:$G$300,$C$4:$C$300,B214))</f>
        <v/>
      </c>
      <c r="I214" s="5">
        <f>IF(OR(B214="",A214="PAGO"),"",G214-H214)</f>
        <v/>
      </c>
      <c r="J214">
        <f>IF(B214="","",IF(AND(A214&lt;&gt;"PAGO",H214&gt;G214),"Excede el documento (los posteriores suman más)",IF(AND(A214&lt;&gt;"CDP",C214=""),"Falta el documento previo","OK")))</f>
        <v/>
      </c>
    </row>
    <row r="215">
      <c r="A215" s="3" t="n"/>
      <c r="B215" s="3" t="n"/>
      <c r="C215" s="3" t="n"/>
      <c r="D215" s="3" t="n"/>
      <c r="E215" s="3" t="n"/>
      <c r="F215" s="10" t="n"/>
      <c r="G215" s="4" t="n"/>
      <c r="H215" s="5">
        <f>IF(B215="","",SUMIFS($G$4:$G$300,$C$4:$C$300,B215))</f>
        <v/>
      </c>
      <c r="I215" s="5">
        <f>IF(OR(B215="",A215="PAGO"),"",G215-H215)</f>
        <v/>
      </c>
      <c r="J215">
        <f>IF(B215="","",IF(AND(A215&lt;&gt;"PAGO",H215&gt;G215),"Excede el documento (los posteriores suman más)",IF(AND(A215&lt;&gt;"CDP",C215=""),"Falta el documento previo","OK")))</f>
        <v/>
      </c>
    </row>
    <row r="216">
      <c r="A216" s="3" t="n"/>
      <c r="B216" s="3" t="n"/>
      <c r="C216" s="3" t="n"/>
      <c r="D216" s="3" t="n"/>
      <c r="E216" s="3" t="n"/>
      <c r="F216" s="10" t="n"/>
      <c r="G216" s="4" t="n"/>
      <c r="H216" s="5">
        <f>IF(B216="","",SUMIFS($G$4:$G$300,$C$4:$C$300,B216))</f>
        <v/>
      </c>
      <c r="I216" s="5">
        <f>IF(OR(B216="",A216="PAGO"),"",G216-H216)</f>
        <v/>
      </c>
      <c r="J216">
        <f>IF(B216="","",IF(AND(A216&lt;&gt;"PAGO",H216&gt;G216),"Excede el documento (los posteriores suman más)",IF(AND(A216&lt;&gt;"CDP",C216=""),"Falta el documento previo","OK")))</f>
        <v/>
      </c>
    </row>
    <row r="217">
      <c r="A217" s="3" t="n"/>
      <c r="B217" s="3" t="n"/>
      <c r="C217" s="3" t="n"/>
      <c r="D217" s="3" t="n"/>
      <c r="E217" s="3" t="n"/>
      <c r="F217" s="10" t="n"/>
      <c r="G217" s="4" t="n"/>
      <c r="H217" s="5">
        <f>IF(B217="","",SUMIFS($G$4:$G$300,$C$4:$C$300,B217))</f>
        <v/>
      </c>
      <c r="I217" s="5">
        <f>IF(OR(B217="",A217="PAGO"),"",G217-H217)</f>
        <v/>
      </c>
      <c r="J217">
        <f>IF(B217="","",IF(AND(A217&lt;&gt;"PAGO",H217&gt;G217),"Excede el documento (los posteriores suman más)",IF(AND(A217&lt;&gt;"CDP",C217=""),"Falta el documento previo","OK")))</f>
        <v/>
      </c>
    </row>
    <row r="218">
      <c r="A218" s="3" t="n"/>
      <c r="B218" s="3" t="n"/>
      <c r="C218" s="3" t="n"/>
      <c r="D218" s="3" t="n"/>
      <c r="E218" s="3" t="n"/>
      <c r="F218" s="10" t="n"/>
      <c r="G218" s="4" t="n"/>
      <c r="H218" s="5">
        <f>IF(B218="","",SUMIFS($G$4:$G$300,$C$4:$C$300,B218))</f>
        <v/>
      </c>
      <c r="I218" s="5">
        <f>IF(OR(B218="",A218="PAGO"),"",G218-H218)</f>
        <v/>
      </c>
      <c r="J218">
        <f>IF(B218="","",IF(AND(A218&lt;&gt;"PAGO",H218&gt;G218),"Excede el documento (los posteriores suman más)",IF(AND(A218&lt;&gt;"CDP",C218=""),"Falta el documento previo","OK")))</f>
        <v/>
      </c>
    </row>
    <row r="219">
      <c r="A219" s="3" t="n"/>
      <c r="B219" s="3" t="n"/>
      <c r="C219" s="3" t="n"/>
      <c r="D219" s="3" t="n"/>
      <c r="E219" s="3" t="n"/>
      <c r="F219" s="10" t="n"/>
      <c r="G219" s="4" t="n"/>
      <c r="H219" s="5">
        <f>IF(B219="","",SUMIFS($G$4:$G$300,$C$4:$C$300,B219))</f>
        <v/>
      </c>
      <c r="I219" s="5">
        <f>IF(OR(B219="",A219="PAGO"),"",G219-H219)</f>
        <v/>
      </c>
      <c r="J219">
        <f>IF(B219="","",IF(AND(A219&lt;&gt;"PAGO",H219&gt;G219),"Excede el documento (los posteriores suman más)",IF(AND(A219&lt;&gt;"CDP",C219=""),"Falta el documento previo","OK")))</f>
        <v/>
      </c>
    </row>
    <row r="220">
      <c r="A220" s="3" t="n"/>
      <c r="B220" s="3" t="n"/>
      <c r="C220" s="3" t="n"/>
      <c r="D220" s="3" t="n"/>
      <c r="E220" s="3" t="n"/>
      <c r="F220" s="10" t="n"/>
      <c r="G220" s="4" t="n"/>
      <c r="H220" s="5">
        <f>IF(B220="","",SUMIFS($G$4:$G$300,$C$4:$C$300,B220))</f>
        <v/>
      </c>
      <c r="I220" s="5">
        <f>IF(OR(B220="",A220="PAGO"),"",G220-H220)</f>
        <v/>
      </c>
      <c r="J220">
        <f>IF(B220="","",IF(AND(A220&lt;&gt;"PAGO",H220&gt;G220),"Excede el documento (los posteriores suman más)",IF(AND(A220&lt;&gt;"CDP",C220=""),"Falta el documento previo","OK")))</f>
        <v/>
      </c>
    </row>
    <row r="221">
      <c r="A221" s="3" t="n"/>
      <c r="B221" s="3" t="n"/>
      <c r="C221" s="3" t="n"/>
      <c r="D221" s="3" t="n"/>
      <c r="E221" s="3" t="n"/>
      <c r="F221" s="10" t="n"/>
      <c r="G221" s="4" t="n"/>
      <c r="H221" s="5">
        <f>IF(B221="","",SUMIFS($G$4:$G$300,$C$4:$C$300,B221))</f>
        <v/>
      </c>
      <c r="I221" s="5">
        <f>IF(OR(B221="",A221="PAGO"),"",G221-H221)</f>
        <v/>
      </c>
      <c r="J221">
        <f>IF(B221="","",IF(AND(A221&lt;&gt;"PAGO",H221&gt;G221),"Excede el documento (los posteriores suman más)",IF(AND(A221&lt;&gt;"CDP",C221=""),"Falta el documento previo","OK")))</f>
        <v/>
      </c>
    </row>
    <row r="222">
      <c r="A222" s="3" t="n"/>
      <c r="B222" s="3" t="n"/>
      <c r="C222" s="3" t="n"/>
      <c r="D222" s="3" t="n"/>
      <c r="E222" s="3" t="n"/>
      <c r="F222" s="10" t="n"/>
      <c r="G222" s="4" t="n"/>
      <c r="H222" s="5">
        <f>IF(B222="","",SUMIFS($G$4:$G$300,$C$4:$C$300,B222))</f>
        <v/>
      </c>
      <c r="I222" s="5">
        <f>IF(OR(B222="",A222="PAGO"),"",G222-H222)</f>
        <v/>
      </c>
      <c r="J222">
        <f>IF(B222="","",IF(AND(A222&lt;&gt;"PAGO",H222&gt;G222),"Excede el documento (los posteriores suman más)",IF(AND(A222&lt;&gt;"CDP",C222=""),"Falta el documento previo","OK")))</f>
        <v/>
      </c>
    </row>
    <row r="223">
      <c r="A223" s="3" t="n"/>
      <c r="B223" s="3" t="n"/>
      <c r="C223" s="3" t="n"/>
      <c r="D223" s="3" t="n"/>
      <c r="E223" s="3" t="n"/>
      <c r="F223" s="10" t="n"/>
      <c r="G223" s="4" t="n"/>
      <c r="H223" s="5">
        <f>IF(B223="","",SUMIFS($G$4:$G$300,$C$4:$C$300,B223))</f>
        <v/>
      </c>
      <c r="I223" s="5">
        <f>IF(OR(B223="",A223="PAGO"),"",G223-H223)</f>
        <v/>
      </c>
      <c r="J223">
        <f>IF(B223="","",IF(AND(A223&lt;&gt;"PAGO",H223&gt;G223),"Excede el documento (los posteriores suman más)",IF(AND(A223&lt;&gt;"CDP",C223=""),"Falta el documento previo","OK")))</f>
        <v/>
      </c>
    </row>
    <row r="224">
      <c r="A224" s="3" t="n"/>
      <c r="B224" s="3" t="n"/>
      <c r="C224" s="3" t="n"/>
      <c r="D224" s="3" t="n"/>
      <c r="E224" s="3" t="n"/>
      <c r="F224" s="10" t="n"/>
      <c r="G224" s="4" t="n"/>
      <c r="H224" s="5">
        <f>IF(B224="","",SUMIFS($G$4:$G$300,$C$4:$C$300,B224))</f>
        <v/>
      </c>
      <c r="I224" s="5">
        <f>IF(OR(B224="",A224="PAGO"),"",G224-H224)</f>
        <v/>
      </c>
      <c r="J224">
        <f>IF(B224="","",IF(AND(A224&lt;&gt;"PAGO",H224&gt;G224),"Excede el documento (los posteriores suman más)",IF(AND(A224&lt;&gt;"CDP",C224=""),"Falta el documento previo","OK")))</f>
        <v/>
      </c>
    </row>
    <row r="225">
      <c r="A225" s="3" t="n"/>
      <c r="B225" s="3" t="n"/>
      <c r="C225" s="3" t="n"/>
      <c r="D225" s="3" t="n"/>
      <c r="E225" s="3" t="n"/>
      <c r="F225" s="10" t="n"/>
      <c r="G225" s="4" t="n"/>
      <c r="H225" s="5">
        <f>IF(B225="","",SUMIFS($G$4:$G$300,$C$4:$C$300,B225))</f>
        <v/>
      </c>
      <c r="I225" s="5">
        <f>IF(OR(B225="",A225="PAGO"),"",G225-H225)</f>
        <v/>
      </c>
      <c r="J225">
        <f>IF(B225="","",IF(AND(A225&lt;&gt;"PAGO",H225&gt;G225),"Excede el documento (los posteriores suman más)",IF(AND(A225&lt;&gt;"CDP",C225=""),"Falta el documento previo","OK")))</f>
        <v/>
      </c>
    </row>
    <row r="226">
      <c r="A226" s="3" t="n"/>
      <c r="B226" s="3" t="n"/>
      <c r="C226" s="3" t="n"/>
      <c r="D226" s="3" t="n"/>
      <c r="E226" s="3" t="n"/>
      <c r="F226" s="10" t="n"/>
      <c r="G226" s="4" t="n"/>
      <c r="H226" s="5">
        <f>IF(B226="","",SUMIFS($G$4:$G$300,$C$4:$C$300,B226))</f>
        <v/>
      </c>
      <c r="I226" s="5">
        <f>IF(OR(B226="",A226="PAGO"),"",G226-H226)</f>
        <v/>
      </c>
      <c r="J226">
        <f>IF(B226="","",IF(AND(A226&lt;&gt;"PAGO",H226&gt;G226),"Excede el documento (los posteriores suman más)",IF(AND(A226&lt;&gt;"CDP",C226=""),"Falta el documento previo","OK")))</f>
        <v/>
      </c>
    </row>
    <row r="227">
      <c r="A227" s="3" t="n"/>
      <c r="B227" s="3" t="n"/>
      <c r="C227" s="3" t="n"/>
      <c r="D227" s="3" t="n"/>
      <c r="E227" s="3" t="n"/>
      <c r="F227" s="10" t="n"/>
      <c r="G227" s="4" t="n"/>
      <c r="H227" s="5">
        <f>IF(B227="","",SUMIFS($G$4:$G$300,$C$4:$C$300,B227))</f>
        <v/>
      </c>
      <c r="I227" s="5">
        <f>IF(OR(B227="",A227="PAGO"),"",G227-H227)</f>
        <v/>
      </c>
      <c r="J227">
        <f>IF(B227="","",IF(AND(A227&lt;&gt;"PAGO",H227&gt;G227),"Excede el documento (los posteriores suman más)",IF(AND(A227&lt;&gt;"CDP",C227=""),"Falta el documento previo","OK")))</f>
        <v/>
      </c>
    </row>
    <row r="228">
      <c r="A228" s="3" t="n"/>
      <c r="B228" s="3" t="n"/>
      <c r="C228" s="3" t="n"/>
      <c r="D228" s="3" t="n"/>
      <c r="E228" s="3" t="n"/>
      <c r="F228" s="10" t="n"/>
      <c r="G228" s="4" t="n"/>
      <c r="H228" s="5">
        <f>IF(B228="","",SUMIFS($G$4:$G$300,$C$4:$C$300,B228))</f>
        <v/>
      </c>
      <c r="I228" s="5">
        <f>IF(OR(B228="",A228="PAGO"),"",G228-H228)</f>
        <v/>
      </c>
      <c r="J228">
        <f>IF(B228="","",IF(AND(A228&lt;&gt;"PAGO",H228&gt;G228),"Excede el documento (los posteriores suman más)",IF(AND(A228&lt;&gt;"CDP",C228=""),"Falta el documento previo","OK")))</f>
        <v/>
      </c>
    </row>
    <row r="229">
      <c r="A229" s="3" t="n"/>
      <c r="B229" s="3" t="n"/>
      <c r="C229" s="3" t="n"/>
      <c r="D229" s="3" t="n"/>
      <c r="E229" s="3" t="n"/>
      <c r="F229" s="10" t="n"/>
      <c r="G229" s="4" t="n"/>
      <c r="H229" s="5">
        <f>IF(B229="","",SUMIFS($G$4:$G$300,$C$4:$C$300,B229))</f>
        <v/>
      </c>
      <c r="I229" s="5">
        <f>IF(OR(B229="",A229="PAGO"),"",G229-H229)</f>
        <v/>
      </c>
      <c r="J229">
        <f>IF(B229="","",IF(AND(A229&lt;&gt;"PAGO",H229&gt;G229),"Excede el documento (los posteriores suman más)",IF(AND(A229&lt;&gt;"CDP",C229=""),"Falta el documento previo","OK")))</f>
        <v/>
      </c>
    </row>
    <row r="230">
      <c r="A230" s="3" t="n"/>
      <c r="B230" s="3" t="n"/>
      <c r="C230" s="3" t="n"/>
      <c r="D230" s="3" t="n"/>
      <c r="E230" s="3" t="n"/>
      <c r="F230" s="10" t="n"/>
      <c r="G230" s="4" t="n"/>
      <c r="H230" s="5">
        <f>IF(B230="","",SUMIFS($G$4:$G$300,$C$4:$C$300,B230))</f>
        <v/>
      </c>
      <c r="I230" s="5">
        <f>IF(OR(B230="",A230="PAGO"),"",G230-H230)</f>
        <v/>
      </c>
      <c r="J230">
        <f>IF(B230="","",IF(AND(A230&lt;&gt;"PAGO",H230&gt;G230),"Excede el documento (los posteriores suman más)",IF(AND(A230&lt;&gt;"CDP",C230=""),"Falta el documento previo","OK")))</f>
        <v/>
      </c>
    </row>
    <row r="231">
      <c r="A231" s="3" t="n"/>
      <c r="B231" s="3" t="n"/>
      <c r="C231" s="3" t="n"/>
      <c r="D231" s="3" t="n"/>
      <c r="E231" s="3" t="n"/>
      <c r="F231" s="10" t="n"/>
      <c r="G231" s="4" t="n"/>
      <c r="H231" s="5">
        <f>IF(B231="","",SUMIFS($G$4:$G$300,$C$4:$C$300,B231))</f>
        <v/>
      </c>
      <c r="I231" s="5">
        <f>IF(OR(B231="",A231="PAGO"),"",G231-H231)</f>
        <v/>
      </c>
      <c r="J231">
        <f>IF(B231="","",IF(AND(A231&lt;&gt;"PAGO",H231&gt;G231),"Excede el documento (los posteriores suman más)",IF(AND(A231&lt;&gt;"CDP",C231=""),"Falta el documento previo","OK")))</f>
        <v/>
      </c>
    </row>
    <row r="232">
      <c r="A232" s="3" t="n"/>
      <c r="B232" s="3" t="n"/>
      <c r="C232" s="3" t="n"/>
      <c r="D232" s="3" t="n"/>
      <c r="E232" s="3" t="n"/>
      <c r="F232" s="10" t="n"/>
      <c r="G232" s="4" t="n"/>
      <c r="H232" s="5">
        <f>IF(B232="","",SUMIFS($G$4:$G$300,$C$4:$C$300,B232))</f>
        <v/>
      </c>
      <c r="I232" s="5">
        <f>IF(OR(B232="",A232="PAGO"),"",G232-H232)</f>
        <v/>
      </c>
      <c r="J232">
        <f>IF(B232="","",IF(AND(A232&lt;&gt;"PAGO",H232&gt;G232),"Excede el documento (los posteriores suman más)",IF(AND(A232&lt;&gt;"CDP",C232=""),"Falta el documento previo","OK")))</f>
        <v/>
      </c>
    </row>
    <row r="233">
      <c r="A233" s="3" t="n"/>
      <c r="B233" s="3" t="n"/>
      <c r="C233" s="3" t="n"/>
      <c r="D233" s="3" t="n"/>
      <c r="E233" s="3" t="n"/>
      <c r="F233" s="10" t="n"/>
      <c r="G233" s="4" t="n"/>
      <c r="H233" s="5">
        <f>IF(B233="","",SUMIFS($G$4:$G$300,$C$4:$C$300,B233))</f>
        <v/>
      </c>
      <c r="I233" s="5">
        <f>IF(OR(B233="",A233="PAGO"),"",G233-H233)</f>
        <v/>
      </c>
      <c r="J233">
        <f>IF(B233="","",IF(AND(A233&lt;&gt;"PAGO",H233&gt;G233),"Excede el documento (los posteriores suman más)",IF(AND(A233&lt;&gt;"CDP",C233=""),"Falta el documento previo","OK")))</f>
        <v/>
      </c>
    </row>
    <row r="234">
      <c r="A234" s="3" t="n"/>
      <c r="B234" s="3" t="n"/>
      <c r="C234" s="3" t="n"/>
      <c r="D234" s="3" t="n"/>
      <c r="E234" s="3" t="n"/>
      <c r="F234" s="10" t="n"/>
      <c r="G234" s="4" t="n"/>
      <c r="H234" s="5">
        <f>IF(B234="","",SUMIFS($G$4:$G$300,$C$4:$C$300,B234))</f>
        <v/>
      </c>
      <c r="I234" s="5">
        <f>IF(OR(B234="",A234="PAGO"),"",G234-H234)</f>
        <v/>
      </c>
      <c r="J234">
        <f>IF(B234="","",IF(AND(A234&lt;&gt;"PAGO",H234&gt;G234),"Excede el documento (los posteriores suman más)",IF(AND(A234&lt;&gt;"CDP",C234=""),"Falta el documento previo","OK")))</f>
        <v/>
      </c>
    </row>
    <row r="235">
      <c r="A235" s="3" t="n"/>
      <c r="B235" s="3" t="n"/>
      <c r="C235" s="3" t="n"/>
      <c r="D235" s="3" t="n"/>
      <c r="E235" s="3" t="n"/>
      <c r="F235" s="10" t="n"/>
      <c r="G235" s="4" t="n"/>
      <c r="H235" s="5">
        <f>IF(B235="","",SUMIFS($G$4:$G$300,$C$4:$C$300,B235))</f>
        <v/>
      </c>
      <c r="I235" s="5">
        <f>IF(OR(B235="",A235="PAGO"),"",G235-H235)</f>
        <v/>
      </c>
      <c r="J235">
        <f>IF(B235="","",IF(AND(A235&lt;&gt;"PAGO",H235&gt;G235),"Excede el documento (los posteriores suman más)",IF(AND(A235&lt;&gt;"CDP",C235=""),"Falta el documento previo","OK")))</f>
        <v/>
      </c>
    </row>
    <row r="236">
      <c r="A236" s="3" t="n"/>
      <c r="B236" s="3" t="n"/>
      <c r="C236" s="3" t="n"/>
      <c r="D236" s="3" t="n"/>
      <c r="E236" s="3" t="n"/>
      <c r="F236" s="10" t="n"/>
      <c r="G236" s="4" t="n"/>
      <c r="H236" s="5">
        <f>IF(B236="","",SUMIFS($G$4:$G$300,$C$4:$C$300,B236))</f>
        <v/>
      </c>
      <c r="I236" s="5">
        <f>IF(OR(B236="",A236="PAGO"),"",G236-H236)</f>
        <v/>
      </c>
      <c r="J236">
        <f>IF(B236="","",IF(AND(A236&lt;&gt;"PAGO",H236&gt;G236),"Excede el documento (los posteriores suman más)",IF(AND(A236&lt;&gt;"CDP",C236=""),"Falta el documento previo","OK")))</f>
        <v/>
      </c>
    </row>
    <row r="237">
      <c r="A237" s="3" t="n"/>
      <c r="B237" s="3" t="n"/>
      <c r="C237" s="3" t="n"/>
      <c r="D237" s="3" t="n"/>
      <c r="E237" s="3" t="n"/>
      <c r="F237" s="10" t="n"/>
      <c r="G237" s="4" t="n"/>
      <c r="H237" s="5">
        <f>IF(B237="","",SUMIFS($G$4:$G$300,$C$4:$C$300,B237))</f>
        <v/>
      </c>
      <c r="I237" s="5">
        <f>IF(OR(B237="",A237="PAGO"),"",G237-H237)</f>
        <v/>
      </c>
      <c r="J237">
        <f>IF(B237="","",IF(AND(A237&lt;&gt;"PAGO",H237&gt;G237),"Excede el documento (los posteriores suman más)",IF(AND(A237&lt;&gt;"CDP",C237=""),"Falta el documento previo","OK")))</f>
        <v/>
      </c>
    </row>
    <row r="238">
      <c r="A238" s="3" t="n"/>
      <c r="B238" s="3" t="n"/>
      <c r="C238" s="3" t="n"/>
      <c r="D238" s="3" t="n"/>
      <c r="E238" s="3" t="n"/>
      <c r="F238" s="10" t="n"/>
      <c r="G238" s="4" t="n"/>
      <c r="H238" s="5">
        <f>IF(B238="","",SUMIFS($G$4:$G$300,$C$4:$C$300,B238))</f>
        <v/>
      </c>
      <c r="I238" s="5">
        <f>IF(OR(B238="",A238="PAGO"),"",G238-H238)</f>
        <v/>
      </c>
      <c r="J238">
        <f>IF(B238="","",IF(AND(A238&lt;&gt;"PAGO",H238&gt;G238),"Excede el documento (los posteriores suman más)",IF(AND(A238&lt;&gt;"CDP",C238=""),"Falta el documento previo","OK")))</f>
        <v/>
      </c>
    </row>
    <row r="239">
      <c r="A239" s="3" t="n"/>
      <c r="B239" s="3" t="n"/>
      <c r="C239" s="3" t="n"/>
      <c r="D239" s="3" t="n"/>
      <c r="E239" s="3" t="n"/>
      <c r="F239" s="10" t="n"/>
      <c r="G239" s="4" t="n"/>
      <c r="H239" s="5">
        <f>IF(B239="","",SUMIFS($G$4:$G$300,$C$4:$C$300,B239))</f>
        <v/>
      </c>
      <c r="I239" s="5">
        <f>IF(OR(B239="",A239="PAGO"),"",G239-H239)</f>
        <v/>
      </c>
      <c r="J239">
        <f>IF(B239="","",IF(AND(A239&lt;&gt;"PAGO",H239&gt;G239),"Excede el documento (los posteriores suman más)",IF(AND(A239&lt;&gt;"CDP",C239=""),"Falta el documento previo","OK")))</f>
        <v/>
      </c>
    </row>
    <row r="240">
      <c r="A240" s="3" t="n"/>
      <c r="B240" s="3" t="n"/>
      <c r="C240" s="3" t="n"/>
      <c r="D240" s="3" t="n"/>
      <c r="E240" s="3" t="n"/>
      <c r="F240" s="10" t="n"/>
      <c r="G240" s="4" t="n"/>
      <c r="H240" s="5">
        <f>IF(B240="","",SUMIFS($G$4:$G$300,$C$4:$C$300,B240))</f>
        <v/>
      </c>
      <c r="I240" s="5">
        <f>IF(OR(B240="",A240="PAGO"),"",G240-H240)</f>
        <v/>
      </c>
      <c r="J240">
        <f>IF(B240="","",IF(AND(A240&lt;&gt;"PAGO",H240&gt;G240),"Excede el documento (los posteriores suman más)",IF(AND(A240&lt;&gt;"CDP",C240=""),"Falta el documento previo","OK")))</f>
        <v/>
      </c>
    </row>
    <row r="241">
      <c r="A241" s="3" t="n"/>
      <c r="B241" s="3" t="n"/>
      <c r="C241" s="3" t="n"/>
      <c r="D241" s="3" t="n"/>
      <c r="E241" s="3" t="n"/>
      <c r="F241" s="10" t="n"/>
      <c r="G241" s="4" t="n"/>
      <c r="H241" s="5">
        <f>IF(B241="","",SUMIFS($G$4:$G$300,$C$4:$C$300,B241))</f>
        <v/>
      </c>
      <c r="I241" s="5">
        <f>IF(OR(B241="",A241="PAGO"),"",G241-H241)</f>
        <v/>
      </c>
      <c r="J241">
        <f>IF(B241="","",IF(AND(A241&lt;&gt;"PAGO",H241&gt;G241),"Excede el documento (los posteriores suman más)",IF(AND(A241&lt;&gt;"CDP",C241=""),"Falta el documento previo","OK")))</f>
        <v/>
      </c>
    </row>
    <row r="242">
      <c r="A242" s="3" t="n"/>
      <c r="B242" s="3" t="n"/>
      <c r="C242" s="3" t="n"/>
      <c r="D242" s="3" t="n"/>
      <c r="E242" s="3" t="n"/>
      <c r="F242" s="10" t="n"/>
      <c r="G242" s="4" t="n"/>
      <c r="H242" s="5">
        <f>IF(B242="","",SUMIFS($G$4:$G$300,$C$4:$C$300,B242))</f>
        <v/>
      </c>
      <c r="I242" s="5">
        <f>IF(OR(B242="",A242="PAGO"),"",G242-H242)</f>
        <v/>
      </c>
      <c r="J242">
        <f>IF(B242="","",IF(AND(A242&lt;&gt;"PAGO",H242&gt;G242),"Excede el documento (los posteriores suman más)",IF(AND(A242&lt;&gt;"CDP",C242=""),"Falta el documento previo","OK")))</f>
        <v/>
      </c>
    </row>
    <row r="243">
      <c r="A243" s="3" t="n"/>
      <c r="B243" s="3" t="n"/>
      <c r="C243" s="3" t="n"/>
      <c r="D243" s="3" t="n"/>
      <c r="E243" s="3" t="n"/>
      <c r="F243" s="10" t="n"/>
      <c r="G243" s="4" t="n"/>
      <c r="H243" s="5">
        <f>IF(B243="","",SUMIFS($G$4:$G$300,$C$4:$C$300,B243))</f>
        <v/>
      </c>
      <c r="I243" s="5">
        <f>IF(OR(B243="",A243="PAGO"),"",G243-H243)</f>
        <v/>
      </c>
      <c r="J243">
        <f>IF(B243="","",IF(AND(A243&lt;&gt;"PAGO",H243&gt;G243),"Excede el documento (los posteriores suman más)",IF(AND(A243&lt;&gt;"CDP",C243=""),"Falta el documento previo","OK")))</f>
        <v/>
      </c>
    </row>
    <row r="244">
      <c r="A244" s="3" t="n"/>
      <c r="B244" s="3" t="n"/>
      <c r="C244" s="3" t="n"/>
      <c r="D244" s="3" t="n"/>
      <c r="E244" s="3" t="n"/>
      <c r="F244" s="10" t="n"/>
      <c r="G244" s="4" t="n"/>
      <c r="H244" s="5">
        <f>IF(B244="","",SUMIFS($G$4:$G$300,$C$4:$C$300,B244))</f>
        <v/>
      </c>
      <c r="I244" s="5">
        <f>IF(OR(B244="",A244="PAGO"),"",G244-H244)</f>
        <v/>
      </c>
      <c r="J244">
        <f>IF(B244="","",IF(AND(A244&lt;&gt;"PAGO",H244&gt;G244),"Excede el documento (los posteriores suman más)",IF(AND(A244&lt;&gt;"CDP",C244=""),"Falta el documento previo","OK")))</f>
        <v/>
      </c>
    </row>
    <row r="245">
      <c r="A245" s="3" t="n"/>
      <c r="B245" s="3" t="n"/>
      <c r="C245" s="3" t="n"/>
      <c r="D245" s="3" t="n"/>
      <c r="E245" s="3" t="n"/>
      <c r="F245" s="10" t="n"/>
      <c r="G245" s="4" t="n"/>
      <c r="H245" s="5">
        <f>IF(B245="","",SUMIFS($G$4:$G$300,$C$4:$C$300,B245))</f>
        <v/>
      </c>
      <c r="I245" s="5">
        <f>IF(OR(B245="",A245="PAGO"),"",G245-H245)</f>
        <v/>
      </c>
      <c r="J245">
        <f>IF(B245="","",IF(AND(A245&lt;&gt;"PAGO",H245&gt;G245),"Excede el documento (los posteriores suman más)",IF(AND(A245&lt;&gt;"CDP",C245=""),"Falta el documento previo","OK")))</f>
        <v/>
      </c>
    </row>
    <row r="246">
      <c r="A246" s="3" t="n"/>
      <c r="B246" s="3" t="n"/>
      <c r="C246" s="3" t="n"/>
      <c r="D246" s="3" t="n"/>
      <c r="E246" s="3" t="n"/>
      <c r="F246" s="10" t="n"/>
      <c r="G246" s="4" t="n"/>
      <c r="H246" s="5">
        <f>IF(B246="","",SUMIFS($G$4:$G$300,$C$4:$C$300,B246))</f>
        <v/>
      </c>
      <c r="I246" s="5">
        <f>IF(OR(B246="",A246="PAGO"),"",G246-H246)</f>
        <v/>
      </c>
      <c r="J246">
        <f>IF(B246="","",IF(AND(A246&lt;&gt;"PAGO",H246&gt;G246),"Excede el documento (los posteriores suman más)",IF(AND(A246&lt;&gt;"CDP",C246=""),"Falta el documento previo","OK")))</f>
        <v/>
      </c>
    </row>
    <row r="247">
      <c r="A247" s="3" t="n"/>
      <c r="B247" s="3" t="n"/>
      <c r="C247" s="3" t="n"/>
      <c r="D247" s="3" t="n"/>
      <c r="E247" s="3" t="n"/>
      <c r="F247" s="10" t="n"/>
      <c r="G247" s="4" t="n"/>
      <c r="H247" s="5">
        <f>IF(B247="","",SUMIFS($G$4:$G$300,$C$4:$C$300,B247))</f>
        <v/>
      </c>
      <c r="I247" s="5">
        <f>IF(OR(B247="",A247="PAGO"),"",G247-H247)</f>
        <v/>
      </c>
      <c r="J247">
        <f>IF(B247="","",IF(AND(A247&lt;&gt;"PAGO",H247&gt;G247),"Excede el documento (los posteriores suman más)",IF(AND(A247&lt;&gt;"CDP",C247=""),"Falta el documento previo","OK")))</f>
        <v/>
      </c>
    </row>
    <row r="248">
      <c r="A248" s="3" t="n"/>
      <c r="B248" s="3" t="n"/>
      <c r="C248" s="3" t="n"/>
      <c r="D248" s="3" t="n"/>
      <c r="E248" s="3" t="n"/>
      <c r="F248" s="10" t="n"/>
      <c r="G248" s="4" t="n"/>
      <c r="H248" s="5">
        <f>IF(B248="","",SUMIFS($G$4:$G$300,$C$4:$C$300,B248))</f>
        <v/>
      </c>
      <c r="I248" s="5">
        <f>IF(OR(B248="",A248="PAGO"),"",G248-H248)</f>
        <v/>
      </c>
      <c r="J248">
        <f>IF(B248="","",IF(AND(A248&lt;&gt;"PAGO",H248&gt;G248),"Excede el documento (los posteriores suman más)",IF(AND(A248&lt;&gt;"CDP",C248=""),"Falta el documento previo","OK")))</f>
        <v/>
      </c>
    </row>
    <row r="249">
      <c r="A249" s="3" t="n"/>
      <c r="B249" s="3" t="n"/>
      <c r="C249" s="3" t="n"/>
      <c r="D249" s="3" t="n"/>
      <c r="E249" s="3" t="n"/>
      <c r="F249" s="10" t="n"/>
      <c r="G249" s="4" t="n"/>
      <c r="H249" s="5">
        <f>IF(B249="","",SUMIFS($G$4:$G$300,$C$4:$C$300,B249))</f>
        <v/>
      </c>
      <c r="I249" s="5">
        <f>IF(OR(B249="",A249="PAGO"),"",G249-H249)</f>
        <v/>
      </c>
      <c r="J249">
        <f>IF(B249="","",IF(AND(A249&lt;&gt;"PAGO",H249&gt;G249),"Excede el documento (los posteriores suman más)",IF(AND(A249&lt;&gt;"CDP",C249=""),"Falta el documento previo","OK")))</f>
        <v/>
      </c>
    </row>
    <row r="250">
      <c r="A250" s="3" t="n"/>
      <c r="B250" s="3" t="n"/>
      <c r="C250" s="3" t="n"/>
      <c r="D250" s="3" t="n"/>
      <c r="E250" s="3" t="n"/>
      <c r="F250" s="10" t="n"/>
      <c r="G250" s="4" t="n"/>
      <c r="H250" s="5">
        <f>IF(B250="","",SUMIFS($G$4:$G$300,$C$4:$C$300,B250))</f>
        <v/>
      </c>
      <c r="I250" s="5">
        <f>IF(OR(B250="",A250="PAGO"),"",G250-H250)</f>
        <v/>
      </c>
      <c r="J250">
        <f>IF(B250="","",IF(AND(A250&lt;&gt;"PAGO",H250&gt;G250),"Excede el documento (los posteriores suman más)",IF(AND(A250&lt;&gt;"CDP",C250=""),"Falta el documento previo","OK")))</f>
        <v/>
      </c>
    </row>
    <row r="251">
      <c r="A251" s="3" t="n"/>
      <c r="B251" s="3" t="n"/>
      <c r="C251" s="3" t="n"/>
      <c r="D251" s="3" t="n"/>
      <c r="E251" s="3" t="n"/>
      <c r="F251" s="10" t="n"/>
      <c r="G251" s="4" t="n"/>
      <c r="H251" s="5">
        <f>IF(B251="","",SUMIFS($G$4:$G$300,$C$4:$C$300,B251))</f>
        <v/>
      </c>
      <c r="I251" s="5">
        <f>IF(OR(B251="",A251="PAGO"),"",G251-H251)</f>
        <v/>
      </c>
      <c r="J251">
        <f>IF(B251="","",IF(AND(A251&lt;&gt;"PAGO",H251&gt;G251),"Excede el documento (los posteriores suman más)",IF(AND(A251&lt;&gt;"CDP",C251=""),"Falta el documento previo","OK")))</f>
        <v/>
      </c>
    </row>
    <row r="252">
      <c r="A252" s="3" t="n"/>
      <c r="B252" s="3" t="n"/>
      <c r="C252" s="3" t="n"/>
      <c r="D252" s="3" t="n"/>
      <c r="E252" s="3" t="n"/>
      <c r="F252" s="10" t="n"/>
      <c r="G252" s="4" t="n"/>
      <c r="H252" s="5">
        <f>IF(B252="","",SUMIFS($G$4:$G$300,$C$4:$C$300,B252))</f>
        <v/>
      </c>
      <c r="I252" s="5">
        <f>IF(OR(B252="",A252="PAGO"),"",G252-H252)</f>
        <v/>
      </c>
      <c r="J252">
        <f>IF(B252="","",IF(AND(A252&lt;&gt;"PAGO",H252&gt;G252),"Excede el documento (los posteriores suman más)",IF(AND(A252&lt;&gt;"CDP",C252=""),"Falta el documento previo","OK")))</f>
        <v/>
      </c>
    </row>
    <row r="253">
      <c r="A253" s="3" t="n"/>
      <c r="B253" s="3" t="n"/>
      <c r="C253" s="3" t="n"/>
      <c r="D253" s="3" t="n"/>
      <c r="E253" s="3" t="n"/>
      <c r="F253" s="10" t="n"/>
      <c r="G253" s="4" t="n"/>
      <c r="H253" s="5">
        <f>IF(B253="","",SUMIFS($G$4:$G$300,$C$4:$C$300,B253))</f>
        <v/>
      </c>
      <c r="I253" s="5">
        <f>IF(OR(B253="",A253="PAGO"),"",G253-H253)</f>
        <v/>
      </c>
      <c r="J253">
        <f>IF(B253="","",IF(AND(A253&lt;&gt;"PAGO",H253&gt;G253),"Excede el documento (los posteriores suman más)",IF(AND(A253&lt;&gt;"CDP",C253=""),"Falta el documento previo","OK")))</f>
        <v/>
      </c>
    </row>
    <row r="254">
      <c r="A254" s="3" t="n"/>
      <c r="B254" s="3" t="n"/>
      <c r="C254" s="3" t="n"/>
      <c r="D254" s="3" t="n"/>
      <c r="E254" s="3" t="n"/>
      <c r="F254" s="10" t="n"/>
      <c r="G254" s="4" t="n"/>
      <c r="H254" s="5">
        <f>IF(B254="","",SUMIFS($G$4:$G$300,$C$4:$C$300,B254))</f>
        <v/>
      </c>
      <c r="I254" s="5">
        <f>IF(OR(B254="",A254="PAGO"),"",G254-H254)</f>
        <v/>
      </c>
      <c r="J254">
        <f>IF(B254="","",IF(AND(A254&lt;&gt;"PAGO",H254&gt;G254),"Excede el documento (los posteriores suman más)",IF(AND(A254&lt;&gt;"CDP",C254=""),"Falta el documento previo","OK")))</f>
        <v/>
      </c>
    </row>
    <row r="255">
      <c r="A255" s="3" t="n"/>
      <c r="B255" s="3" t="n"/>
      <c r="C255" s="3" t="n"/>
      <c r="D255" s="3" t="n"/>
      <c r="E255" s="3" t="n"/>
      <c r="F255" s="10" t="n"/>
      <c r="G255" s="4" t="n"/>
      <c r="H255" s="5">
        <f>IF(B255="","",SUMIFS($G$4:$G$300,$C$4:$C$300,B255))</f>
        <v/>
      </c>
      <c r="I255" s="5">
        <f>IF(OR(B255="",A255="PAGO"),"",G255-H255)</f>
        <v/>
      </c>
      <c r="J255">
        <f>IF(B255="","",IF(AND(A255&lt;&gt;"PAGO",H255&gt;G255),"Excede el documento (los posteriores suman más)",IF(AND(A255&lt;&gt;"CDP",C255=""),"Falta el documento previo","OK")))</f>
        <v/>
      </c>
    </row>
    <row r="256">
      <c r="A256" s="3" t="n"/>
      <c r="B256" s="3" t="n"/>
      <c r="C256" s="3" t="n"/>
      <c r="D256" s="3" t="n"/>
      <c r="E256" s="3" t="n"/>
      <c r="F256" s="10" t="n"/>
      <c r="G256" s="4" t="n"/>
      <c r="H256" s="5">
        <f>IF(B256="","",SUMIFS($G$4:$G$300,$C$4:$C$300,B256))</f>
        <v/>
      </c>
      <c r="I256" s="5">
        <f>IF(OR(B256="",A256="PAGO"),"",G256-H256)</f>
        <v/>
      </c>
      <c r="J256">
        <f>IF(B256="","",IF(AND(A256&lt;&gt;"PAGO",H256&gt;G256),"Excede el documento (los posteriores suman más)",IF(AND(A256&lt;&gt;"CDP",C256=""),"Falta el documento previo","OK")))</f>
        <v/>
      </c>
    </row>
    <row r="257">
      <c r="A257" s="3" t="n"/>
      <c r="B257" s="3" t="n"/>
      <c r="C257" s="3" t="n"/>
      <c r="D257" s="3" t="n"/>
      <c r="E257" s="3" t="n"/>
      <c r="F257" s="10" t="n"/>
      <c r="G257" s="4" t="n"/>
      <c r="H257" s="5">
        <f>IF(B257="","",SUMIFS($G$4:$G$300,$C$4:$C$300,B257))</f>
        <v/>
      </c>
      <c r="I257" s="5">
        <f>IF(OR(B257="",A257="PAGO"),"",G257-H257)</f>
        <v/>
      </c>
      <c r="J257">
        <f>IF(B257="","",IF(AND(A257&lt;&gt;"PAGO",H257&gt;G257),"Excede el documento (los posteriores suman más)",IF(AND(A257&lt;&gt;"CDP",C257=""),"Falta el documento previo","OK")))</f>
        <v/>
      </c>
    </row>
    <row r="258">
      <c r="A258" s="3" t="n"/>
      <c r="B258" s="3" t="n"/>
      <c r="C258" s="3" t="n"/>
      <c r="D258" s="3" t="n"/>
      <c r="E258" s="3" t="n"/>
      <c r="F258" s="10" t="n"/>
      <c r="G258" s="4" t="n"/>
      <c r="H258" s="5">
        <f>IF(B258="","",SUMIFS($G$4:$G$300,$C$4:$C$300,B258))</f>
        <v/>
      </c>
      <c r="I258" s="5">
        <f>IF(OR(B258="",A258="PAGO"),"",G258-H258)</f>
        <v/>
      </c>
      <c r="J258">
        <f>IF(B258="","",IF(AND(A258&lt;&gt;"PAGO",H258&gt;G258),"Excede el documento (los posteriores suman más)",IF(AND(A258&lt;&gt;"CDP",C258=""),"Falta el documento previo","OK")))</f>
        <v/>
      </c>
    </row>
    <row r="259">
      <c r="A259" s="3" t="n"/>
      <c r="B259" s="3" t="n"/>
      <c r="C259" s="3" t="n"/>
      <c r="D259" s="3" t="n"/>
      <c r="E259" s="3" t="n"/>
      <c r="F259" s="10" t="n"/>
      <c r="G259" s="4" t="n"/>
      <c r="H259" s="5">
        <f>IF(B259="","",SUMIFS($G$4:$G$300,$C$4:$C$300,B259))</f>
        <v/>
      </c>
      <c r="I259" s="5">
        <f>IF(OR(B259="",A259="PAGO"),"",G259-H259)</f>
        <v/>
      </c>
      <c r="J259">
        <f>IF(B259="","",IF(AND(A259&lt;&gt;"PAGO",H259&gt;G259),"Excede el documento (los posteriores suman más)",IF(AND(A259&lt;&gt;"CDP",C259=""),"Falta el documento previo","OK")))</f>
        <v/>
      </c>
    </row>
    <row r="260">
      <c r="A260" s="3" t="n"/>
      <c r="B260" s="3" t="n"/>
      <c r="C260" s="3" t="n"/>
      <c r="D260" s="3" t="n"/>
      <c r="E260" s="3" t="n"/>
      <c r="F260" s="10" t="n"/>
      <c r="G260" s="4" t="n"/>
      <c r="H260" s="5">
        <f>IF(B260="","",SUMIFS($G$4:$G$300,$C$4:$C$300,B260))</f>
        <v/>
      </c>
      <c r="I260" s="5">
        <f>IF(OR(B260="",A260="PAGO"),"",G260-H260)</f>
        <v/>
      </c>
      <c r="J260">
        <f>IF(B260="","",IF(AND(A260&lt;&gt;"PAGO",H260&gt;G260),"Excede el documento (los posteriores suman más)",IF(AND(A260&lt;&gt;"CDP",C260=""),"Falta el documento previo","OK")))</f>
        <v/>
      </c>
    </row>
    <row r="261">
      <c r="A261" s="3" t="n"/>
      <c r="B261" s="3" t="n"/>
      <c r="C261" s="3" t="n"/>
      <c r="D261" s="3" t="n"/>
      <c r="E261" s="3" t="n"/>
      <c r="F261" s="10" t="n"/>
      <c r="G261" s="4" t="n"/>
      <c r="H261" s="5">
        <f>IF(B261="","",SUMIFS($G$4:$G$300,$C$4:$C$300,B261))</f>
        <v/>
      </c>
      <c r="I261" s="5">
        <f>IF(OR(B261="",A261="PAGO"),"",G261-H261)</f>
        <v/>
      </c>
      <c r="J261">
        <f>IF(B261="","",IF(AND(A261&lt;&gt;"PAGO",H261&gt;G261),"Excede el documento (los posteriores suman más)",IF(AND(A261&lt;&gt;"CDP",C261=""),"Falta el documento previo","OK")))</f>
        <v/>
      </c>
    </row>
    <row r="262">
      <c r="A262" s="3" t="n"/>
      <c r="B262" s="3" t="n"/>
      <c r="C262" s="3" t="n"/>
      <c r="D262" s="3" t="n"/>
      <c r="E262" s="3" t="n"/>
      <c r="F262" s="10" t="n"/>
      <c r="G262" s="4" t="n"/>
      <c r="H262" s="5">
        <f>IF(B262="","",SUMIFS($G$4:$G$300,$C$4:$C$300,B262))</f>
        <v/>
      </c>
      <c r="I262" s="5">
        <f>IF(OR(B262="",A262="PAGO"),"",G262-H262)</f>
        <v/>
      </c>
      <c r="J262">
        <f>IF(B262="","",IF(AND(A262&lt;&gt;"PAGO",H262&gt;G262),"Excede el documento (los posteriores suman más)",IF(AND(A262&lt;&gt;"CDP",C262=""),"Falta el documento previo","OK")))</f>
        <v/>
      </c>
    </row>
    <row r="263">
      <c r="A263" s="3" t="n"/>
      <c r="B263" s="3" t="n"/>
      <c r="C263" s="3" t="n"/>
      <c r="D263" s="3" t="n"/>
      <c r="E263" s="3" t="n"/>
      <c r="F263" s="10" t="n"/>
      <c r="G263" s="4" t="n"/>
      <c r="H263" s="5">
        <f>IF(B263="","",SUMIFS($G$4:$G$300,$C$4:$C$300,B263))</f>
        <v/>
      </c>
      <c r="I263" s="5">
        <f>IF(OR(B263="",A263="PAGO"),"",G263-H263)</f>
        <v/>
      </c>
      <c r="J263">
        <f>IF(B263="","",IF(AND(A263&lt;&gt;"PAGO",H263&gt;G263),"Excede el documento (los posteriores suman más)",IF(AND(A263&lt;&gt;"CDP",C263=""),"Falta el documento previo","OK")))</f>
        <v/>
      </c>
    </row>
    <row r="264">
      <c r="A264" s="3" t="n"/>
      <c r="B264" s="3" t="n"/>
      <c r="C264" s="3" t="n"/>
      <c r="D264" s="3" t="n"/>
      <c r="E264" s="3" t="n"/>
      <c r="F264" s="10" t="n"/>
      <c r="G264" s="4" t="n"/>
      <c r="H264" s="5">
        <f>IF(B264="","",SUMIFS($G$4:$G$300,$C$4:$C$300,B264))</f>
        <v/>
      </c>
      <c r="I264" s="5">
        <f>IF(OR(B264="",A264="PAGO"),"",G264-H264)</f>
        <v/>
      </c>
      <c r="J264">
        <f>IF(B264="","",IF(AND(A264&lt;&gt;"PAGO",H264&gt;G264),"Excede el documento (los posteriores suman más)",IF(AND(A264&lt;&gt;"CDP",C264=""),"Falta el documento previo","OK")))</f>
        <v/>
      </c>
    </row>
    <row r="265">
      <c r="A265" s="3" t="n"/>
      <c r="B265" s="3" t="n"/>
      <c r="C265" s="3" t="n"/>
      <c r="D265" s="3" t="n"/>
      <c r="E265" s="3" t="n"/>
      <c r="F265" s="10" t="n"/>
      <c r="G265" s="4" t="n"/>
      <c r="H265" s="5">
        <f>IF(B265="","",SUMIFS($G$4:$G$300,$C$4:$C$300,B265))</f>
        <v/>
      </c>
      <c r="I265" s="5">
        <f>IF(OR(B265="",A265="PAGO"),"",G265-H265)</f>
        <v/>
      </c>
      <c r="J265">
        <f>IF(B265="","",IF(AND(A265&lt;&gt;"PAGO",H265&gt;G265),"Excede el documento (los posteriores suman más)",IF(AND(A265&lt;&gt;"CDP",C265=""),"Falta el documento previo","OK")))</f>
        <v/>
      </c>
    </row>
    <row r="266">
      <c r="A266" s="3" t="n"/>
      <c r="B266" s="3" t="n"/>
      <c r="C266" s="3" t="n"/>
      <c r="D266" s="3" t="n"/>
      <c r="E266" s="3" t="n"/>
      <c r="F266" s="10" t="n"/>
      <c r="G266" s="4" t="n"/>
      <c r="H266" s="5">
        <f>IF(B266="","",SUMIFS($G$4:$G$300,$C$4:$C$300,B266))</f>
        <v/>
      </c>
      <c r="I266" s="5">
        <f>IF(OR(B266="",A266="PAGO"),"",G266-H266)</f>
        <v/>
      </c>
      <c r="J266">
        <f>IF(B266="","",IF(AND(A266&lt;&gt;"PAGO",H266&gt;G266),"Excede el documento (los posteriores suman más)",IF(AND(A266&lt;&gt;"CDP",C266=""),"Falta el documento previo","OK")))</f>
        <v/>
      </c>
    </row>
    <row r="267">
      <c r="A267" s="3" t="n"/>
      <c r="B267" s="3" t="n"/>
      <c r="C267" s="3" t="n"/>
      <c r="D267" s="3" t="n"/>
      <c r="E267" s="3" t="n"/>
      <c r="F267" s="10" t="n"/>
      <c r="G267" s="4" t="n"/>
      <c r="H267" s="5">
        <f>IF(B267="","",SUMIFS($G$4:$G$300,$C$4:$C$300,B267))</f>
        <v/>
      </c>
      <c r="I267" s="5">
        <f>IF(OR(B267="",A267="PAGO"),"",G267-H267)</f>
        <v/>
      </c>
      <c r="J267">
        <f>IF(B267="","",IF(AND(A267&lt;&gt;"PAGO",H267&gt;G267),"Excede el documento (los posteriores suman más)",IF(AND(A267&lt;&gt;"CDP",C267=""),"Falta el documento previo","OK")))</f>
        <v/>
      </c>
    </row>
    <row r="268">
      <c r="A268" s="3" t="n"/>
      <c r="B268" s="3" t="n"/>
      <c r="C268" s="3" t="n"/>
      <c r="D268" s="3" t="n"/>
      <c r="E268" s="3" t="n"/>
      <c r="F268" s="10" t="n"/>
      <c r="G268" s="4" t="n"/>
      <c r="H268" s="5">
        <f>IF(B268="","",SUMIFS($G$4:$G$300,$C$4:$C$300,B268))</f>
        <v/>
      </c>
      <c r="I268" s="5">
        <f>IF(OR(B268="",A268="PAGO"),"",G268-H268)</f>
        <v/>
      </c>
      <c r="J268">
        <f>IF(B268="","",IF(AND(A268&lt;&gt;"PAGO",H268&gt;G268),"Excede el documento (los posteriores suman más)",IF(AND(A268&lt;&gt;"CDP",C268=""),"Falta el documento previo","OK")))</f>
        <v/>
      </c>
    </row>
    <row r="269">
      <c r="A269" s="3" t="n"/>
      <c r="B269" s="3" t="n"/>
      <c r="C269" s="3" t="n"/>
      <c r="D269" s="3" t="n"/>
      <c r="E269" s="3" t="n"/>
      <c r="F269" s="10" t="n"/>
      <c r="G269" s="4" t="n"/>
      <c r="H269" s="5">
        <f>IF(B269="","",SUMIFS($G$4:$G$300,$C$4:$C$300,B269))</f>
        <v/>
      </c>
      <c r="I269" s="5">
        <f>IF(OR(B269="",A269="PAGO"),"",G269-H269)</f>
        <v/>
      </c>
      <c r="J269">
        <f>IF(B269="","",IF(AND(A269&lt;&gt;"PAGO",H269&gt;G269),"Excede el documento (los posteriores suman más)",IF(AND(A269&lt;&gt;"CDP",C269=""),"Falta el documento previo","OK")))</f>
        <v/>
      </c>
    </row>
    <row r="270">
      <c r="A270" s="3" t="n"/>
      <c r="B270" s="3" t="n"/>
      <c r="C270" s="3" t="n"/>
      <c r="D270" s="3" t="n"/>
      <c r="E270" s="3" t="n"/>
      <c r="F270" s="10" t="n"/>
      <c r="G270" s="4" t="n"/>
      <c r="H270" s="5">
        <f>IF(B270="","",SUMIFS($G$4:$G$300,$C$4:$C$300,B270))</f>
        <v/>
      </c>
      <c r="I270" s="5">
        <f>IF(OR(B270="",A270="PAGO"),"",G270-H270)</f>
        <v/>
      </c>
      <c r="J270">
        <f>IF(B270="","",IF(AND(A270&lt;&gt;"PAGO",H270&gt;G270),"Excede el documento (los posteriores suman más)",IF(AND(A270&lt;&gt;"CDP",C270=""),"Falta el documento previo","OK")))</f>
        <v/>
      </c>
    </row>
    <row r="271">
      <c r="A271" s="3" t="n"/>
      <c r="B271" s="3" t="n"/>
      <c r="C271" s="3" t="n"/>
      <c r="D271" s="3" t="n"/>
      <c r="E271" s="3" t="n"/>
      <c r="F271" s="10" t="n"/>
      <c r="G271" s="4" t="n"/>
      <c r="H271" s="5">
        <f>IF(B271="","",SUMIFS($G$4:$G$300,$C$4:$C$300,B271))</f>
        <v/>
      </c>
      <c r="I271" s="5">
        <f>IF(OR(B271="",A271="PAGO"),"",G271-H271)</f>
        <v/>
      </c>
      <c r="J271">
        <f>IF(B271="","",IF(AND(A271&lt;&gt;"PAGO",H271&gt;G271),"Excede el documento (los posteriores suman más)",IF(AND(A271&lt;&gt;"CDP",C271=""),"Falta el documento previo","OK")))</f>
        <v/>
      </c>
    </row>
    <row r="272">
      <c r="A272" s="3" t="n"/>
      <c r="B272" s="3" t="n"/>
      <c r="C272" s="3" t="n"/>
      <c r="D272" s="3" t="n"/>
      <c r="E272" s="3" t="n"/>
      <c r="F272" s="10" t="n"/>
      <c r="G272" s="4" t="n"/>
      <c r="H272" s="5">
        <f>IF(B272="","",SUMIFS($G$4:$G$300,$C$4:$C$300,B272))</f>
        <v/>
      </c>
      <c r="I272" s="5">
        <f>IF(OR(B272="",A272="PAGO"),"",G272-H272)</f>
        <v/>
      </c>
      <c r="J272">
        <f>IF(B272="","",IF(AND(A272&lt;&gt;"PAGO",H272&gt;G272),"Excede el documento (los posteriores suman más)",IF(AND(A272&lt;&gt;"CDP",C272=""),"Falta el documento previo","OK")))</f>
        <v/>
      </c>
    </row>
    <row r="273">
      <c r="A273" s="3" t="n"/>
      <c r="B273" s="3" t="n"/>
      <c r="C273" s="3" t="n"/>
      <c r="D273" s="3" t="n"/>
      <c r="E273" s="3" t="n"/>
      <c r="F273" s="10" t="n"/>
      <c r="G273" s="4" t="n"/>
      <c r="H273" s="5">
        <f>IF(B273="","",SUMIFS($G$4:$G$300,$C$4:$C$300,B273))</f>
        <v/>
      </c>
      <c r="I273" s="5">
        <f>IF(OR(B273="",A273="PAGO"),"",G273-H273)</f>
        <v/>
      </c>
      <c r="J273">
        <f>IF(B273="","",IF(AND(A273&lt;&gt;"PAGO",H273&gt;G273),"Excede el documento (los posteriores suman más)",IF(AND(A273&lt;&gt;"CDP",C273=""),"Falta el documento previo","OK")))</f>
        <v/>
      </c>
    </row>
    <row r="274">
      <c r="A274" s="3" t="n"/>
      <c r="B274" s="3" t="n"/>
      <c r="C274" s="3" t="n"/>
      <c r="D274" s="3" t="n"/>
      <c r="E274" s="3" t="n"/>
      <c r="F274" s="10" t="n"/>
      <c r="G274" s="4" t="n"/>
      <c r="H274" s="5">
        <f>IF(B274="","",SUMIFS($G$4:$G$300,$C$4:$C$300,B274))</f>
        <v/>
      </c>
      <c r="I274" s="5">
        <f>IF(OR(B274="",A274="PAGO"),"",G274-H274)</f>
        <v/>
      </c>
      <c r="J274">
        <f>IF(B274="","",IF(AND(A274&lt;&gt;"PAGO",H274&gt;G274),"Excede el documento (los posteriores suman más)",IF(AND(A274&lt;&gt;"CDP",C274=""),"Falta el documento previo","OK")))</f>
        <v/>
      </c>
    </row>
    <row r="275">
      <c r="A275" s="3" t="n"/>
      <c r="B275" s="3" t="n"/>
      <c r="C275" s="3" t="n"/>
      <c r="D275" s="3" t="n"/>
      <c r="E275" s="3" t="n"/>
      <c r="F275" s="10" t="n"/>
      <c r="G275" s="4" t="n"/>
      <c r="H275" s="5">
        <f>IF(B275="","",SUMIFS($G$4:$G$300,$C$4:$C$300,B275))</f>
        <v/>
      </c>
      <c r="I275" s="5">
        <f>IF(OR(B275="",A275="PAGO"),"",G275-H275)</f>
        <v/>
      </c>
      <c r="J275">
        <f>IF(B275="","",IF(AND(A275&lt;&gt;"PAGO",H275&gt;G275),"Excede el documento (los posteriores suman más)",IF(AND(A275&lt;&gt;"CDP",C275=""),"Falta el documento previo","OK")))</f>
        <v/>
      </c>
    </row>
    <row r="276">
      <c r="A276" s="3" t="n"/>
      <c r="B276" s="3" t="n"/>
      <c r="C276" s="3" t="n"/>
      <c r="D276" s="3" t="n"/>
      <c r="E276" s="3" t="n"/>
      <c r="F276" s="10" t="n"/>
      <c r="G276" s="4" t="n"/>
      <c r="H276" s="5">
        <f>IF(B276="","",SUMIFS($G$4:$G$300,$C$4:$C$300,B276))</f>
        <v/>
      </c>
      <c r="I276" s="5">
        <f>IF(OR(B276="",A276="PAGO"),"",G276-H276)</f>
        <v/>
      </c>
      <c r="J276">
        <f>IF(B276="","",IF(AND(A276&lt;&gt;"PAGO",H276&gt;G276),"Excede el documento (los posteriores suman más)",IF(AND(A276&lt;&gt;"CDP",C276=""),"Falta el documento previo","OK")))</f>
        <v/>
      </c>
    </row>
    <row r="277">
      <c r="A277" s="3" t="n"/>
      <c r="B277" s="3" t="n"/>
      <c r="C277" s="3" t="n"/>
      <c r="D277" s="3" t="n"/>
      <c r="E277" s="3" t="n"/>
      <c r="F277" s="10" t="n"/>
      <c r="G277" s="4" t="n"/>
      <c r="H277" s="5">
        <f>IF(B277="","",SUMIFS($G$4:$G$300,$C$4:$C$300,B277))</f>
        <v/>
      </c>
      <c r="I277" s="5">
        <f>IF(OR(B277="",A277="PAGO"),"",G277-H277)</f>
        <v/>
      </c>
      <c r="J277">
        <f>IF(B277="","",IF(AND(A277&lt;&gt;"PAGO",H277&gt;G277),"Excede el documento (los posteriores suman más)",IF(AND(A277&lt;&gt;"CDP",C277=""),"Falta el documento previo","OK")))</f>
        <v/>
      </c>
    </row>
    <row r="278">
      <c r="A278" s="3" t="n"/>
      <c r="B278" s="3" t="n"/>
      <c r="C278" s="3" t="n"/>
      <c r="D278" s="3" t="n"/>
      <c r="E278" s="3" t="n"/>
      <c r="F278" s="10" t="n"/>
      <c r="G278" s="4" t="n"/>
      <c r="H278" s="5">
        <f>IF(B278="","",SUMIFS($G$4:$G$300,$C$4:$C$300,B278))</f>
        <v/>
      </c>
      <c r="I278" s="5">
        <f>IF(OR(B278="",A278="PAGO"),"",G278-H278)</f>
        <v/>
      </c>
      <c r="J278">
        <f>IF(B278="","",IF(AND(A278&lt;&gt;"PAGO",H278&gt;G278),"Excede el documento (los posteriores suman más)",IF(AND(A278&lt;&gt;"CDP",C278=""),"Falta el documento previo","OK")))</f>
        <v/>
      </c>
    </row>
    <row r="279">
      <c r="A279" s="3" t="n"/>
      <c r="B279" s="3" t="n"/>
      <c r="C279" s="3" t="n"/>
      <c r="D279" s="3" t="n"/>
      <c r="E279" s="3" t="n"/>
      <c r="F279" s="10" t="n"/>
      <c r="G279" s="4" t="n"/>
      <c r="H279" s="5">
        <f>IF(B279="","",SUMIFS($G$4:$G$300,$C$4:$C$300,B279))</f>
        <v/>
      </c>
      <c r="I279" s="5">
        <f>IF(OR(B279="",A279="PAGO"),"",G279-H279)</f>
        <v/>
      </c>
      <c r="J279">
        <f>IF(B279="","",IF(AND(A279&lt;&gt;"PAGO",H279&gt;G279),"Excede el documento (los posteriores suman más)",IF(AND(A279&lt;&gt;"CDP",C279=""),"Falta el documento previo","OK")))</f>
        <v/>
      </c>
    </row>
    <row r="280">
      <c r="A280" s="3" t="n"/>
      <c r="B280" s="3" t="n"/>
      <c r="C280" s="3" t="n"/>
      <c r="D280" s="3" t="n"/>
      <c r="E280" s="3" t="n"/>
      <c r="F280" s="10" t="n"/>
      <c r="G280" s="4" t="n"/>
      <c r="H280" s="5">
        <f>IF(B280="","",SUMIFS($G$4:$G$300,$C$4:$C$300,B280))</f>
        <v/>
      </c>
      <c r="I280" s="5">
        <f>IF(OR(B280="",A280="PAGO"),"",G280-H280)</f>
        <v/>
      </c>
      <c r="J280">
        <f>IF(B280="","",IF(AND(A280&lt;&gt;"PAGO",H280&gt;G280),"Excede el documento (los posteriores suman más)",IF(AND(A280&lt;&gt;"CDP",C280=""),"Falta el documento previo","OK")))</f>
        <v/>
      </c>
    </row>
    <row r="281">
      <c r="A281" s="3" t="n"/>
      <c r="B281" s="3" t="n"/>
      <c r="C281" s="3" t="n"/>
      <c r="D281" s="3" t="n"/>
      <c r="E281" s="3" t="n"/>
      <c r="F281" s="10" t="n"/>
      <c r="G281" s="4" t="n"/>
      <c r="H281" s="5">
        <f>IF(B281="","",SUMIFS($G$4:$G$300,$C$4:$C$300,B281))</f>
        <v/>
      </c>
      <c r="I281" s="5">
        <f>IF(OR(B281="",A281="PAGO"),"",G281-H281)</f>
        <v/>
      </c>
      <c r="J281">
        <f>IF(B281="","",IF(AND(A281&lt;&gt;"PAGO",H281&gt;G281),"Excede el documento (los posteriores suman más)",IF(AND(A281&lt;&gt;"CDP",C281=""),"Falta el documento previo","OK")))</f>
        <v/>
      </c>
    </row>
    <row r="282">
      <c r="A282" s="3" t="n"/>
      <c r="B282" s="3" t="n"/>
      <c r="C282" s="3" t="n"/>
      <c r="D282" s="3" t="n"/>
      <c r="E282" s="3" t="n"/>
      <c r="F282" s="10" t="n"/>
      <c r="G282" s="4" t="n"/>
      <c r="H282" s="5">
        <f>IF(B282="","",SUMIFS($G$4:$G$300,$C$4:$C$300,B282))</f>
        <v/>
      </c>
      <c r="I282" s="5">
        <f>IF(OR(B282="",A282="PAGO"),"",G282-H282)</f>
        <v/>
      </c>
      <c r="J282">
        <f>IF(B282="","",IF(AND(A282&lt;&gt;"PAGO",H282&gt;G282),"Excede el documento (los posteriores suman más)",IF(AND(A282&lt;&gt;"CDP",C282=""),"Falta el documento previo","OK")))</f>
        <v/>
      </c>
    </row>
    <row r="283">
      <c r="A283" s="3" t="n"/>
      <c r="B283" s="3" t="n"/>
      <c r="C283" s="3" t="n"/>
      <c r="D283" s="3" t="n"/>
      <c r="E283" s="3" t="n"/>
      <c r="F283" s="10" t="n"/>
      <c r="G283" s="4" t="n"/>
      <c r="H283" s="5">
        <f>IF(B283="","",SUMIFS($G$4:$G$300,$C$4:$C$300,B283))</f>
        <v/>
      </c>
      <c r="I283" s="5">
        <f>IF(OR(B283="",A283="PAGO"),"",G283-H283)</f>
        <v/>
      </c>
      <c r="J283">
        <f>IF(B283="","",IF(AND(A283&lt;&gt;"PAGO",H283&gt;G283),"Excede el documento (los posteriores suman más)",IF(AND(A283&lt;&gt;"CDP",C283=""),"Falta el documento previo","OK")))</f>
        <v/>
      </c>
    </row>
    <row r="284">
      <c r="A284" s="3" t="n"/>
      <c r="B284" s="3" t="n"/>
      <c r="C284" s="3" t="n"/>
      <c r="D284" s="3" t="n"/>
      <c r="E284" s="3" t="n"/>
      <c r="F284" s="10" t="n"/>
      <c r="G284" s="4" t="n"/>
      <c r="H284" s="5">
        <f>IF(B284="","",SUMIFS($G$4:$G$300,$C$4:$C$300,B284))</f>
        <v/>
      </c>
      <c r="I284" s="5">
        <f>IF(OR(B284="",A284="PAGO"),"",G284-H284)</f>
        <v/>
      </c>
      <c r="J284">
        <f>IF(B284="","",IF(AND(A284&lt;&gt;"PAGO",H284&gt;G284),"Excede el documento (los posteriores suman más)",IF(AND(A284&lt;&gt;"CDP",C284=""),"Falta el documento previo","OK")))</f>
        <v/>
      </c>
    </row>
    <row r="285">
      <c r="A285" s="3" t="n"/>
      <c r="B285" s="3" t="n"/>
      <c r="C285" s="3" t="n"/>
      <c r="D285" s="3" t="n"/>
      <c r="E285" s="3" t="n"/>
      <c r="F285" s="10" t="n"/>
      <c r="G285" s="4" t="n"/>
      <c r="H285" s="5">
        <f>IF(B285="","",SUMIFS($G$4:$G$300,$C$4:$C$300,B285))</f>
        <v/>
      </c>
      <c r="I285" s="5">
        <f>IF(OR(B285="",A285="PAGO"),"",G285-H285)</f>
        <v/>
      </c>
      <c r="J285">
        <f>IF(B285="","",IF(AND(A285&lt;&gt;"PAGO",H285&gt;G285),"Excede el documento (los posteriores suman más)",IF(AND(A285&lt;&gt;"CDP",C285=""),"Falta el documento previo","OK")))</f>
        <v/>
      </c>
    </row>
    <row r="286">
      <c r="A286" s="3" t="n"/>
      <c r="B286" s="3" t="n"/>
      <c r="C286" s="3" t="n"/>
      <c r="D286" s="3" t="n"/>
      <c r="E286" s="3" t="n"/>
      <c r="F286" s="10" t="n"/>
      <c r="G286" s="4" t="n"/>
      <c r="H286" s="5">
        <f>IF(B286="","",SUMIFS($G$4:$G$300,$C$4:$C$300,B286))</f>
        <v/>
      </c>
      <c r="I286" s="5">
        <f>IF(OR(B286="",A286="PAGO"),"",G286-H286)</f>
        <v/>
      </c>
      <c r="J286">
        <f>IF(B286="","",IF(AND(A286&lt;&gt;"PAGO",H286&gt;G286),"Excede el documento (los posteriores suman más)",IF(AND(A286&lt;&gt;"CDP",C286=""),"Falta el documento previo","OK")))</f>
        <v/>
      </c>
    </row>
    <row r="287">
      <c r="A287" s="3" t="n"/>
      <c r="B287" s="3" t="n"/>
      <c r="C287" s="3" t="n"/>
      <c r="D287" s="3" t="n"/>
      <c r="E287" s="3" t="n"/>
      <c r="F287" s="10" t="n"/>
      <c r="G287" s="4" t="n"/>
      <c r="H287" s="5">
        <f>IF(B287="","",SUMIFS($G$4:$G$300,$C$4:$C$300,B287))</f>
        <v/>
      </c>
      <c r="I287" s="5">
        <f>IF(OR(B287="",A287="PAGO"),"",G287-H287)</f>
        <v/>
      </c>
      <c r="J287">
        <f>IF(B287="","",IF(AND(A287&lt;&gt;"PAGO",H287&gt;G287),"Excede el documento (los posteriores suman más)",IF(AND(A287&lt;&gt;"CDP",C287=""),"Falta el documento previo","OK")))</f>
        <v/>
      </c>
    </row>
    <row r="288">
      <c r="A288" s="3" t="n"/>
      <c r="B288" s="3" t="n"/>
      <c r="C288" s="3" t="n"/>
      <c r="D288" s="3" t="n"/>
      <c r="E288" s="3" t="n"/>
      <c r="F288" s="10" t="n"/>
      <c r="G288" s="4" t="n"/>
      <c r="H288" s="5">
        <f>IF(B288="","",SUMIFS($G$4:$G$300,$C$4:$C$300,B288))</f>
        <v/>
      </c>
      <c r="I288" s="5">
        <f>IF(OR(B288="",A288="PAGO"),"",G288-H288)</f>
        <v/>
      </c>
      <c r="J288">
        <f>IF(B288="","",IF(AND(A288&lt;&gt;"PAGO",H288&gt;G288),"Excede el documento (los posteriores suman más)",IF(AND(A288&lt;&gt;"CDP",C288=""),"Falta el documento previo","OK")))</f>
        <v/>
      </c>
    </row>
    <row r="289">
      <c r="A289" s="3" t="n"/>
      <c r="B289" s="3" t="n"/>
      <c r="C289" s="3" t="n"/>
      <c r="D289" s="3" t="n"/>
      <c r="E289" s="3" t="n"/>
      <c r="F289" s="10" t="n"/>
      <c r="G289" s="4" t="n"/>
      <c r="H289" s="5">
        <f>IF(B289="","",SUMIFS($G$4:$G$300,$C$4:$C$300,B289))</f>
        <v/>
      </c>
      <c r="I289" s="5">
        <f>IF(OR(B289="",A289="PAGO"),"",G289-H289)</f>
        <v/>
      </c>
      <c r="J289">
        <f>IF(B289="","",IF(AND(A289&lt;&gt;"PAGO",H289&gt;G289),"Excede el documento (los posteriores suman más)",IF(AND(A289&lt;&gt;"CDP",C289=""),"Falta el documento previo","OK")))</f>
        <v/>
      </c>
    </row>
    <row r="290">
      <c r="A290" s="3" t="n"/>
      <c r="B290" s="3" t="n"/>
      <c r="C290" s="3" t="n"/>
      <c r="D290" s="3" t="n"/>
      <c r="E290" s="3" t="n"/>
      <c r="F290" s="10" t="n"/>
      <c r="G290" s="4" t="n"/>
      <c r="H290" s="5">
        <f>IF(B290="","",SUMIFS($G$4:$G$300,$C$4:$C$300,B290))</f>
        <v/>
      </c>
      <c r="I290" s="5">
        <f>IF(OR(B290="",A290="PAGO"),"",G290-H290)</f>
        <v/>
      </c>
      <c r="J290">
        <f>IF(B290="","",IF(AND(A290&lt;&gt;"PAGO",H290&gt;G290),"Excede el documento (los posteriores suman más)",IF(AND(A290&lt;&gt;"CDP",C290=""),"Falta el documento previo","OK")))</f>
        <v/>
      </c>
    </row>
    <row r="291">
      <c r="A291" s="3" t="n"/>
      <c r="B291" s="3" t="n"/>
      <c r="C291" s="3" t="n"/>
      <c r="D291" s="3" t="n"/>
      <c r="E291" s="3" t="n"/>
      <c r="F291" s="10" t="n"/>
      <c r="G291" s="4" t="n"/>
      <c r="H291" s="5">
        <f>IF(B291="","",SUMIFS($G$4:$G$300,$C$4:$C$300,B291))</f>
        <v/>
      </c>
      <c r="I291" s="5">
        <f>IF(OR(B291="",A291="PAGO"),"",G291-H291)</f>
        <v/>
      </c>
      <c r="J291">
        <f>IF(B291="","",IF(AND(A291&lt;&gt;"PAGO",H291&gt;G291),"Excede el documento (los posteriores suman más)",IF(AND(A291&lt;&gt;"CDP",C291=""),"Falta el documento previo","OK")))</f>
        <v/>
      </c>
    </row>
    <row r="292">
      <c r="A292" s="3" t="n"/>
      <c r="B292" s="3" t="n"/>
      <c r="C292" s="3" t="n"/>
      <c r="D292" s="3" t="n"/>
      <c r="E292" s="3" t="n"/>
      <c r="F292" s="10" t="n"/>
      <c r="G292" s="4" t="n"/>
      <c r="H292" s="5">
        <f>IF(B292="","",SUMIFS($G$4:$G$300,$C$4:$C$300,B292))</f>
        <v/>
      </c>
      <c r="I292" s="5">
        <f>IF(OR(B292="",A292="PAGO"),"",G292-H292)</f>
        <v/>
      </c>
      <c r="J292">
        <f>IF(B292="","",IF(AND(A292&lt;&gt;"PAGO",H292&gt;G292),"Excede el documento (los posteriores suman más)",IF(AND(A292&lt;&gt;"CDP",C292=""),"Falta el documento previo","OK")))</f>
        <v/>
      </c>
    </row>
    <row r="293">
      <c r="A293" s="3" t="n"/>
      <c r="B293" s="3" t="n"/>
      <c r="C293" s="3" t="n"/>
      <c r="D293" s="3" t="n"/>
      <c r="E293" s="3" t="n"/>
      <c r="F293" s="10" t="n"/>
      <c r="G293" s="4" t="n"/>
      <c r="H293" s="5">
        <f>IF(B293="","",SUMIFS($G$4:$G$300,$C$4:$C$300,B293))</f>
        <v/>
      </c>
      <c r="I293" s="5">
        <f>IF(OR(B293="",A293="PAGO"),"",G293-H293)</f>
        <v/>
      </c>
      <c r="J293">
        <f>IF(B293="","",IF(AND(A293&lt;&gt;"PAGO",H293&gt;G293),"Excede el documento (los posteriores suman más)",IF(AND(A293&lt;&gt;"CDP",C293=""),"Falta el documento previo","OK")))</f>
        <v/>
      </c>
    </row>
    <row r="294">
      <c r="A294" s="3" t="n"/>
      <c r="B294" s="3" t="n"/>
      <c r="C294" s="3" t="n"/>
      <c r="D294" s="3" t="n"/>
      <c r="E294" s="3" t="n"/>
      <c r="F294" s="10" t="n"/>
      <c r="G294" s="4" t="n"/>
      <c r="H294" s="5">
        <f>IF(B294="","",SUMIFS($G$4:$G$300,$C$4:$C$300,B294))</f>
        <v/>
      </c>
      <c r="I294" s="5">
        <f>IF(OR(B294="",A294="PAGO"),"",G294-H294)</f>
        <v/>
      </c>
      <c r="J294">
        <f>IF(B294="","",IF(AND(A294&lt;&gt;"PAGO",H294&gt;G294),"Excede el documento (los posteriores suman más)",IF(AND(A294&lt;&gt;"CDP",C294=""),"Falta el documento previo","OK")))</f>
        <v/>
      </c>
    </row>
    <row r="295">
      <c r="A295" s="3" t="n"/>
      <c r="B295" s="3" t="n"/>
      <c r="C295" s="3" t="n"/>
      <c r="D295" s="3" t="n"/>
      <c r="E295" s="3" t="n"/>
      <c r="F295" s="10" t="n"/>
      <c r="G295" s="4" t="n"/>
      <c r="H295" s="5">
        <f>IF(B295="","",SUMIFS($G$4:$G$300,$C$4:$C$300,B295))</f>
        <v/>
      </c>
      <c r="I295" s="5">
        <f>IF(OR(B295="",A295="PAGO"),"",G295-H295)</f>
        <v/>
      </c>
      <c r="J295">
        <f>IF(B295="","",IF(AND(A295&lt;&gt;"PAGO",H295&gt;G295),"Excede el documento (los posteriores suman más)",IF(AND(A295&lt;&gt;"CDP",C295=""),"Falta el documento previo","OK")))</f>
        <v/>
      </c>
    </row>
    <row r="296">
      <c r="A296" s="3" t="n"/>
      <c r="B296" s="3" t="n"/>
      <c r="C296" s="3" t="n"/>
      <c r="D296" s="3" t="n"/>
      <c r="E296" s="3" t="n"/>
      <c r="F296" s="10" t="n"/>
      <c r="G296" s="4" t="n"/>
      <c r="H296" s="5">
        <f>IF(B296="","",SUMIFS($G$4:$G$300,$C$4:$C$300,B296))</f>
        <v/>
      </c>
      <c r="I296" s="5">
        <f>IF(OR(B296="",A296="PAGO"),"",G296-H296)</f>
        <v/>
      </c>
      <c r="J296">
        <f>IF(B296="","",IF(AND(A296&lt;&gt;"PAGO",H296&gt;G296),"Excede el documento (los posteriores suman más)",IF(AND(A296&lt;&gt;"CDP",C296=""),"Falta el documento previo","OK")))</f>
        <v/>
      </c>
    </row>
    <row r="297">
      <c r="A297" s="3" t="n"/>
      <c r="B297" s="3" t="n"/>
      <c r="C297" s="3" t="n"/>
      <c r="D297" s="3" t="n"/>
      <c r="E297" s="3" t="n"/>
      <c r="F297" s="10" t="n"/>
      <c r="G297" s="4" t="n"/>
      <c r="H297" s="5">
        <f>IF(B297="","",SUMIFS($G$4:$G$300,$C$4:$C$300,B297))</f>
        <v/>
      </c>
      <c r="I297" s="5">
        <f>IF(OR(B297="",A297="PAGO"),"",G297-H297)</f>
        <v/>
      </c>
      <c r="J297">
        <f>IF(B297="","",IF(AND(A297&lt;&gt;"PAGO",H297&gt;G297),"Excede el documento (los posteriores suman más)",IF(AND(A297&lt;&gt;"CDP",C297=""),"Falta el documento previo","OK")))</f>
        <v/>
      </c>
    </row>
    <row r="298">
      <c r="A298" s="3" t="n"/>
      <c r="B298" s="3" t="n"/>
      <c r="C298" s="3" t="n"/>
      <c r="D298" s="3" t="n"/>
      <c r="E298" s="3" t="n"/>
      <c r="F298" s="10" t="n"/>
      <c r="G298" s="4" t="n"/>
      <c r="H298" s="5">
        <f>IF(B298="","",SUMIFS($G$4:$G$300,$C$4:$C$300,B298))</f>
        <v/>
      </c>
      <c r="I298" s="5">
        <f>IF(OR(B298="",A298="PAGO"),"",G298-H298)</f>
        <v/>
      </c>
      <c r="J298">
        <f>IF(B298="","",IF(AND(A298&lt;&gt;"PAGO",H298&gt;G298),"Excede el documento (los posteriores suman más)",IF(AND(A298&lt;&gt;"CDP",C298=""),"Falta el documento previo","OK")))</f>
        <v/>
      </c>
    </row>
    <row r="299">
      <c r="A299" s="3" t="n"/>
      <c r="B299" s="3" t="n"/>
      <c r="C299" s="3" t="n"/>
      <c r="D299" s="3" t="n"/>
      <c r="E299" s="3" t="n"/>
      <c r="F299" s="10" t="n"/>
      <c r="G299" s="4" t="n"/>
      <c r="H299" s="5">
        <f>IF(B299="","",SUMIFS($G$4:$G$300,$C$4:$C$300,B299))</f>
        <v/>
      </c>
      <c r="I299" s="5">
        <f>IF(OR(B299="",A299="PAGO"),"",G299-H299)</f>
        <v/>
      </c>
      <c r="J299">
        <f>IF(B299="","",IF(AND(A299&lt;&gt;"PAGO",H299&gt;G299),"Excede el documento (los posteriores suman más)",IF(AND(A299&lt;&gt;"CDP",C299=""),"Falta el documento previo","OK")))</f>
        <v/>
      </c>
    </row>
    <row r="300">
      <c r="A300" s="3" t="n"/>
      <c r="B300" s="3" t="n"/>
      <c r="C300" s="3" t="n"/>
      <c r="D300" s="3" t="n"/>
      <c r="E300" s="3" t="n"/>
      <c r="F300" s="10" t="n"/>
      <c r="G300" s="4" t="n"/>
      <c r="H300" s="5">
        <f>IF(B300="","",SUMIFS($G$4:$G$300,$C$4:$C$300,B300))</f>
        <v/>
      </c>
      <c r="I300" s="5">
        <f>IF(OR(B300="",A300="PAGO"),"",G300-H300)</f>
        <v/>
      </c>
      <c r="J300">
        <f>IF(B300="","",IF(AND(A300&lt;&gt;"PAGO",H300&gt;G300),"Excede el documento (los posteriores suman más)",IF(AND(A300&lt;&gt;"CDP",C300=""),"Falta el documento previo","OK")))</f>
        <v/>
      </c>
    </row>
  </sheetData>
  <conditionalFormatting sqref="J4:J300">
    <cfRule type="cellIs" priority="1" operator="notEqual" dxfId="0">
      <formula>"OK"</formula>
    </cfRule>
  </conditionalFormatting>
  <dataValidations count="1">
    <dataValidation sqref="A4:A300" showDropDown="0" showInputMessage="0" showErrorMessage="0" allowBlank="0" type="list">
      <formula1>"CDP,RP,OBL,PAGO"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2026-10-10T14:29:33Z</dcterms:created>
  <dcterms:modified xmlns:dcterms="http://purl.org/dc/terms/" xmlns:xsi="http://www.w3.org/2001/XMLSchema-instance" xsi:type="dcterms:W3CDTF">2026-10-10T14:29:33Z</dcterms:modified>
</cp:coreProperties>
</file>