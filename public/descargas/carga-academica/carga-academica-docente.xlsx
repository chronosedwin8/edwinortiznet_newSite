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Asignaciones" sheetId="4" state="visible" r:id="rId4"/>
    <sheet xmlns:r="http://schemas.openxmlformats.org/officeDocument/2006/relationships" name="Resultados" sheetId="5" state="visible" r:id="rId5"/>
    <sheet xmlns:r="http://schemas.openxmlformats.org/officeDocument/2006/relationships" name="Cobertu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RESUMEN</t>
        </is>
      </c>
    </row>
    <row r="3">
      <c r="A3" t="inlineStr">
        <is>
          <t>Docentes</t>
        </is>
      </c>
      <c r="B3">
        <f>COUNTA(Resultados!A2:A7)</f>
        <v/>
      </c>
    </row>
    <row r="4">
      <c r="A4" t="inlineStr">
        <is>
          <t>Horas asignadas en total</t>
        </is>
      </c>
      <c r="B4">
        <f>SUM(Resultados!B2:B7)</f>
        <v/>
      </c>
    </row>
    <row r="5">
      <c r="A5" t="inlineStr">
        <is>
          <t>Horas requeridas por el plan (todos los grupos)</t>
        </is>
      </c>
      <c r="B5">
        <f>SUM(Cobertura!C2:C49)</f>
        <v/>
      </c>
    </row>
    <row r="6">
      <c r="A6" t="inlineStr">
        <is>
          <t>Horas sin cubrir</t>
        </is>
      </c>
      <c r="B6">
        <f>SUM(Cobertura!E2:E49)</f>
        <v/>
      </c>
    </row>
    <row r="7">
      <c r="A7" t="inlineStr">
        <is>
          <t>Combinaciones grupo-asignatura sin docente</t>
        </is>
      </c>
      <c r="B7">
        <f>COUNTIF(Cobertura!F2:F49,"Sin docente")</f>
        <v/>
      </c>
    </row>
    <row r="8">
      <c r="A8" t="inlineStr">
        <is>
          <t>Docentes que exceden el máximo</t>
        </is>
      </c>
      <c r="B8">
        <f>COUNTIF(Resultados!D2:D7,"Excede*")</f>
        <v/>
      </c>
    </row>
    <row r="9">
      <c r="A9" t="inlineStr">
        <is>
          <t>Docentes por debajo del umbral</t>
        </is>
      </c>
      <c r="B9">
        <f>COUNTIF(Resultados!D2:D7,"Por debajo*")</f>
        <v/>
      </c>
    </row>
    <row r="10">
      <c r="A10" t="inlineStr">
        <is>
          <t>Mayor carga (horas)</t>
        </is>
      </c>
      <c r="B10">
        <f>MAX(Resultados!B2:B7)</f>
        <v/>
      </c>
    </row>
    <row r="11">
      <c r="A11" t="inlineStr">
        <is>
          <t>Menor carga (horas)</t>
        </is>
      </c>
      <c r="B11">
        <f>MIN(Resultados!B2:B7)</f>
        <v/>
      </c>
    </row>
    <row r="12">
      <c r="A12" t="inlineStr">
        <is>
          <t>Horas por encima del máximo (suma)</t>
        </is>
      </c>
      <c r="B12">
        <f>SUMIF(Resultados!C2:C7,"&gt;0")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PARÁMETROS (editables). Verifica en tu colegio: Decreto 1850 de 2002, arts. 5 y 6 (compilado en el Decreto 1075 de 2015) y las instrucciones de tu secretaría de educación.</t>
        </is>
      </c>
    </row>
    <row r="3">
      <c r="A3" t="inlineStr">
        <is>
          <t>Asignación académica máxima semanal (secundaria y media, horas de 60 min)</t>
        </is>
      </c>
      <c r="B3" s="2" t="n">
        <v>22</v>
      </c>
    </row>
    <row r="4">
      <c r="A4" t="inlineStr">
        <is>
          <t>Umbral por debajo del cual se revisa (horas)</t>
        </is>
      </c>
      <c r="B4" s="2" t="n">
        <v>20</v>
      </c>
    </row>
    <row r="6">
      <c r="A6" t="inlineStr">
        <is>
          <t>Datos ficticios. En preescolar y primaria la asignación es igual a la jornada escolar; esta plantilla es para secundaria y media.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Asignatura</t>
        </is>
      </c>
      <c r="B1" s="3" t="inlineStr">
        <is>
          <t>Horas semanales por grupo</t>
        </is>
      </c>
    </row>
    <row r="2">
      <c r="A2" t="inlineStr">
        <is>
          <t>Matemáticas</t>
        </is>
      </c>
      <c r="B2" s="2" t="n">
        <v>5</v>
      </c>
    </row>
    <row r="3">
      <c r="A3" t="inlineStr">
        <is>
          <t>Lengua castellana</t>
        </is>
      </c>
      <c r="B3" s="2" t="n">
        <v>4</v>
      </c>
    </row>
    <row r="4">
      <c r="A4" t="inlineStr">
        <is>
          <t>Ciencias naturales</t>
        </is>
      </c>
      <c r="B4" s="2" t="n">
        <v>4</v>
      </c>
    </row>
    <row r="5">
      <c r="A5" t="inlineStr">
        <is>
          <t>Ciencias sociales</t>
        </is>
      </c>
      <c r="B5" s="2" t="n">
        <v>3</v>
      </c>
    </row>
    <row r="6">
      <c r="A6" t="inlineStr">
        <is>
          <t>Inglés</t>
        </is>
      </c>
      <c r="B6" s="2" t="n">
        <v>3</v>
      </c>
    </row>
    <row r="7">
      <c r="A7" t="inlineStr">
        <is>
          <t>Educación física</t>
        </is>
      </c>
      <c r="B7" s="2" t="n">
        <v>2</v>
      </c>
    </row>
    <row r="8">
      <c r="A8" t="inlineStr">
        <is>
          <t>Artes</t>
        </is>
      </c>
      <c r="B8" s="2" t="n">
        <v>2</v>
      </c>
    </row>
    <row r="9">
      <c r="A9" t="inlineStr">
        <is>
          <t>Tecnología</t>
        </is>
      </c>
      <c r="B9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6" customWidth="1" min="4" max="4"/>
    <col width="20" customWidth="1" min="5" max="5"/>
  </cols>
  <sheetData>
    <row r="1">
      <c r="A1" s="3" t="inlineStr">
        <is>
          <t>Docente</t>
        </is>
      </c>
      <c r="B1" s="3" t="inlineStr">
        <is>
          <t>Asignatura</t>
        </is>
      </c>
      <c r="C1" s="3" t="inlineStr">
        <is>
          <t>Grupo</t>
        </is>
      </c>
      <c r="D1" s="3" t="inlineStr">
        <is>
          <t>Horas semanales</t>
        </is>
      </c>
      <c r="E1" s="3" t="inlineStr">
        <is>
          <t>Estudiantes del grupo</t>
        </is>
      </c>
    </row>
    <row r="2">
      <c r="A2" s="2" t="inlineStr">
        <is>
          <t>Docente 1</t>
        </is>
      </c>
      <c r="B2" s="2" t="inlineStr">
        <is>
          <t>Matemáticas</t>
        </is>
      </c>
      <c r="C2" s="2" t="inlineStr">
        <is>
          <t>6A</t>
        </is>
      </c>
      <c r="D2" s="2" t="n">
        <v>5</v>
      </c>
      <c r="E2" s="2" t="n">
        <v>32</v>
      </c>
    </row>
    <row r="3">
      <c r="A3" s="2" t="inlineStr">
        <is>
          <t>Docente 1</t>
        </is>
      </c>
      <c r="B3" s="2" t="inlineStr">
        <is>
          <t>Matemáticas</t>
        </is>
      </c>
      <c r="C3" s="2" t="inlineStr">
        <is>
          <t>6B</t>
        </is>
      </c>
      <c r="D3" s="2" t="n">
        <v>5</v>
      </c>
      <c r="E3" s="2" t="n">
        <v>30</v>
      </c>
    </row>
    <row r="4">
      <c r="A4" s="2" t="inlineStr">
        <is>
          <t>Docente 1</t>
        </is>
      </c>
      <c r="B4" s="2" t="inlineStr">
        <is>
          <t>Matemáticas</t>
        </is>
      </c>
      <c r="C4" s="2" t="inlineStr">
        <is>
          <t>7A</t>
        </is>
      </c>
      <c r="D4" s="2" t="n">
        <v>5</v>
      </c>
      <c r="E4" s="2" t="n">
        <v>34</v>
      </c>
    </row>
    <row r="5">
      <c r="A5" s="2" t="inlineStr">
        <is>
          <t>Docente 1</t>
        </is>
      </c>
      <c r="B5" s="2" t="inlineStr">
        <is>
          <t>Matemáticas</t>
        </is>
      </c>
      <c r="C5" s="2" t="inlineStr">
        <is>
          <t>7B</t>
        </is>
      </c>
      <c r="D5" s="2" t="n">
        <v>5</v>
      </c>
      <c r="E5" s="2" t="n">
        <v>31</v>
      </c>
    </row>
    <row r="6">
      <c r="A6" s="2" t="inlineStr">
        <is>
          <t>Docente 1</t>
        </is>
      </c>
      <c r="B6" s="2" t="inlineStr">
        <is>
          <t>Matemáticas</t>
        </is>
      </c>
      <c r="C6" s="2" t="inlineStr">
        <is>
          <t>8A</t>
        </is>
      </c>
      <c r="D6" s="2" t="n">
        <v>5</v>
      </c>
      <c r="E6" s="2" t="n">
        <v>33</v>
      </c>
    </row>
    <row r="7">
      <c r="A7" s="2" t="inlineStr">
        <is>
          <t>Docente 2</t>
        </is>
      </c>
      <c r="B7" s="2" t="inlineStr">
        <is>
          <t>Lengua castellana</t>
        </is>
      </c>
      <c r="C7" s="2" t="inlineStr">
        <is>
          <t>6A</t>
        </is>
      </c>
      <c r="D7" s="2" t="n">
        <v>4</v>
      </c>
      <c r="E7" s="2" t="n">
        <v>32</v>
      </c>
    </row>
    <row r="8">
      <c r="A8" s="2" t="inlineStr">
        <is>
          <t>Docente 2</t>
        </is>
      </c>
      <c r="B8" s="2" t="inlineStr">
        <is>
          <t>Lengua castellana</t>
        </is>
      </c>
      <c r="C8" s="2" t="inlineStr">
        <is>
          <t>6B</t>
        </is>
      </c>
      <c r="D8" s="2" t="n">
        <v>4</v>
      </c>
      <c r="E8" s="2" t="n">
        <v>30</v>
      </c>
    </row>
    <row r="9">
      <c r="A9" s="2" t="inlineStr">
        <is>
          <t>Docente 2</t>
        </is>
      </c>
      <c r="B9" s="2" t="inlineStr">
        <is>
          <t>Lengua castellana</t>
        </is>
      </c>
      <c r="C9" s="2" t="inlineStr">
        <is>
          <t>7A</t>
        </is>
      </c>
      <c r="D9" s="2" t="n">
        <v>4</v>
      </c>
      <c r="E9" s="2" t="n">
        <v>34</v>
      </c>
    </row>
    <row r="10">
      <c r="A10" s="2" t="inlineStr">
        <is>
          <t>Docente 2</t>
        </is>
      </c>
      <c r="B10" s="2" t="inlineStr">
        <is>
          <t>Lengua castellana</t>
        </is>
      </c>
      <c r="C10" s="2" t="inlineStr">
        <is>
          <t>7B</t>
        </is>
      </c>
      <c r="D10" s="2" t="n">
        <v>4</v>
      </c>
      <c r="E10" s="2" t="n">
        <v>31</v>
      </c>
    </row>
    <row r="11">
      <c r="A11" s="2" t="inlineStr">
        <is>
          <t>Docente 2</t>
        </is>
      </c>
      <c r="B11" s="2" t="inlineStr">
        <is>
          <t>Lengua castellana</t>
        </is>
      </c>
      <c r="C11" s="2" t="inlineStr">
        <is>
          <t>8A</t>
        </is>
      </c>
      <c r="D11" s="2" t="n">
        <v>4</v>
      </c>
      <c r="E11" s="2" t="n">
        <v>33</v>
      </c>
    </row>
    <row r="12">
      <c r="A12" s="2" t="inlineStr">
        <is>
          <t>Docente 2</t>
        </is>
      </c>
      <c r="B12" s="2" t="inlineStr">
        <is>
          <t>Lengua castellana</t>
        </is>
      </c>
      <c r="C12" s="2" t="inlineStr">
        <is>
          <t>8B</t>
        </is>
      </c>
      <c r="D12" s="2" t="n">
        <v>4</v>
      </c>
      <c r="E12" s="2" t="n">
        <v>29</v>
      </c>
    </row>
    <row r="13">
      <c r="A13" s="2" t="inlineStr">
        <is>
          <t>Docente 3</t>
        </is>
      </c>
      <c r="B13" s="2" t="inlineStr">
        <is>
          <t>Ciencias naturales</t>
        </is>
      </c>
      <c r="C13" s="2" t="inlineStr">
        <is>
          <t>6A</t>
        </is>
      </c>
      <c r="D13" s="2" t="n">
        <v>4</v>
      </c>
      <c r="E13" s="2" t="n">
        <v>32</v>
      </c>
    </row>
    <row r="14">
      <c r="A14" s="2" t="inlineStr">
        <is>
          <t>Docente 3</t>
        </is>
      </c>
      <c r="B14" s="2" t="inlineStr">
        <is>
          <t>Ciencias naturales</t>
        </is>
      </c>
      <c r="C14" s="2" t="inlineStr">
        <is>
          <t>6B</t>
        </is>
      </c>
      <c r="D14" s="2" t="n">
        <v>4</v>
      </c>
      <c r="E14" s="2" t="n">
        <v>30</v>
      </c>
    </row>
    <row r="15">
      <c r="A15" s="2" t="inlineStr">
        <is>
          <t>Docente 3</t>
        </is>
      </c>
      <c r="B15" s="2" t="inlineStr">
        <is>
          <t>Ciencias naturales</t>
        </is>
      </c>
      <c r="C15" s="2" t="inlineStr">
        <is>
          <t>7A</t>
        </is>
      </c>
      <c r="D15" s="2" t="n">
        <v>4</v>
      </c>
      <c r="E15" s="2" t="n">
        <v>34</v>
      </c>
    </row>
    <row r="16">
      <c r="A16" s="2" t="inlineStr">
        <is>
          <t>Docente 3</t>
        </is>
      </c>
      <c r="B16" s="2" t="inlineStr">
        <is>
          <t>Ciencias naturales</t>
        </is>
      </c>
      <c r="C16" s="2" t="inlineStr">
        <is>
          <t>7B</t>
        </is>
      </c>
      <c r="D16" s="2" t="n">
        <v>4</v>
      </c>
      <c r="E16" s="2" t="n">
        <v>31</v>
      </c>
    </row>
    <row r="17">
      <c r="A17" s="2" t="inlineStr">
        <is>
          <t>Docente 3</t>
        </is>
      </c>
      <c r="B17" s="2" t="inlineStr">
        <is>
          <t>Ciencias naturales</t>
        </is>
      </c>
      <c r="C17" s="2" t="inlineStr">
        <is>
          <t>8A</t>
        </is>
      </c>
      <c r="D17" s="2" t="n">
        <v>4</v>
      </c>
      <c r="E17" s="2" t="n">
        <v>33</v>
      </c>
    </row>
    <row r="18">
      <c r="A18" s="2" t="inlineStr">
        <is>
          <t>Docente 3</t>
        </is>
      </c>
      <c r="B18" s="2" t="inlineStr">
        <is>
          <t>Tecnología</t>
        </is>
      </c>
      <c r="C18" s="2" t="inlineStr">
        <is>
          <t>8B</t>
        </is>
      </c>
      <c r="D18" s="2" t="n">
        <v>2</v>
      </c>
      <c r="E18" s="2" t="n">
        <v>29</v>
      </c>
    </row>
    <row r="19">
      <c r="A19" s="2" t="inlineStr">
        <is>
          <t>Docente 4</t>
        </is>
      </c>
      <c r="B19" s="2" t="inlineStr">
        <is>
          <t>Ciencias sociales</t>
        </is>
      </c>
      <c r="C19" s="2" t="inlineStr">
        <is>
          <t>6A</t>
        </is>
      </c>
      <c r="D19" s="2" t="n">
        <v>3</v>
      </c>
      <c r="E19" s="2" t="n">
        <v>32</v>
      </c>
    </row>
    <row r="20">
      <c r="A20" s="2" t="inlineStr">
        <is>
          <t>Docente 4</t>
        </is>
      </c>
      <c r="B20" s="2" t="inlineStr">
        <is>
          <t>Ciencias sociales</t>
        </is>
      </c>
      <c r="C20" s="2" t="inlineStr">
        <is>
          <t>6B</t>
        </is>
      </c>
      <c r="D20" s="2" t="n">
        <v>3</v>
      </c>
      <c r="E20" s="2" t="n">
        <v>30</v>
      </c>
    </row>
    <row r="21">
      <c r="A21" s="2" t="inlineStr">
        <is>
          <t>Docente 4</t>
        </is>
      </c>
      <c r="B21" s="2" t="inlineStr">
        <is>
          <t>Ciencias sociales</t>
        </is>
      </c>
      <c r="C21" s="2" t="inlineStr">
        <is>
          <t>7A</t>
        </is>
      </c>
      <c r="D21" s="2" t="n">
        <v>3</v>
      </c>
      <c r="E21" s="2" t="n">
        <v>34</v>
      </c>
    </row>
    <row r="22">
      <c r="A22" s="2" t="inlineStr">
        <is>
          <t>Docente 4</t>
        </is>
      </c>
      <c r="B22" s="2" t="inlineStr">
        <is>
          <t>Ciencias sociales</t>
        </is>
      </c>
      <c r="C22" s="2" t="inlineStr">
        <is>
          <t>7B</t>
        </is>
      </c>
      <c r="D22" s="2" t="n">
        <v>3</v>
      </c>
      <c r="E22" s="2" t="n">
        <v>31</v>
      </c>
    </row>
    <row r="23">
      <c r="A23" s="2" t="inlineStr">
        <is>
          <t>Docente 4</t>
        </is>
      </c>
      <c r="B23" s="2" t="inlineStr">
        <is>
          <t>Ciencias sociales</t>
        </is>
      </c>
      <c r="C23" s="2" t="inlineStr">
        <is>
          <t>8A</t>
        </is>
      </c>
      <c r="D23" s="2" t="n">
        <v>3</v>
      </c>
      <c r="E23" s="2" t="n">
        <v>33</v>
      </c>
    </row>
    <row r="24">
      <c r="A24" s="2" t="inlineStr">
        <is>
          <t>Docente 4</t>
        </is>
      </c>
      <c r="B24" s="2" t="inlineStr">
        <is>
          <t>Ciencias sociales</t>
        </is>
      </c>
      <c r="C24" s="2" t="inlineStr">
        <is>
          <t>8B</t>
        </is>
      </c>
      <c r="D24" s="2" t="n">
        <v>3</v>
      </c>
      <c r="E24" s="2" t="n">
        <v>29</v>
      </c>
    </row>
    <row r="25">
      <c r="A25" s="2" t="inlineStr">
        <is>
          <t>Docente 4</t>
        </is>
      </c>
      <c r="B25" s="2" t="inlineStr">
        <is>
          <t>Artes</t>
        </is>
      </c>
      <c r="C25" s="2" t="inlineStr">
        <is>
          <t>6A</t>
        </is>
      </c>
      <c r="D25" s="2" t="n">
        <v>2</v>
      </c>
      <c r="E25" s="2" t="n">
        <v>32</v>
      </c>
    </row>
    <row r="26">
      <c r="A26" s="2" t="inlineStr">
        <is>
          <t>Docente 4</t>
        </is>
      </c>
      <c r="B26" s="2" t="inlineStr">
        <is>
          <t>Artes</t>
        </is>
      </c>
      <c r="C26" s="2" t="inlineStr">
        <is>
          <t>6B</t>
        </is>
      </c>
      <c r="D26" s="2" t="n">
        <v>2</v>
      </c>
      <c r="E26" s="2" t="n">
        <v>30</v>
      </c>
    </row>
    <row r="27">
      <c r="A27" s="2" t="inlineStr">
        <is>
          <t>Docente 5</t>
        </is>
      </c>
      <c r="B27" s="2" t="inlineStr">
        <is>
          <t>Inglés</t>
        </is>
      </c>
      <c r="C27" s="2" t="inlineStr">
        <is>
          <t>6A</t>
        </is>
      </c>
      <c r="D27" s="2" t="n">
        <v>3</v>
      </c>
      <c r="E27" s="2" t="n">
        <v>32</v>
      </c>
    </row>
    <row r="28">
      <c r="A28" s="2" t="inlineStr">
        <is>
          <t>Docente 5</t>
        </is>
      </c>
      <c r="B28" s="2" t="inlineStr">
        <is>
          <t>Inglés</t>
        </is>
      </c>
      <c r="C28" s="2" t="inlineStr">
        <is>
          <t>6B</t>
        </is>
      </c>
      <c r="D28" s="2" t="n">
        <v>3</v>
      </c>
      <c r="E28" s="2" t="n">
        <v>30</v>
      </c>
    </row>
    <row r="29">
      <c r="A29" s="2" t="inlineStr">
        <is>
          <t>Docente 5</t>
        </is>
      </c>
      <c r="B29" s="2" t="inlineStr">
        <is>
          <t>Inglés</t>
        </is>
      </c>
      <c r="C29" s="2" t="inlineStr">
        <is>
          <t>7A</t>
        </is>
      </c>
      <c r="D29" s="2" t="n">
        <v>3</v>
      </c>
      <c r="E29" s="2" t="n">
        <v>34</v>
      </c>
    </row>
    <row r="30">
      <c r="A30" s="2" t="inlineStr">
        <is>
          <t>Docente 5</t>
        </is>
      </c>
      <c r="B30" s="2" t="inlineStr">
        <is>
          <t>Inglés</t>
        </is>
      </c>
      <c r="C30" s="2" t="inlineStr">
        <is>
          <t>7B</t>
        </is>
      </c>
      <c r="D30" s="2" t="n">
        <v>3</v>
      </c>
      <c r="E30" s="2" t="n">
        <v>31</v>
      </c>
    </row>
    <row r="31">
      <c r="A31" s="2" t="inlineStr">
        <is>
          <t>Docente 5</t>
        </is>
      </c>
      <c r="B31" s="2" t="inlineStr">
        <is>
          <t>Inglés</t>
        </is>
      </c>
      <c r="C31" s="2" t="inlineStr">
        <is>
          <t>8A</t>
        </is>
      </c>
      <c r="D31" s="2" t="n">
        <v>3</v>
      </c>
      <c r="E31" s="2" t="n">
        <v>33</v>
      </c>
    </row>
    <row r="32">
      <c r="A32" s="2" t="inlineStr">
        <is>
          <t>Docente 5</t>
        </is>
      </c>
      <c r="B32" s="2" t="inlineStr">
        <is>
          <t>Inglés</t>
        </is>
      </c>
      <c r="C32" s="2" t="inlineStr">
        <is>
          <t>8B</t>
        </is>
      </c>
      <c r="D32" s="2" t="n">
        <v>3</v>
      </c>
      <c r="E32" s="2" t="n">
        <v>29</v>
      </c>
    </row>
    <row r="33">
      <c r="A33" s="2" t="inlineStr">
        <is>
          <t>Docente 5</t>
        </is>
      </c>
      <c r="B33" s="2" t="inlineStr">
        <is>
          <t>Tecnología</t>
        </is>
      </c>
      <c r="C33" s="2" t="inlineStr">
        <is>
          <t>6A</t>
        </is>
      </c>
      <c r="D33" s="2" t="n">
        <v>2</v>
      </c>
      <c r="E33" s="2" t="n">
        <v>32</v>
      </c>
    </row>
    <row r="34">
      <c r="A34" s="2" t="inlineStr">
        <is>
          <t>Docente 5</t>
        </is>
      </c>
      <c r="B34" s="2" t="inlineStr">
        <is>
          <t>Tecnología</t>
        </is>
      </c>
      <c r="C34" s="2" t="inlineStr">
        <is>
          <t>6B</t>
        </is>
      </c>
      <c r="D34" s="2" t="n">
        <v>2</v>
      </c>
      <c r="E34" s="2" t="n">
        <v>30</v>
      </c>
    </row>
    <row r="35">
      <c r="A35" s="2" t="inlineStr">
        <is>
          <t>Docente 6</t>
        </is>
      </c>
      <c r="B35" s="2" t="inlineStr">
        <is>
          <t>Educación física</t>
        </is>
      </c>
      <c r="C35" s="2" t="inlineStr">
        <is>
          <t>6A</t>
        </is>
      </c>
      <c r="D35" s="2" t="n">
        <v>2</v>
      </c>
      <c r="E35" s="2" t="n">
        <v>32</v>
      </c>
    </row>
    <row r="36">
      <c r="A36" s="2" t="inlineStr">
        <is>
          <t>Docente 6</t>
        </is>
      </c>
      <c r="B36" s="2" t="inlineStr">
        <is>
          <t>Educación física</t>
        </is>
      </c>
      <c r="C36" s="2" t="inlineStr">
        <is>
          <t>6B</t>
        </is>
      </c>
      <c r="D36" s="2" t="n">
        <v>2</v>
      </c>
      <c r="E36" s="2" t="n">
        <v>30</v>
      </c>
    </row>
    <row r="37">
      <c r="A37" s="2" t="inlineStr">
        <is>
          <t>Docente 6</t>
        </is>
      </c>
      <c r="B37" s="2" t="inlineStr">
        <is>
          <t>Educación física</t>
        </is>
      </c>
      <c r="C37" s="2" t="inlineStr">
        <is>
          <t>7A</t>
        </is>
      </c>
      <c r="D37" s="2" t="n">
        <v>2</v>
      </c>
      <c r="E37" s="2" t="n">
        <v>34</v>
      </c>
    </row>
    <row r="38">
      <c r="A38" s="2" t="inlineStr">
        <is>
          <t>Docente 6</t>
        </is>
      </c>
      <c r="B38" s="2" t="inlineStr">
        <is>
          <t>Educación física</t>
        </is>
      </c>
      <c r="C38" s="2" t="inlineStr">
        <is>
          <t>7B</t>
        </is>
      </c>
      <c r="D38" s="2" t="n">
        <v>2</v>
      </c>
      <c r="E38" s="2" t="n">
        <v>31</v>
      </c>
    </row>
    <row r="39">
      <c r="A39" s="2" t="inlineStr">
        <is>
          <t>Docente 6</t>
        </is>
      </c>
      <c r="B39" s="2" t="inlineStr">
        <is>
          <t>Educación física</t>
        </is>
      </c>
      <c r="C39" s="2" t="inlineStr">
        <is>
          <t>8A</t>
        </is>
      </c>
      <c r="D39" s="2" t="n">
        <v>2</v>
      </c>
      <c r="E39" s="2" t="n">
        <v>33</v>
      </c>
    </row>
    <row r="40">
      <c r="A40" s="2" t="inlineStr">
        <is>
          <t>Docente 6</t>
        </is>
      </c>
      <c r="B40" s="2" t="inlineStr">
        <is>
          <t>Educación física</t>
        </is>
      </c>
      <c r="C40" s="2" t="inlineStr">
        <is>
          <t>8B</t>
        </is>
      </c>
      <c r="D40" s="2" t="n">
        <v>2</v>
      </c>
      <c r="E40" s="2" t="n">
        <v>29</v>
      </c>
    </row>
    <row r="41">
      <c r="A41" s="2" t="inlineStr">
        <is>
          <t>Docente 6</t>
        </is>
      </c>
      <c r="B41" s="2" t="inlineStr">
        <is>
          <t>Artes</t>
        </is>
      </c>
      <c r="C41" s="2" t="inlineStr">
        <is>
          <t>7A</t>
        </is>
      </c>
      <c r="D41" s="2" t="n">
        <v>2</v>
      </c>
      <c r="E41" s="2" t="n">
        <v>34</v>
      </c>
    </row>
    <row r="42">
      <c r="A42" s="2" t="inlineStr">
        <is>
          <t>Docente 6</t>
        </is>
      </c>
      <c r="B42" s="2" t="inlineStr">
        <is>
          <t>Artes</t>
        </is>
      </c>
      <c r="C42" s="2" t="inlineStr">
        <is>
          <t>7B</t>
        </is>
      </c>
      <c r="D42" s="2" t="n">
        <v>2</v>
      </c>
      <c r="E42" s="2" t="n">
        <v>31</v>
      </c>
    </row>
    <row r="43">
      <c r="A43" s="2" t="inlineStr">
        <is>
          <t>Docente 6</t>
        </is>
      </c>
      <c r="B43" s="2" t="inlineStr">
        <is>
          <t>Artes</t>
        </is>
      </c>
      <c r="C43" s="2" t="inlineStr">
        <is>
          <t>8A</t>
        </is>
      </c>
      <c r="D43" s="2" t="n">
        <v>2</v>
      </c>
      <c r="E43" s="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2" customWidth="1" min="4" max="4"/>
    <col width="12" customWidth="1" min="5" max="5"/>
    <col width="22" customWidth="1" min="6" max="6"/>
    <col width="20" customWidth="1" min="7" max="7"/>
  </cols>
  <sheetData>
    <row r="1" ht="48" customHeight="1">
      <c r="A1" s="3" t="inlineStr">
        <is>
          <t>Docente</t>
        </is>
      </c>
      <c r="B1" s="3" t="inlineStr">
        <is>
          <t>Horas asignadas</t>
        </is>
      </c>
      <c r="C1" s="3" t="inlineStr">
        <is>
          <t>Diferencia con el máximo</t>
        </is>
      </c>
      <c r="D1" s="3" t="inlineStr">
        <is>
          <t>Estado</t>
        </is>
      </c>
      <c r="E1" s="3" t="inlineStr">
        <is>
          <t>Grupos distintos</t>
        </is>
      </c>
      <c r="F1" s="3" t="inlineStr">
        <is>
          <t>Asignaturas distintas (preparaciones)</t>
        </is>
      </c>
      <c r="G1" s="3" t="inlineStr">
        <is>
          <t>Estudiantes (suma por asignación)</t>
        </is>
      </c>
    </row>
    <row r="2">
      <c r="A2" t="inlineStr">
        <is>
          <t>Docente 1</t>
        </is>
      </c>
      <c r="B2">
        <f>SUMIFS(Asignaciones!$D$2:$D$43,Asignaciones!$A$2:$A$43,A2)</f>
        <v/>
      </c>
      <c r="C2">
        <f>B2-Parametros!$B$3</f>
        <v/>
      </c>
      <c r="D2">
        <f>IF(B2&gt;Parametros!$B$3,"Excede el máximo",IF(B2&lt;Parametros!$B$4,"Por debajo del umbral","Dentro"))</f>
        <v/>
      </c>
      <c r="E2" s="4">
        <f>SUMPRODUCT((Asignaciones!$A$2:$A$43=A2)/COUNTIFS(Asignaciones!$A$2:$A$43,Asignaciones!$A$2:$A$43,Asignaciones!$C$2:$C$43,Asignaciones!$C$2:$C$43))</f>
        <v/>
      </c>
      <c r="F2" s="4">
        <f>SUMPRODUCT((Asignaciones!$A$2:$A$43=A2)/COUNTIFS(Asignaciones!$A$2:$A$43,Asignaciones!$A$2:$A$43,Asignaciones!$B$2:$B$43,Asignaciones!$B$2:$B$43))</f>
        <v/>
      </c>
      <c r="G2">
        <f>SUMIFS(Asignaciones!$E$2:$E$43,Asignaciones!$A$2:$A$43,A2)</f>
        <v/>
      </c>
    </row>
    <row r="3">
      <c r="A3" t="inlineStr">
        <is>
          <t>Docente 2</t>
        </is>
      </c>
      <c r="B3">
        <f>SUMIFS(Asignaciones!$D$2:$D$43,Asignaciones!$A$2:$A$43,A3)</f>
        <v/>
      </c>
      <c r="C3">
        <f>B3-Parametros!$B$3</f>
        <v/>
      </c>
      <c r="D3">
        <f>IF(B3&gt;Parametros!$B$3,"Excede el máximo",IF(B3&lt;Parametros!$B$4,"Por debajo del umbral","Dentro"))</f>
        <v/>
      </c>
      <c r="E3" s="4">
        <f>SUMPRODUCT((Asignaciones!$A$2:$A$43=A3)/COUNTIFS(Asignaciones!$A$2:$A$43,Asignaciones!$A$2:$A$43,Asignaciones!$C$2:$C$43,Asignaciones!$C$2:$C$43))</f>
        <v/>
      </c>
      <c r="F3" s="4">
        <f>SUMPRODUCT((Asignaciones!$A$2:$A$43=A3)/COUNTIFS(Asignaciones!$A$2:$A$43,Asignaciones!$A$2:$A$43,Asignaciones!$B$2:$B$43,Asignaciones!$B$2:$B$43))</f>
        <v/>
      </c>
      <c r="G3">
        <f>SUMIFS(Asignaciones!$E$2:$E$43,Asignaciones!$A$2:$A$43,A3)</f>
        <v/>
      </c>
    </row>
    <row r="4">
      <c r="A4" t="inlineStr">
        <is>
          <t>Docente 3</t>
        </is>
      </c>
      <c r="B4">
        <f>SUMIFS(Asignaciones!$D$2:$D$43,Asignaciones!$A$2:$A$43,A4)</f>
        <v/>
      </c>
      <c r="C4">
        <f>B4-Parametros!$B$3</f>
        <v/>
      </c>
      <c r="D4">
        <f>IF(B4&gt;Parametros!$B$3,"Excede el máximo",IF(B4&lt;Parametros!$B$4,"Por debajo del umbral","Dentro"))</f>
        <v/>
      </c>
      <c r="E4" s="4">
        <f>SUMPRODUCT((Asignaciones!$A$2:$A$43=A4)/COUNTIFS(Asignaciones!$A$2:$A$43,Asignaciones!$A$2:$A$43,Asignaciones!$C$2:$C$43,Asignaciones!$C$2:$C$43))</f>
        <v/>
      </c>
      <c r="F4" s="4">
        <f>SUMPRODUCT((Asignaciones!$A$2:$A$43=A4)/COUNTIFS(Asignaciones!$A$2:$A$43,Asignaciones!$A$2:$A$43,Asignaciones!$B$2:$B$43,Asignaciones!$B$2:$B$43))</f>
        <v/>
      </c>
      <c r="G4">
        <f>SUMIFS(Asignaciones!$E$2:$E$43,Asignaciones!$A$2:$A$43,A4)</f>
        <v/>
      </c>
    </row>
    <row r="5">
      <c r="A5" t="inlineStr">
        <is>
          <t>Docente 4</t>
        </is>
      </c>
      <c r="B5">
        <f>SUMIFS(Asignaciones!$D$2:$D$43,Asignaciones!$A$2:$A$43,A5)</f>
        <v/>
      </c>
      <c r="C5">
        <f>B5-Parametros!$B$3</f>
        <v/>
      </c>
      <c r="D5">
        <f>IF(B5&gt;Parametros!$B$3,"Excede el máximo",IF(B5&lt;Parametros!$B$4,"Por debajo del umbral","Dentro"))</f>
        <v/>
      </c>
      <c r="E5" s="4">
        <f>SUMPRODUCT((Asignaciones!$A$2:$A$43=A5)/COUNTIFS(Asignaciones!$A$2:$A$43,Asignaciones!$A$2:$A$43,Asignaciones!$C$2:$C$43,Asignaciones!$C$2:$C$43))</f>
        <v/>
      </c>
      <c r="F5" s="4">
        <f>SUMPRODUCT((Asignaciones!$A$2:$A$43=A5)/COUNTIFS(Asignaciones!$A$2:$A$43,Asignaciones!$A$2:$A$43,Asignaciones!$B$2:$B$43,Asignaciones!$B$2:$B$43))</f>
        <v/>
      </c>
      <c r="G5">
        <f>SUMIFS(Asignaciones!$E$2:$E$43,Asignaciones!$A$2:$A$43,A5)</f>
        <v/>
      </c>
    </row>
    <row r="6">
      <c r="A6" t="inlineStr">
        <is>
          <t>Docente 5</t>
        </is>
      </c>
      <c r="B6">
        <f>SUMIFS(Asignaciones!$D$2:$D$43,Asignaciones!$A$2:$A$43,A6)</f>
        <v/>
      </c>
      <c r="C6">
        <f>B6-Parametros!$B$3</f>
        <v/>
      </c>
      <c r="D6">
        <f>IF(B6&gt;Parametros!$B$3,"Excede el máximo",IF(B6&lt;Parametros!$B$4,"Por debajo del umbral","Dentro"))</f>
        <v/>
      </c>
      <c r="E6" s="4">
        <f>SUMPRODUCT((Asignaciones!$A$2:$A$43=A6)/COUNTIFS(Asignaciones!$A$2:$A$43,Asignaciones!$A$2:$A$43,Asignaciones!$C$2:$C$43,Asignaciones!$C$2:$C$43))</f>
        <v/>
      </c>
      <c r="F6" s="4">
        <f>SUMPRODUCT((Asignaciones!$A$2:$A$43=A6)/COUNTIFS(Asignaciones!$A$2:$A$43,Asignaciones!$A$2:$A$43,Asignaciones!$B$2:$B$43,Asignaciones!$B$2:$B$43))</f>
        <v/>
      </c>
      <c r="G6">
        <f>SUMIFS(Asignaciones!$E$2:$E$43,Asignaciones!$A$2:$A$43,A6)</f>
        <v/>
      </c>
    </row>
    <row r="7">
      <c r="A7" t="inlineStr">
        <is>
          <t>Docente 6</t>
        </is>
      </c>
      <c r="B7">
        <f>SUMIFS(Asignaciones!$D$2:$D$43,Asignaciones!$A$2:$A$43,A7)</f>
        <v/>
      </c>
      <c r="C7">
        <f>B7-Parametros!$B$3</f>
        <v/>
      </c>
      <c r="D7">
        <f>IF(B7&gt;Parametros!$B$3,"Excede el máximo",IF(B7&lt;Parametros!$B$4,"Por debajo del umbral","Dentro"))</f>
        <v/>
      </c>
      <c r="E7" s="4">
        <f>SUMPRODUCT((Asignaciones!$A$2:$A$43=A7)/COUNTIFS(Asignaciones!$A$2:$A$43,Asignaciones!$A$2:$A$43,Asignaciones!$C$2:$C$43,Asignaciones!$C$2:$C$43))</f>
        <v/>
      </c>
      <c r="F7" s="4">
        <f>SUMPRODUCT((Asignaciones!$A$2:$A$43=A7)/COUNTIFS(Asignaciones!$A$2:$A$43,Asignaciones!$A$2:$A$43,Asignaciones!$B$2:$B$43,Asignaciones!$B$2:$B$43))</f>
        <v/>
      </c>
      <c r="G7">
        <f>SUMIFS(Asignaciones!$E$2:$E$43,Asignaciones!$A$2:$A$43,A7)</f>
        <v/>
      </c>
    </row>
  </sheetData>
  <conditionalFormatting sqref="D2:D7">
    <cfRule type="cellIs" priority="1" operator="notEqual" dxfId="0">
      <formula>"Dentro"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3" t="inlineStr">
        <is>
          <t>Grupo</t>
        </is>
      </c>
      <c r="B1" s="3" t="inlineStr">
        <is>
          <t>Asignatura</t>
        </is>
      </c>
      <c r="C1" s="3" t="inlineStr">
        <is>
          <t>Horas requeridas</t>
        </is>
      </c>
      <c r="D1" s="3" t="inlineStr">
        <is>
          <t>Horas asignadas</t>
        </is>
      </c>
      <c r="E1" s="3" t="inlineStr">
        <is>
          <t>Horas sin cubrir</t>
        </is>
      </c>
      <c r="F1" s="3" t="inlineStr">
        <is>
          <t>Estado</t>
        </is>
      </c>
    </row>
    <row r="2">
      <c r="A2" t="inlineStr">
        <is>
          <t>6A</t>
        </is>
      </c>
      <c r="B2" t="inlineStr">
        <is>
          <t>Matemáticas</t>
        </is>
      </c>
      <c r="C2">
        <f>VLOOKUP(B2,Plan!$A$2:$B$9,2,FALSE)</f>
        <v/>
      </c>
      <c r="D2">
        <f>SUMIFS(Asignaciones!$D$2:$D$43,Asignaciones!$B$2:$B$43,B2,Asignaciones!$C$2:$C$43,A2)</f>
        <v/>
      </c>
      <c r="E2">
        <f>MAX(0,C2-D2)</f>
        <v/>
      </c>
      <c r="F2">
        <f>IF(E2&gt;0,"Sin docente","Cubierta")</f>
        <v/>
      </c>
    </row>
    <row r="3">
      <c r="A3" t="inlineStr">
        <is>
          <t>6A</t>
        </is>
      </c>
      <c r="B3" t="inlineStr">
        <is>
          <t>Lengua castellana</t>
        </is>
      </c>
      <c r="C3">
        <f>VLOOKUP(B3,Plan!$A$2:$B$9,2,FALSE)</f>
        <v/>
      </c>
      <c r="D3">
        <f>SUMIFS(Asignaciones!$D$2:$D$43,Asignaciones!$B$2:$B$43,B3,Asignaciones!$C$2:$C$43,A3)</f>
        <v/>
      </c>
      <c r="E3">
        <f>MAX(0,C3-D3)</f>
        <v/>
      </c>
      <c r="F3">
        <f>IF(E3&gt;0,"Sin docente","Cubierta")</f>
        <v/>
      </c>
    </row>
    <row r="4">
      <c r="A4" t="inlineStr">
        <is>
          <t>6A</t>
        </is>
      </c>
      <c r="B4" t="inlineStr">
        <is>
          <t>Ciencias naturales</t>
        </is>
      </c>
      <c r="C4">
        <f>VLOOKUP(B4,Plan!$A$2:$B$9,2,FALSE)</f>
        <v/>
      </c>
      <c r="D4">
        <f>SUMIFS(Asignaciones!$D$2:$D$43,Asignaciones!$B$2:$B$43,B4,Asignaciones!$C$2:$C$43,A4)</f>
        <v/>
      </c>
      <c r="E4">
        <f>MAX(0,C4-D4)</f>
        <v/>
      </c>
      <c r="F4">
        <f>IF(E4&gt;0,"Sin docente","Cubierta")</f>
        <v/>
      </c>
    </row>
    <row r="5">
      <c r="A5" t="inlineStr">
        <is>
          <t>6A</t>
        </is>
      </c>
      <c r="B5" t="inlineStr">
        <is>
          <t>Ciencias sociales</t>
        </is>
      </c>
      <c r="C5">
        <f>VLOOKUP(B5,Plan!$A$2:$B$9,2,FALSE)</f>
        <v/>
      </c>
      <c r="D5">
        <f>SUMIFS(Asignaciones!$D$2:$D$43,Asignaciones!$B$2:$B$43,B5,Asignaciones!$C$2:$C$43,A5)</f>
        <v/>
      </c>
      <c r="E5">
        <f>MAX(0,C5-D5)</f>
        <v/>
      </c>
      <c r="F5">
        <f>IF(E5&gt;0,"Sin docente","Cubierta")</f>
        <v/>
      </c>
    </row>
    <row r="6">
      <c r="A6" t="inlineStr">
        <is>
          <t>6A</t>
        </is>
      </c>
      <c r="B6" t="inlineStr">
        <is>
          <t>Inglés</t>
        </is>
      </c>
      <c r="C6">
        <f>VLOOKUP(B6,Plan!$A$2:$B$9,2,FALSE)</f>
        <v/>
      </c>
      <c r="D6">
        <f>SUMIFS(Asignaciones!$D$2:$D$43,Asignaciones!$B$2:$B$43,B6,Asignaciones!$C$2:$C$43,A6)</f>
        <v/>
      </c>
      <c r="E6">
        <f>MAX(0,C6-D6)</f>
        <v/>
      </c>
      <c r="F6">
        <f>IF(E6&gt;0,"Sin docente","Cubierta")</f>
        <v/>
      </c>
    </row>
    <row r="7">
      <c r="A7" t="inlineStr">
        <is>
          <t>6A</t>
        </is>
      </c>
      <c r="B7" t="inlineStr">
        <is>
          <t>Educación física</t>
        </is>
      </c>
      <c r="C7">
        <f>VLOOKUP(B7,Plan!$A$2:$B$9,2,FALSE)</f>
        <v/>
      </c>
      <c r="D7">
        <f>SUMIFS(Asignaciones!$D$2:$D$43,Asignaciones!$B$2:$B$43,B7,Asignaciones!$C$2:$C$43,A7)</f>
        <v/>
      </c>
      <c r="E7">
        <f>MAX(0,C7-D7)</f>
        <v/>
      </c>
      <c r="F7">
        <f>IF(E7&gt;0,"Sin docente","Cubierta")</f>
        <v/>
      </c>
    </row>
    <row r="8">
      <c r="A8" t="inlineStr">
        <is>
          <t>6A</t>
        </is>
      </c>
      <c r="B8" t="inlineStr">
        <is>
          <t>Artes</t>
        </is>
      </c>
      <c r="C8">
        <f>VLOOKUP(B8,Plan!$A$2:$B$9,2,FALSE)</f>
        <v/>
      </c>
      <c r="D8">
        <f>SUMIFS(Asignaciones!$D$2:$D$43,Asignaciones!$B$2:$B$43,B8,Asignaciones!$C$2:$C$43,A8)</f>
        <v/>
      </c>
      <c r="E8">
        <f>MAX(0,C8-D8)</f>
        <v/>
      </c>
      <c r="F8">
        <f>IF(E8&gt;0,"Sin docente","Cubierta")</f>
        <v/>
      </c>
    </row>
    <row r="9">
      <c r="A9" t="inlineStr">
        <is>
          <t>6A</t>
        </is>
      </c>
      <c r="B9" t="inlineStr">
        <is>
          <t>Tecnología</t>
        </is>
      </c>
      <c r="C9">
        <f>VLOOKUP(B9,Plan!$A$2:$B$9,2,FALSE)</f>
        <v/>
      </c>
      <c r="D9">
        <f>SUMIFS(Asignaciones!$D$2:$D$43,Asignaciones!$B$2:$B$43,B9,Asignaciones!$C$2:$C$43,A9)</f>
        <v/>
      </c>
      <c r="E9">
        <f>MAX(0,C9-D9)</f>
        <v/>
      </c>
      <c r="F9">
        <f>IF(E9&gt;0,"Sin docente","Cubierta")</f>
        <v/>
      </c>
    </row>
    <row r="10">
      <c r="A10" t="inlineStr">
        <is>
          <t>6B</t>
        </is>
      </c>
      <c r="B10" t="inlineStr">
        <is>
          <t>Matemáticas</t>
        </is>
      </c>
      <c r="C10">
        <f>VLOOKUP(B10,Plan!$A$2:$B$9,2,FALSE)</f>
        <v/>
      </c>
      <c r="D10">
        <f>SUMIFS(Asignaciones!$D$2:$D$43,Asignaciones!$B$2:$B$43,B10,Asignaciones!$C$2:$C$43,A10)</f>
        <v/>
      </c>
      <c r="E10">
        <f>MAX(0,C10-D10)</f>
        <v/>
      </c>
      <c r="F10">
        <f>IF(E10&gt;0,"Sin docente","Cubierta")</f>
        <v/>
      </c>
    </row>
    <row r="11">
      <c r="A11" t="inlineStr">
        <is>
          <t>6B</t>
        </is>
      </c>
      <c r="B11" t="inlineStr">
        <is>
          <t>Lengua castellana</t>
        </is>
      </c>
      <c r="C11">
        <f>VLOOKUP(B11,Plan!$A$2:$B$9,2,FALSE)</f>
        <v/>
      </c>
      <c r="D11">
        <f>SUMIFS(Asignaciones!$D$2:$D$43,Asignaciones!$B$2:$B$43,B11,Asignaciones!$C$2:$C$43,A11)</f>
        <v/>
      </c>
      <c r="E11">
        <f>MAX(0,C11-D11)</f>
        <v/>
      </c>
      <c r="F11">
        <f>IF(E11&gt;0,"Sin docente","Cubierta")</f>
        <v/>
      </c>
    </row>
    <row r="12">
      <c r="A12" t="inlineStr">
        <is>
          <t>6B</t>
        </is>
      </c>
      <c r="B12" t="inlineStr">
        <is>
          <t>Ciencias naturales</t>
        </is>
      </c>
      <c r="C12">
        <f>VLOOKUP(B12,Plan!$A$2:$B$9,2,FALSE)</f>
        <v/>
      </c>
      <c r="D12">
        <f>SUMIFS(Asignaciones!$D$2:$D$43,Asignaciones!$B$2:$B$43,B12,Asignaciones!$C$2:$C$43,A12)</f>
        <v/>
      </c>
      <c r="E12">
        <f>MAX(0,C12-D12)</f>
        <v/>
      </c>
      <c r="F12">
        <f>IF(E12&gt;0,"Sin docente","Cubierta")</f>
        <v/>
      </c>
    </row>
    <row r="13">
      <c r="A13" t="inlineStr">
        <is>
          <t>6B</t>
        </is>
      </c>
      <c r="B13" t="inlineStr">
        <is>
          <t>Ciencias sociales</t>
        </is>
      </c>
      <c r="C13">
        <f>VLOOKUP(B13,Plan!$A$2:$B$9,2,FALSE)</f>
        <v/>
      </c>
      <c r="D13">
        <f>SUMIFS(Asignaciones!$D$2:$D$43,Asignaciones!$B$2:$B$43,B13,Asignaciones!$C$2:$C$43,A13)</f>
        <v/>
      </c>
      <c r="E13">
        <f>MAX(0,C13-D13)</f>
        <v/>
      </c>
      <c r="F13">
        <f>IF(E13&gt;0,"Sin docente","Cubierta")</f>
        <v/>
      </c>
    </row>
    <row r="14">
      <c r="A14" t="inlineStr">
        <is>
          <t>6B</t>
        </is>
      </c>
      <c r="B14" t="inlineStr">
        <is>
          <t>Inglés</t>
        </is>
      </c>
      <c r="C14">
        <f>VLOOKUP(B14,Plan!$A$2:$B$9,2,FALSE)</f>
        <v/>
      </c>
      <c r="D14">
        <f>SUMIFS(Asignaciones!$D$2:$D$43,Asignaciones!$B$2:$B$43,B14,Asignaciones!$C$2:$C$43,A14)</f>
        <v/>
      </c>
      <c r="E14">
        <f>MAX(0,C14-D14)</f>
        <v/>
      </c>
      <c r="F14">
        <f>IF(E14&gt;0,"Sin docente","Cubierta")</f>
        <v/>
      </c>
    </row>
    <row r="15">
      <c r="A15" t="inlineStr">
        <is>
          <t>6B</t>
        </is>
      </c>
      <c r="B15" t="inlineStr">
        <is>
          <t>Educación física</t>
        </is>
      </c>
      <c r="C15">
        <f>VLOOKUP(B15,Plan!$A$2:$B$9,2,FALSE)</f>
        <v/>
      </c>
      <c r="D15">
        <f>SUMIFS(Asignaciones!$D$2:$D$43,Asignaciones!$B$2:$B$43,B15,Asignaciones!$C$2:$C$43,A15)</f>
        <v/>
      </c>
      <c r="E15">
        <f>MAX(0,C15-D15)</f>
        <v/>
      </c>
      <c r="F15">
        <f>IF(E15&gt;0,"Sin docente","Cubierta")</f>
        <v/>
      </c>
    </row>
    <row r="16">
      <c r="A16" t="inlineStr">
        <is>
          <t>6B</t>
        </is>
      </c>
      <c r="B16" t="inlineStr">
        <is>
          <t>Artes</t>
        </is>
      </c>
      <c r="C16">
        <f>VLOOKUP(B16,Plan!$A$2:$B$9,2,FALSE)</f>
        <v/>
      </c>
      <c r="D16">
        <f>SUMIFS(Asignaciones!$D$2:$D$43,Asignaciones!$B$2:$B$43,B16,Asignaciones!$C$2:$C$43,A16)</f>
        <v/>
      </c>
      <c r="E16">
        <f>MAX(0,C16-D16)</f>
        <v/>
      </c>
      <c r="F16">
        <f>IF(E16&gt;0,"Sin docente","Cubierta")</f>
        <v/>
      </c>
    </row>
    <row r="17">
      <c r="A17" t="inlineStr">
        <is>
          <t>6B</t>
        </is>
      </c>
      <c r="B17" t="inlineStr">
        <is>
          <t>Tecnología</t>
        </is>
      </c>
      <c r="C17">
        <f>VLOOKUP(B17,Plan!$A$2:$B$9,2,FALSE)</f>
        <v/>
      </c>
      <c r="D17">
        <f>SUMIFS(Asignaciones!$D$2:$D$43,Asignaciones!$B$2:$B$43,B17,Asignaciones!$C$2:$C$43,A17)</f>
        <v/>
      </c>
      <c r="E17">
        <f>MAX(0,C17-D17)</f>
        <v/>
      </c>
      <c r="F17">
        <f>IF(E17&gt;0,"Sin docente","Cubierta")</f>
        <v/>
      </c>
    </row>
    <row r="18">
      <c r="A18" t="inlineStr">
        <is>
          <t>7A</t>
        </is>
      </c>
      <c r="B18" t="inlineStr">
        <is>
          <t>Matemáticas</t>
        </is>
      </c>
      <c r="C18">
        <f>VLOOKUP(B18,Plan!$A$2:$B$9,2,FALSE)</f>
        <v/>
      </c>
      <c r="D18">
        <f>SUMIFS(Asignaciones!$D$2:$D$43,Asignaciones!$B$2:$B$43,B18,Asignaciones!$C$2:$C$43,A18)</f>
        <v/>
      </c>
      <c r="E18">
        <f>MAX(0,C18-D18)</f>
        <v/>
      </c>
      <c r="F18">
        <f>IF(E18&gt;0,"Sin docente","Cubierta")</f>
        <v/>
      </c>
    </row>
    <row r="19">
      <c r="A19" t="inlineStr">
        <is>
          <t>7A</t>
        </is>
      </c>
      <c r="B19" t="inlineStr">
        <is>
          <t>Lengua castellana</t>
        </is>
      </c>
      <c r="C19">
        <f>VLOOKUP(B19,Plan!$A$2:$B$9,2,FALSE)</f>
        <v/>
      </c>
      <c r="D19">
        <f>SUMIFS(Asignaciones!$D$2:$D$43,Asignaciones!$B$2:$B$43,B19,Asignaciones!$C$2:$C$43,A19)</f>
        <v/>
      </c>
      <c r="E19">
        <f>MAX(0,C19-D19)</f>
        <v/>
      </c>
      <c r="F19">
        <f>IF(E19&gt;0,"Sin docente","Cubierta")</f>
        <v/>
      </c>
    </row>
    <row r="20">
      <c r="A20" t="inlineStr">
        <is>
          <t>7A</t>
        </is>
      </c>
      <c r="B20" t="inlineStr">
        <is>
          <t>Ciencias naturales</t>
        </is>
      </c>
      <c r="C20">
        <f>VLOOKUP(B20,Plan!$A$2:$B$9,2,FALSE)</f>
        <v/>
      </c>
      <c r="D20">
        <f>SUMIFS(Asignaciones!$D$2:$D$43,Asignaciones!$B$2:$B$43,B20,Asignaciones!$C$2:$C$43,A20)</f>
        <v/>
      </c>
      <c r="E20">
        <f>MAX(0,C20-D20)</f>
        <v/>
      </c>
      <c r="F20">
        <f>IF(E20&gt;0,"Sin docente","Cubierta")</f>
        <v/>
      </c>
    </row>
    <row r="21">
      <c r="A21" t="inlineStr">
        <is>
          <t>7A</t>
        </is>
      </c>
      <c r="B21" t="inlineStr">
        <is>
          <t>Ciencias sociales</t>
        </is>
      </c>
      <c r="C21">
        <f>VLOOKUP(B21,Plan!$A$2:$B$9,2,FALSE)</f>
        <v/>
      </c>
      <c r="D21">
        <f>SUMIFS(Asignaciones!$D$2:$D$43,Asignaciones!$B$2:$B$43,B21,Asignaciones!$C$2:$C$43,A21)</f>
        <v/>
      </c>
      <c r="E21">
        <f>MAX(0,C21-D21)</f>
        <v/>
      </c>
      <c r="F21">
        <f>IF(E21&gt;0,"Sin docente","Cubierta")</f>
        <v/>
      </c>
    </row>
    <row r="22">
      <c r="A22" t="inlineStr">
        <is>
          <t>7A</t>
        </is>
      </c>
      <c r="B22" t="inlineStr">
        <is>
          <t>Inglés</t>
        </is>
      </c>
      <c r="C22">
        <f>VLOOKUP(B22,Plan!$A$2:$B$9,2,FALSE)</f>
        <v/>
      </c>
      <c r="D22">
        <f>SUMIFS(Asignaciones!$D$2:$D$43,Asignaciones!$B$2:$B$43,B22,Asignaciones!$C$2:$C$43,A22)</f>
        <v/>
      </c>
      <c r="E22">
        <f>MAX(0,C22-D22)</f>
        <v/>
      </c>
      <c r="F22">
        <f>IF(E22&gt;0,"Sin docente","Cubierta")</f>
        <v/>
      </c>
    </row>
    <row r="23">
      <c r="A23" t="inlineStr">
        <is>
          <t>7A</t>
        </is>
      </c>
      <c r="B23" t="inlineStr">
        <is>
          <t>Educación física</t>
        </is>
      </c>
      <c r="C23">
        <f>VLOOKUP(B23,Plan!$A$2:$B$9,2,FALSE)</f>
        <v/>
      </c>
      <c r="D23">
        <f>SUMIFS(Asignaciones!$D$2:$D$43,Asignaciones!$B$2:$B$43,B23,Asignaciones!$C$2:$C$43,A23)</f>
        <v/>
      </c>
      <c r="E23">
        <f>MAX(0,C23-D23)</f>
        <v/>
      </c>
      <c r="F23">
        <f>IF(E23&gt;0,"Sin docente","Cubierta")</f>
        <v/>
      </c>
    </row>
    <row r="24">
      <c r="A24" t="inlineStr">
        <is>
          <t>7A</t>
        </is>
      </c>
      <c r="B24" t="inlineStr">
        <is>
          <t>Artes</t>
        </is>
      </c>
      <c r="C24">
        <f>VLOOKUP(B24,Plan!$A$2:$B$9,2,FALSE)</f>
        <v/>
      </c>
      <c r="D24">
        <f>SUMIFS(Asignaciones!$D$2:$D$43,Asignaciones!$B$2:$B$43,B24,Asignaciones!$C$2:$C$43,A24)</f>
        <v/>
      </c>
      <c r="E24">
        <f>MAX(0,C24-D24)</f>
        <v/>
      </c>
      <c r="F24">
        <f>IF(E24&gt;0,"Sin docente","Cubierta")</f>
        <v/>
      </c>
    </row>
    <row r="25">
      <c r="A25" t="inlineStr">
        <is>
          <t>7A</t>
        </is>
      </c>
      <c r="B25" t="inlineStr">
        <is>
          <t>Tecnología</t>
        </is>
      </c>
      <c r="C25">
        <f>VLOOKUP(B25,Plan!$A$2:$B$9,2,FALSE)</f>
        <v/>
      </c>
      <c r="D25">
        <f>SUMIFS(Asignaciones!$D$2:$D$43,Asignaciones!$B$2:$B$43,B25,Asignaciones!$C$2:$C$43,A25)</f>
        <v/>
      </c>
      <c r="E25">
        <f>MAX(0,C25-D25)</f>
        <v/>
      </c>
      <c r="F25">
        <f>IF(E25&gt;0,"Sin docente","Cubierta")</f>
        <v/>
      </c>
    </row>
    <row r="26">
      <c r="A26" t="inlineStr">
        <is>
          <t>7B</t>
        </is>
      </c>
      <c r="B26" t="inlineStr">
        <is>
          <t>Matemáticas</t>
        </is>
      </c>
      <c r="C26">
        <f>VLOOKUP(B26,Plan!$A$2:$B$9,2,FALSE)</f>
        <v/>
      </c>
      <c r="D26">
        <f>SUMIFS(Asignaciones!$D$2:$D$43,Asignaciones!$B$2:$B$43,B26,Asignaciones!$C$2:$C$43,A26)</f>
        <v/>
      </c>
      <c r="E26">
        <f>MAX(0,C26-D26)</f>
        <v/>
      </c>
      <c r="F26">
        <f>IF(E26&gt;0,"Sin docente","Cubierta")</f>
        <v/>
      </c>
    </row>
    <row r="27">
      <c r="A27" t="inlineStr">
        <is>
          <t>7B</t>
        </is>
      </c>
      <c r="B27" t="inlineStr">
        <is>
          <t>Lengua castellana</t>
        </is>
      </c>
      <c r="C27">
        <f>VLOOKUP(B27,Plan!$A$2:$B$9,2,FALSE)</f>
        <v/>
      </c>
      <c r="D27">
        <f>SUMIFS(Asignaciones!$D$2:$D$43,Asignaciones!$B$2:$B$43,B27,Asignaciones!$C$2:$C$43,A27)</f>
        <v/>
      </c>
      <c r="E27">
        <f>MAX(0,C27-D27)</f>
        <v/>
      </c>
      <c r="F27">
        <f>IF(E27&gt;0,"Sin docente","Cubierta")</f>
        <v/>
      </c>
    </row>
    <row r="28">
      <c r="A28" t="inlineStr">
        <is>
          <t>7B</t>
        </is>
      </c>
      <c r="B28" t="inlineStr">
        <is>
          <t>Ciencias naturales</t>
        </is>
      </c>
      <c r="C28">
        <f>VLOOKUP(B28,Plan!$A$2:$B$9,2,FALSE)</f>
        <v/>
      </c>
      <c r="D28">
        <f>SUMIFS(Asignaciones!$D$2:$D$43,Asignaciones!$B$2:$B$43,B28,Asignaciones!$C$2:$C$43,A28)</f>
        <v/>
      </c>
      <c r="E28">
        <f>MAX(0,C28-D28)</f>
        <v/>
      </c>
      <c r="F28">
        <f>IF(E28&gt;0,"Sin docente","Cubierta")</f>
        <v/>
      </c>
    </row>
    <row r="29">
      <c r="A29" t="inlineStr">
        <is>
          <t>7B</t>
        </is>
      </c>
      <c r="B29" t="inlineStr">
        <is>
          <t>Ciencias sociales</t>
        </is>
      </c>
      <c r="C29">
        <f>VLOOKUP(B29,Plan!$A$2:$B$9,2,FALSE)</f>
        <v/>
      </c>
      <c r="D29">
        <f>SUMIFS(Asignaciones!$D$2:$D$43,Asignaciones!$B$2:$B$43,B29,Asignaciones!$C$2:$C$43,A29)</f>
        <v/>
      </c>
      <c r="E29">
        <f>MAX(0,C29-D29)</f>
        <v/>
      </c>
      <c r="F29">
        <f>IF(E29&gt;0,"Sin docente","Cubierta")</f>
        <v/>
      </c>
    </row>
    <row r="30">
      <c r="A30" t="inlineStr">
        <is>
          <t>7B</t>
        </is>
      </c>
      <c r="B30" t="inlineStr">
        <is>
          <t>Inglés</t>
        </is>
      </c>
      <c r="C30">
        <f>VLOOKUP(B30,Plan!$A$2:$B$9,2,FALSE)</f>
        <v/>
      </c>
      <c r="D30">
        <f>SUMIFS(Asignaciones!$D$2:$D$43,Asignaciones!$B$2:$B$43,B30,Asignaciones!$C$2:$C$43,A30)</f>
        <v/>
      </c>
      <c r="E30">
        <f>MAX(0,C30-D30)</f>
        <v/>
      </c>
      <c r="F30">
        <f>IF(E30&gt;0,"Sin docente","Cubierta")</f>
        <v/>
      </c>
    </row>
    <row r="31">
      <c r="A31" t="inlineStr">
        <is>
          <t>7B</t>
        </is>
      </c>
      <c r="B31" t="inlineStr">
        <is>
          <t>Educación física</t>
        </is>
      </c>
      <c r="C31">
        <f>VLOOKUP(B31,Plan!$A$2:$B$9,2,FALSE)</f>
        <v/>
      </c>
      <c r="D31">
        <f>SUMIFS(Asignaciones!$D$2:$D$43,Asignaciones!$B$2:$B$43,B31,Asignaciones!$C$2:$C$43,A31)</f>
        <v/>
      </c>
      <c r="E31">
        <f>MAX(0,C31-D31)</f>
        <v/>
      </c>
      <c r="F31">
        <f>IF(E31&gt;0,"Sin docente","Cubierta")</f>
        <v/>
      </c>
    </row>
    <row r="32">
      <c r="A32" t="inlineStr">
        <is>
          <t>7B</t>
        </is>
      </c>
      <c r="B32" t="inlineStr">
        <is>
          <t>Artes</t>
        </is>
      </c>
      <c r="C32">
        <f>VLOOKUP(B32,Plan!$A$2:$B$9,2,FALSE)</f>
        <v/>
      </c>
      <c r="D32">
        <f>SUMIFS(Asignaciones!$D$2:$D$43,Asignaciones!$B$2:$B$43,B32,Asignaciones!$C$2:$C$43,A32)</f>
        <v/>
      </c>
      <c r="E32">
        <f>MAX(0,C32-D32)</f>
        <v/>
      </c>
      <c r="F32">
        <f>IF(E32&gt;0,"Sin docente","Cubierta")</f>
        <v/>
      </c>
    </row>
    <row r="33">
      <c r="A33" t="inlineStr">
        <is>
          <t>7B</t>
        </is>
      </c>
      <c r="B33" t="inlineStr">
        <is>
          <t>Tecnología</t>
        </is>
      </c>
      <c r="C33">
        <f>VLOOKUP(B33,Plan!$A$2:$B$9,2,FALSE)</f>
        <v/>
      </c>
      <c r="D33">
        <f>SUMIFS(Asignaciones!$D$2:$D$43,Asignaciones!$B$2:$B$43,B33,Asignaciones!$C$2:$C$43,A33)</f>
        <v/>
      </c>
      <c r="E33">
        <f>MAX(0,C33-D33)</f>
        <v/>
      </c>
      <c r="F33">
        <f>IF(E33&gt;0,"Sin docente","Cubierta")</f>
        <v/>
      </c>
    </row>
    <row r="34">
      <c r="A34" t="inlineStr">
        <is>
          <t>8A</t>
        </is>
      </c>
      <c r="B34" t="inlineStr">
        <is>
          <t>Matemáticas</t>
        </is>
      </c>
      <c r="C34">
        <f>VLOOKUP(B34,Plan!$A$2:$B$9,2,FALSE)</f>
        <v/>
      </c>
      <c r="D34">
        <f>SUMIFS(Asignaciones!$D$2:$D$43,Asignaciones!$B$2:$B$43,B34,Asignaciones!$C$2:$C$43,A34)</f>
        <v/>
      </c>
      <c r="E34">
        <f>MAX(0,C34-D34)</f>
        <v/>
      </c>
      <c r="F34">
        <f>IF(E34&gt;0,"Sin docente","Cubierta")</f>
        <v/>
      </c>
    </row>
    <row r="35">
      <c r="A35" t="inlineStr">
        <is>
          <t>8A</t>
        </is>
      </c>
      <c r="B35" t="inlineStr">
        <is>
          <t>Lengua castellana</t>
        </is>
      </c>
      <c r="C35">
        <f>VLOOKUP(B35,Plan!$A$2:$B$9,2,FALSE)</f>
        <v/>
      </c>
      <c r="D35">
        <f>SUMIFS(Asignaciones!$D$2:$D$43,Asignaciones!$B$2:$B$43,B35,Asignaciones!$C$2:$C$43,A35)</f>
        <v/>
      </c>
      <c r="E35">
        <f>MAX(0,C35-D35)</f>
        <v/>
      </c>
      <c r="F35">
        <f>IF(E35&gt;0,"Sin docente","Cubierta")</f>
        <v/>
      </c>
    </row>
    <row r="36">
      <c r="A36" t="inlineStr">
        <is>
          <t>8A</t>
        </is>
      </c>
      <c r="B36" t="inlineStr">
        <is>
          <t>Ciencias naturales</t>
        </is>
      </c>
      <c r="C36">
        <f>VLOOKUP(B36,Plan!$A$2:$B$9,2,FALSE)</f>
        <v/>
      </c>
      <c r="D36">
        <f>SUMIFS(Asignaciones!$D$2:$D$43,Asignaciones!$B$2:$B$43,B36,Asignaciones!$C$2:$C$43,A36)</f>
        <v/>
      </c>
      <c r="E36">
        <f>MAX(0,C36-D36)</f>
        <v/>
      </c>
      <c r="F36">
        <f>IF(E36&gt;0,"Sin docente","Cubierta")</f>
        <v/>
      </c>
    </row>
    <row r="37">
      <c r="A37" t="inlineStr">
        <is>
          <t>8A</t>
        </is>
      </c>
      <c r="B37" t="inlineStr">
        <is>
          <t>Ciencias sociales</t>
        </is>
      </c>
      <c r="C37">
        <f>VLOOKUP(B37,Plan!$A$2:$B$9,2,FALSE)</f>
        <v/>
      </c>
      <c r="D37">
        <f>SUMIFS(Asignaciones!$D$2:$D$43,Asignaciones!$B$2:$B$43,B37,Asignaciones!$C$2:$C$43,A37)</f>
        <v/>
      </c>
      <c r="E37">
        <f>MAX(0,C37-D37)</f>
        <v/>
      </c>
      <c r="F37">
        <f>IF(E37&gt;0,"Sin docente","Cubierta")</f>
        <v/>
      </c>
    </row>
    <row r="38">
      <c r="A38" t="inlineStr">
        <is>
          <t>8A</t>
        </is>
      </c>
      <c r="B38" t="inlineStr">
        <is>
          <t>Inglés</t>
        </is>
      </c>
      <c r="C38">
        <f>VLOOKUP(B38,Plan!$A$2:$B$9,2,FALSE)</f>
        <v/>
      </c>
      <c r="D38">
        <f>SUMIFS(Asignaciones!$D$2:$D$43,Asignaciones!$B$2:$B$43,B38,Asignaciones!$C$2:$C$43,A38)</f>
        <v/>
      </c>
      <c r="E38">
        <f>MAX(0,C38-D38)</f>
        <v/>
      </c>
      <c r="F38">
        <f>IF(E38&gt;0,"Sin docente","Cubierta")</f>
        <v/>
      </c>
    </row>
    <row r="39">
      <c r="A39" t="inlineStr">
        <is>
          <t>8A</t>
        </is>
      </c>
      <c r="B39" t="inlineStr">
        <is>
          <t>Educación física</t>
        </is>
      </c>
      <c r="C39">
        <f>VLOOKUP(B39,Plan!$A$2:$B$9,2,FALSE)</f>
        <v/>
      </c>
      <c r="D39">
        <f>SUMIFS(Asignaciones!$D$2:$D$43,Asignaciones!$B$2:$B$43,B39,Asignaciones!$C$2:$C$43,A39)</f>
        <v/>
      </c>
      <c r="E39">
        <f>MAX(0,C39-D39)</f>
        <v/>
      </c>
      <c r="F39">
        <f>IF(E39&gt;0,"Sin docente","Cubierta")</f>
        <v/>
      </c>
    </row>
    <row r="40">
      <c r="A40" t="inlineStr">
        <is>
          <t>8A</t>
        </is>
      </c>
      <c r="B40" t="inlineStr">
        <is>
          <t>Artes</t>
        </is>
      </c>
      <c r="C40">
        <f>VLOOKUP(B40,Plan!$A$2:$B$9,2,FALSE)</f>
        <v/>
      </c>
      <c r="D40">
        <f>SUMIFS(Asignaciones!$D$2:$D$43,Asignaciones!$B$2:$B$43,B40,Asignaciones!$C$2:$C$43,A40)</f>
        <v/>
      </c>
      <c r="E40">
        <f>MAX(0,C40-D40)</f>
        <v/>
      </c>
      <c r="F40">
        <f>IF(E40&gt;0,"Sin docente","Cubierta")</f>
        <v/>
      </c>
    </row>
    <row r="41">
      <c r="A41" t="inlineStr">
        <is>
          <t>8A</t>
        </is>
      </c>
      <c r="B41" t="inlineStr">
        <is>
          <t>Tecnología</t>
        </is>
      </c>
      <c r="C41">
        <f>VLOOKUP(B41,Plan!$A$2:$B$9,2,FALSE)</f>
        <v/>
      </c>
      <c r="D41">
        <f>SUMIFS(Asignaciones!$D$2:$D$43,Asignaciones!$B$2:$B$43,B41,Asignaciones!$C$2:$C$43,A41)</f>
        <v/>
      </c>
      <c r="E41">
        <f>MAX(0,C41-D41)</f>
        <v/>
      </c>
      <c r="F41">
        <f>IF(E41&gt;0,"Sin docente","Cubierta")</f>
        <v/>
      </c>
    </row>
    <row r="42">
      <c r="A42" t="inlineStr">
        <is>
          <t>8B</t>
        </is>
      </c>
      <c r="B42" t="inlineStr">
        <is>
          <t>Matemáticas</t>
        </is>
      </c>
      <c r="C42">
        <f>VLOOKUP(B42,Plan!$A$2:$B$9,2,FALSE)</f>
        <v/>
      </c>
      <c r="D42">
        <f>SUMIFS(Asignaciones!$D$2:$D$43,Asignaciones!$B$2:$B$43,B42,Asignaciones!$C$2:$C$43,A42)</f>
        <v/>
      </c>
      <c r="E42">
        <f>MAX(0,C42-D42)</f>
        <v/>
      </c>
      <c r="F42">
        <f>IF(E42&gt;0,"Sin docente","Cubierta")</f>
        <v/>
      </c>
    </row>
    <row r="43">
      <c r="A43" t="inlineStr">
        <is>
          <t>8B</t>
        </is>
      </c>
      <c r="B43" t="inlineStr">
        <is>
          <t>Lengua castellana</t>
        </is>
      </c>
      <c r="C43">
        <f>VLOOKUP(B43,Plan!$A$2:$B$9,2,FALSE)</f>
        <v/>
      </c>
      <c r="D43">
        <f>SUMIFS(Asignaciones!$D$2:$D$43,Asignaciones!$B$2:$B$43,B43,Asignaciones!$C$2:$C$43,A43)</f>
        <v/>
      </c>
      <c r="E43">
        <f>MAX(0,C43-D43)</f>
        <v/>
      </c>
      <c r="F43">
        <f>IF(E43&gt;0,"Sin docente","Cubierta")</f>
        <v/>
      </c>
    </row>
    <row r="44">
      <c r="A44" t="inlineStr">
        <is>
          <t>8B</t>
        </is>
      </c>
      <c r="B44" t="inlineStr">
        <is>
          <t>Ciencias naturales</t>
        </is>
      </c>
      <c r="C44">
        <f>VLOOKUP(B44,Plan!$A$2:$B$9,2,FALSE)</f>
        <v/>
      </c>
      <c r="D44">
        <f>SUMIFS(Asignaciones!$D$2:$D$43,Asignaciones!$B$2:$B$43,B44,Asignaciones!$C$2:$C$43,A44)</f>
        <v/>
      </c>
      <c r="E44">
        <f>MAX(0,C44-D44)</f>
        <v/>
      </c>
      <c r="F44">
        <f>IF(E44&gt;0,"Sin docente","Cubierta")</f>
        <v/>
      </c>
    </row>
    <row r="45">
      <c r="A45" t="inlineStr">
        <is>
          <t>8B</t>
        </is>
      </c>
      <c r="B45" t="inlineStr">
        <is>
          <t>Ciencias sociales</t>
        </is>
      </c>
      <c r="C45">
        <f>VLOOKUP(B45,Plan!$A$2:$B$9,2,FALSE)</f>
        <v/>
      </c>
      <c r="D45">
        <f>SUMIFS(Asignaciones!$D$2:$D$43,Asignaciones!$B$2:$B$43,B45,Asignaciones!$C$2:$C$43,A45)</f>
        <v/>
      </c>
      <c r="E45">
        <f>MAX(0,C45-D45)</f>
        <v/>
      </c>
      <c r="F45">
        <f>IF(E45&gt;0,"Sin docente","Cubierta")</f>
        <v/>
      </c>
    </row>
    <row r="46">
      <c r="A46" t="inlineStr">
        <is>
          <t>8B</t>
        </is>
      </c>
      <c r="B46" t="inlineStr">
        <is>
          <t>Inglés</t>
        </is>
      </c>
      <c r="C46">
        <f>VLOOKUP(B46,Plan!$A$2:$B$9,2,FALSE)</f>
        <v/>
      </c>
      <c r="D46">
        <f>SUMIFS(Asignaciones!$D$2:$D$43,Asignaciones!$B$2:$B$43,B46,Asignaciones!$C$2:$C$43,A46)</f>
        <v/>
      </c>
      <c r="E46">
        <f>MAX(0,C46-D46)</f>
        <v/>
      </c>
      <c r="F46">
        <f>IF(E46&gt;0,"Sin docente","Cubierta")</f>
        <v/>
      </c>
    </row>
    <row r="47">
      <c r="A47" t="inlineStr">
        <is>
          <t>8B</t>
        </is>
      </c>
      <c r="B47" t="inlineStr">
        <is>
          <t>Educación física</t>
        </is>
      </c>
      <c r="C47">
        <f>VLOOKUP(B47,Plan!$A$2:$B$9,2,FALSE)</f>
        <v/>
      </c>
      <c r="D47">
        <f>SUMIFS(Asignaciones!$D$2:$D$43,Asignaciones!$B$2:$B$43,B47,Asignaciones!$C$2:$C$43,A47)</f>
        <v/>
      </c>
      <c r="E47">
        <f>MAX(0,C47-D47)</f>
        <v/>
      </c>
      <c r="F47">
        <f>IF(E47&gt;0,"Sin docente","Cubierta")</f>
        <v/>
      </c>
    </row>
    <row r="48">
      <c r="A48" t="inlineStr">
        <is>
          <t>8B</t>
        </is>
      </c>
      <c r="B48" t="inlineStr">
        <is>
          <t>Artes</t>
        </is>
      </c>
      <c r="C48">
        <f>VLOOKUP(B48,Plan!$A$2:$B$9,2,FALSE)</f>
        <v/>
      </c>
      <c r="D48">
        <f>SUMIFS(Asignaciones!$D$2:$D$43,Asignaciones!$B$2:$B$43,B48,Asignaciones!$C$2:$C$43,A48)</f>
        <v/>
      </c>
      <c r="E48">
        <f>MAX(0,C48-D48)</f>
        <v/>
      </c>
      <c r="F48">
        <f>IF(E48&gt;0,"Sin docente","Cubierta")</f>
        <v/>
      </c>
    </row>
    <row r="49">
      <c r="A49" t="inlineStr">
        <is>
          <t>8B</t>
        </is>
      </c>
      <c r="B49" t="inlineStr">
        <is>
          <t>Tecnología</t>
        </is>
      </c>
      <c r="C49">
        <f>VLOOKUP(B49,Plan!$A$2:$B$9,2,FALSE)</f>
        <v/>
      </c>
      <c r="D49">
        <f>SUMIFS(Asignaciones!$D$2:$D$43,Asignaciones!$B$2:$B$43,B49,Asignaciones!$C$2:$C$43,A49)</f>
        <v/>
      </c>
      <c r="E49">
        <f>MAX(0,C49-D49)</f>
        <v/>
      </c>
      <c r="F49">
        <f>IF(E49&gt;0,"Sin docente","Cubierta")</f>
        <v/>
      </c>
    </row>
  </sheetData>
  <conditionalFormatting sqref="F2:F49">
    <cfRule type="cellIs" priority="1" operator="equal" dxfId="0">
      <formula>"Sin docente"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2026-10-10T17:56:07Z</dcterms:created>
  <dcterms:modified xmlns:dcterms="http://purl.org/dc/terms/" xmlns:xsi="http://www.w3.org/2001/XMLSchema-instance" xsi:type="dcterms:W3CDTF">2026-10-10T17:56:07Z</dcterms:modified>
</cp:coreProperties>
</file>