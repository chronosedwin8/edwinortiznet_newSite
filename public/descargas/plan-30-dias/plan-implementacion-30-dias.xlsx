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Deci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9" fontId="0" fillId="3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2">
    <dxf>
      <font>
        <color rgb="004338CA"/>
      </font>
      <fill>
        <patternFill patternType="solid">
          <fgColor rgb="004338CA"/>
          <bgColor rgb="004338CA"/>
        </patternFill>
      </fill>
    </dxf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</cols>
  <sheetData>
    <row r="1">
      <c r="A1" s="1" t="inlineStr">
        <is>
          <t>RESUMEN DEL PLAN</t>
        </is>
      </c>
    </row>
    <row r="3">
      <c r="A3" t="inlineStr">
        <is>
          <t>Tareas</t>
        </is>
      </c>
      <c r="B3">
        <f>COUNTA(Plan!A4:A40)</f>
        <v/>
      </c>
    </row>
    <row r="4">
      <c r="A4" t="inlineStr">
        <is>
          <t>Días-tarea (suma de duraciones)</t>
        </is>
      </c>
      <c r="B4">
        <f>SUM(Plan!E4:E40)</f>
        <v/>
      </c>
    </row>
    <row r="5">
      <c r="A5" t="inlineStr">
        <is>
          <t>Último día planeado</t>
        </is>
      </c>
      <c r="B5">
        <f>MAX(Plan!F4:F40)</f>
        <v/>
      </c>
    </row>
    <row r="6">
      <c r="A6" t="inlineStr">
        <is>
          <t>Tareas con problema de secuencia o plazo</t>
        </is>
      </c>
      <c r="B6">
        <f>COUNTIF(Plan!I4:I40,"Empieza*")+COUNTIF(Plan!I4:I40,"Pasa*")+COUNTIF(Plan!I4:I40,"Predecesora*")</f>
        <v/>
      </c>
    </row>
    <row r="7">
      <c r="A7" t="inlineStr">
        <is>
          <t>Tareas que empiezan en la semana 1</t>
        </is>
      </c>
      <c r="B7">
        <f>COUNTIF(Plan!J4:J40,1)</f>
        <v/>
      </c>
    </row>
    <row r="8">
      <c r="A8" t="inlineStr">
        <is>
          <t>Tareas que empiezan en la semana 2</t>
        </is>
      </c>
      <c r="B8">
        <f>COUNTIF(Plan!J4:J40,2)</f>
        <v/>
      </c>
    </row>
    <row r="9">
      <c r="A9" t="inlineStr">
        <is>
          <t>Tareas que empiezan en la semana 3</t>
        </is>
      </c>
      <c r="B9">
        <f>COUNTIF(Plan!J4:J40,3)</f>
        <v/>
      </c>
    </row>
    <row r="10">
      <c r="A10" t="inlineStr">
        <is>
          <t>Tareas que empiezan en la semana 4 o 5</t>
        </is>
      </c>
      <c r="B10">
        <f>COUNTIF(Plan!J4:J40,"&gt;=4")</f>
        <v/>
      </c>
    </row>
    <row r="11">
      <c r="A11" t="inlineStr">
        <is>
          <t>Tareas del equipo de sistemas</t>
        </is>
      </c>
      <c r="B11">
        <f>COUNTIF(Plan!C4:C40,"Sistemas")</f>
        <v/>
      </c>
    </row>
    <row r="12">
      <c r="A12" t="inlineStr">
        <is>
          <t>Puntaje de la decisión</t>
        </is>
      </c>
      <c r="B12" s="2">
        <f>Decision!D12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16" customWidth="1" min="3" max="3"/>
    <col width="9" customWidth="1" min="4" max="4"/>
    <col width="10" customWidth="1" min="5" max="5"/>
    <col width="8" customWidth="1" min="6" max="6"/>
    <col width="11" customWidth="1" min="7" max="7"/>
    <col width="12" customWidth="1" min="8" max="8"/>
    <col width="40" customWidth="1" min="9" max="9"/>
    <col width="10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</cols>
  <sheetData>
    <row r="1">
      <c r="A1" s="1" t="inlineStr">
        <is>
          <t>PLAN DE IMPLEMENTACIÓN DE UNA PLATAFORMA EN 30 DÍAS (ejemplo ficticio; días contados desde el día 1)</t>
        </is>
      </c>
    </row>
    <row r="3" ht="40" customHeight="1">
      <c r="A3" s="3" t="inlineStr">
        <is>
          <t>ID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Inicio (día)</t>
        </is>
      </c>
      <c r="E3" s="3" t="inlineStr">
        <is>
          <t>Duración (días)</t>
        </is>
      </c>
      <c r="F3" s="3" t="inlineStr">
        <is>
          <t>Fin (día)</t>
        </is>
      </c>
      <c r="G3" s="3" t="inlineStr">
        <is>
          <t>Predecesora</t>
        </is>
      </c>
      <c r="H3" s="3" t="inlineStr">
        <is>
          <t>Fin de la predecesora</t>
        </is>
      </c>
      <c r="I3" s="3" t="inlineStr">
        <is>
          <t>Control</t>
        </is>
      </c>
      <c r="J3" s="3" t="inlineStr">
        <is>
          <t>Semana de inicio</t>
        </is>
      </c>
      <c r="K3" s="4" t="n">
        <v>1</v>
      </c>
      <c r="L3" s="4" t="n">
        <v>2</v>
      </c>
      <c r="M3" s="4" t="n">
        <v>3</v>
      </c>
      <c r="N3" s="4" t="n">
        <v>4</v>
      </c>
      <c r="O3" s="4" t="n">
        <v>5</v>
      </c>
      <c r="P3" s="4" t="n">
        <v>6</v>
      </c>
      <c r="Q3" s="4" t="n">
        <v>7</v>
      </c>
      <c r="R3" s="4" t="n">
        <v>8</v>
      </c>
      <c r="S3" s="4" t="n">
        <v>9</v>
      </c>
      <c r="T3" s="4" t="n">
        <v>10</v>
      </c>
      <c r="U3" s="4" t="n">
        <v>11</v>
      </c>
      <c r="V3" s="4" t="n">
        <v>12</v>
      </c>
      <c r="W3" s="4" t="n">
        <v>13</v>
      </c>
      <c r="X3" s="4" t="n">
        <v>14</v>
      </c>
      <c r="Y3" s="4" t="n">
        <v>15</v>
      </c>
      <c r="Z3" s="4" t="n">
        <v>16</v>
      </c>
      <c r="AA3" s="4" t="n">
        <v>17</v>
      </c>
      <c r="AB3" s="4" t="n">
        <v>18</v>
      </c>
      <c r="AC3" s="4" t="n">
        <v>19</v>
      </c>
      <c r="AD3" s="4" t="n">
        <v>20</v>
      </c>
      <c r="AE3" s="4" t="n">
        <v>21</v>
      </c>
      <c r="AF3" s="4" t="n">
        <v>22</v>
      </c>
      <c r="AG3" s="4" t="n">
        <v>23</v>
      </c>
      <c r="AH3" s="4" t="n">
        <v>24</v>
      </c>
      <c r="AI3" s="4" t="n">
        <v>25</v>
      </c>
      <c r="AJ3" s="4" t="n">
        <v>26</v>
      </c>
      <c r="AK3" s="4" t="n">
        <v>27</v>
      </c>
      <c r="AL3" s="4" t="n">
        <v>28</v>
      </c>
      <c r="AM3" s="4" t="n">
        <v>29</v>
      </c>
      <c r="AN3" s="4" t="n">
        <v>30</v>
      </c>
    </row>
    <row r="4">
      <c r="A4" s="5" t="inlineStr">
        <is>
          <t>T1</t>
        </is>
      </c>
      <c r="B4" s="6" t="inlineStr">
        <is>
          <t>Definir el problema y los criterios de éxito</t>
        </is>
      </c>
      <c r="C4" s="5" t="inlineStr">
        <is>
          <t>Coordinación</t>
        </is>
      </c>
      <c r="D4" s="5" t="n">
        <v>1</v>
      </c>
      <c r="E4" s="5" t="n">
        <v>3</v>
      </c>
      <c r="F4" s="5">
        <f>IF(D4="","",D4+E4-1)</f>
        <v/>
      </c>
      <c r="G4" s="5" t="inlineStr"/>
      <c r="H4">
        <f>IF(OR(G4="",G4=0),"",IFERROR(INDEX($F$4:$F$40,MATCH(G4,$A$4:$A$40,0)),"No existe"))</f>
        <v/>
      </c>
      <c r="I4">
        <f>IF(D4="","",IF(H4="","OK",IF(H4="No existe","Predecesora inexistente",IF(D4&lt;=H4,"Empieza antes de que termine su predecesora",IF(F4&gt;30,"Pasa del día 30","OK")))))</f>
        <v/>
      </c>
      <c r="J4">
        <f>IF(D4="","",INT((D4-1)/7)+1)</f>
        <v/>
      </c>
      <c r="K4">
        <f>IF($D4="","",IF(AND(1&gt;=$D4,1&lt;=$F4),1,""))</f>
        <v/>
      </c>
      <c r="L4">
        <f>IF($D4="","",IF(AND(2&gt;=$D4,2&lt;=$F4),1,""))</f>
        <v/>
      </c>
      <c r="M4">
        <f>IF($D4="","",IF(AND(3&gt;=$D4,3&lt;=$F4),1,""))</f>
        <v/>
      </c>
      <c r="N4">
        <f>IF($D4="","",IF(AND(4&gt;=$D4,4&lt;=$F4),1,""))</f>
        <v/>
      </c>
      <c r="O4">
        <f>IF($D4="","",IF(AND(5&gt;=$D4,5&lt;=$F4),1,""))</f>
        <v/>
      </c>
      <c r="P4">
        <f>IF($D4="","",IF(AND(6&gt;=$D4,6&lt;=$F4),1,""))</f>
        <v/>
      </c>
      <c r="Q4">
        <f>IF($D4="","",IF(AND(7&gt;=$D4,7&lt;=$F4),1,""))</f>
        <v/>
      </c>
      <c r="R4">
        <f>IF($D4="","",IF(AND(8&gt;=$D4,8&lt;=$F4),1,""))</f>
        <v/>
      </c>
      <c r="S4">
        <f>IF($D4="","",IF(AND(9&gt;=$D4,9&lt;=$F4),1,""))</f>
        <v/>
      </c>
      <c r="T4">
        <f>IF($D4="","",IF(AND(10&gt;=$D4,10&lt;=$F4),1,""))</f>
        <v/>
      </c>
      <c r="U4">
        <f>IF($D4="","",IF(AND(11&gt;=$D4,11&lt;=$F4),1,""))</f>
        <v/>
      </c>
      <c r="V4">
        <f>IF($D4="","",IF(AND(12&gt;=$D4,12&lt;=$F4),1,""))</f>
        <v/>
      </c>
      <c r="W4">
        <f>IF($D4="","",IF(AND(13&gt;=$D4,13&lt;=$F4),1,""))</f>
        <v/>
      </c>
      <c r="X4">
        <f>IF($D4="","",IF(AND(14&gt;=$D4,14&lt;=$F4),1,""))</f>
        <v/>
      </c>
      <c r="Y4">
        <f>IF($D4="","",IF(AND(15&gt;=$D4,15&lt;=$F4),1,""))</f>
        <v/>
      </c>
      <c r="Z4">
        <f>IF($D4="","",IF(AND(16&gt;=$D4,16&lt;=$F4),1,""))</f>
        <v/>
      </c>
      <c r="AA4">
        <f>IF($D4="","",IF(AND(17&gt;=$D4,17&lt;=$F4),1,""))</f>
        <v/>
      </c>
      <c r="AB4">
        <f>IF($D4="","",IF(AND(18&gt;=$D4,18&lt;=$F4),1,""))</f>
        <v/>
      </c>
      <c r="AC4">
        <f>IF($D4="","",IF(AND(19&gt;=$D4,19&lt;=$F4),1,""))</f>
        <v/>
      </c>
      <c r="AD4">
        <f>IF($D4="","",IF(AND(20&gt;=$D4,20&lt;=$F4),1,""))</f>
        <v/>
      </c>
      <c r="AE4">
        <f>IF($D4="","",IF(AND(21&gt;=$D4,21&lt;=$F4),1,""))</f>
        <v/>
      </c>
      <c r="AF4">
        <f>IF($D4="","",IF(AND(22&gt;=$D4,22&lt;=$F4),1,""))</f>
        <v/>
      </c>
      <c r="AG4">
        <f>IF($D4="","",IF(AND(23&gt;=$D4,23&lt;=$F4),1,""))</f>
        <v/>
      </c>
      <c r="AH4">
        <f>IF($D4="","",IF(AND(24&gt;=$D4,24&lt;=$F4),1,""))</f>
        <v/>
      </c>
      <c r="AI4">
        <f>IF($D4="","",IF(AND(25&gt;=$D4,25&lt;=$F4),1,""))</f>
        <v/>
      </c>
      <c r="AJ4">
        <f>IF($D4="","",IF(AND(26&gt;=$D4,26&lt;=$F4),1,""))</f>
        <v/>
      </c>
      <c r="AK4">
        <f>IF($D4="","",IF(AND(27&gt;=$D4,27&lt;=$F4),1,""))</f>
        <v/>
      </c>
      <c r="AL4">
        <f>IF($D4="","",IF(AND(28&gt;=$D4,28&lt;=$F4),1,""))</f>
        <v/>
      </c>
      <c r="AM4">
        <f>IF($D4="","",IF(AND(29&gt;=$D4,29&lt;=$F4),1,""))</f>
        <v/>
      </c>
      <c r="AN4">
        <f>IF($D4="","",IF(AND(30&gt;=$D4,30&lt;=$F4),1,""))</f>
        <v/>
      </c>
    </row>
    <row r="5">
      <c r="A5" s="5" t="inlineStr">
        <is>
          <t>T2</t>
        </is>
      </c>
      <c r="B5" s="6" t="inlineStr">
        <is>
          <t>Nombrar responsables y equipo piloto</t>
        </is>
      </c>
      <c r="C5" s="5" t="inlineStr">
        <is>
          <t>Rectoría</t>
        </is>
      </c>
      <c r="D5" s="5" t="n">
        <v>1</v>
      </c>
      <c r="E5" s="5" t="n">
        <v>2</v>
      </c>
      <c r="F5" s="5">
        <f>IF(D5="","",D5+E5-1)</f>
        <v/>
      </c>
      <c r="G5" s="5" t="inlineStr"/>
      <c r="H5">
        <f>IF(OR(G5="",G5=0),"",IFERROR(INDEX($F$4:$F$40,MATCH(G5,$A$4:$A$40,0)),"No existe"))</f>
        <v/>
      </c>
      <c r="I5">
        <f>IF(D5="","",IF(H5="","OK",IF(H5="No existe","Predecesora inexistente",IF(D5&lt;=H5,"Empieza antes de que termine su predecesora",IF(F5&gt;30,"Pasa del día 30","OK")))))</f>
        <v/>
      </c>
      <c r="J5">
        <f>IF(D5="","",INT((D5-1)/7)+1)</f>
        <v/>
      </c>
      <c r="K5">
        <f>IF($D5="","",IF(AND(1&gt;=$D5,1&lt;=$F5),1,""))</f>
        <v/>
      </c>
      <c r="L5">
        <f>IF($D5="","",IF(AND(2&gt;=$D5,2&lt;=$F5),1,""))</f>
        <v/>
      </c>
      <c r="M5">
        <f>IF($D5="","",IF(AND(3&gt;=$D5,3&lt;=$F5),1,""))</f>
        <v/>
      </c>
      <c r="N5">
        <f>IF($D5="","",IF(AND(4&gt;=$D5,4&lt;=$F5),1,""))</f>
        <v/>
      </c>
      <c r="O5">
        <f>IF($D5="","",IF(AND(5&gt;=$D5,5&lt;=$F5),1,""))</f>
        <v/>
      </c>
      <c r="P5">
        <f>IF($D5="","",IF(AND(6&gt;=$D5,6&lt;=$F5),1,""))</f>
        <v/>
      </c>
      <c r="Q5">
        <f>IF($D5="","",IF(AND(7&gt;=$D5,7&lt;=$F5),1,""))</f>
        <v/>
      </c>
      <c r="R5">
        <f>IF($D5="","",IF(AND(8&gt;=$D5,8&lt;=$F5),1,""))</f>
        <v/>
      </c>
      <c r="S5">
        <f>IF($D5="","",IF(AND(9&gt;=$D5,9&lt;=$F5),1,""))</f>
        <v/>
      </c>
      <c r="T5">
        <f>IF($D5="","",IF(AND(10&gt;=$D5,10&lt;=$F5),1,""))</f>
        <v/>
      </c>
      <c r="U5">
        <f>IF($D5="","",IF(AND(11&gt;=$D5,11&lt;=$F5),1,""))</f>
        <v/>
      </c>
      <c r="V5">
        <f>IF($D5="","",IF(AND(12&gt;=$D5,12&lt;=$F5),1,""))</f>
        <v/>
      </c>
      <c r="W5">
        <f>IF($D5="","",IF(AND(13&gt;=$D5,13&lt;=$F5),1,""))</f>
        <v/>
      </c>
      <c r="X5">
        <f>IF($D5="","",IF(AND(14&gt;=$D5,14&lt;=$F5),1,""))</f>
        <v/>
      </c>
      <c r="Y5">
        <f>IF($D5="","",IF(AND(15&gt;=$D5,15&lt;=$F5),1,""))</f>
        <v/>
      </c>
      <c r="Z5">
        <f>IF($D5="","",IF(AND(16&gt;=$D5,16&lt;=$F5),1,""))</f>
        <v/>
      </c>
      <c r="AA5">
        <f>IF($D5="","",IF(AND(17&gt;=$D5,17&lt;=$F5),1,""))</f>
        <v/>
      </c>
      <c r="AB5">
        <f>IF($D5="","",IF(AND(18&gt;=$D5,18&lt;=$F5),1,""))</f>
        <v/>
      </c>
      <c r="AC5">
        <f>IF($D5="","",IF(AND(19&gt;=$D5,19&lt;=$F5),1,""))</f>
        <v/>
      </c>
      <c r="AD5">
        <f>IF($D5="","",IF(AND(20&gt;=$D5,20&lt;=$F5),1,""))</f>
        <v/>
      </c>
      <c r="AE5">
        <f>IF($D5="","",IF(AND(21&gt;=$D5,21&lt;=$F5),1,""))</f>
        <v/>
      </c>
      <c r="AF5">
        <f>IF($D5="","",IF(AND(22&gt;=$D5,22&lt;=$F5),1,""))</f>
        <v/>
      </c>
      <c r="AG5">
        <f>IF($D5="","",IF(AND(23&gt;=$D5,23&lt;=$F5),1,""))</f>
        <v/>
      </c>
      <c r="AH5">
        <f>IF($D5="","",IF(AND(24&gt;=$D5,24&lt;=$F5),1,""))</f>
        <v/>
      </c>
      <c r="AI5">
        <f>IF($D5="","",IF(AND(25&gt;=$D5,25&lt;=$F5),1,""))</f>
        <v/>
      </c>
      <c r="AJ5">
        <f>IF($D5="","",IF(AND(26&gt;=$D5,26&lt;=$F5),1,""))</f>
        <v/>
      </c>
      <c r="AK5">
        <f>IF($D5="","",IF(AND(27&gt;=$D5,27&lt;=$F5),1,""))</f>
        <v/>
      </c>
      <c r="AL5">
        <f>IF($D5="","",IF(AND(28&gt;=$D5,28&lt;=$F5),1,""))</f>
        <v/>
      </c>
      <c r="AM5">
        <f>IF($D5="","",IF(AND(29&gt;=$D5,29&lt;=$F5),1,""))</f>
        <v/>
      </c>
      <c r="AN5">
        <f>IF($D5="","",IF(AND(30&gt;=$D5,30&lt;=$F5),1,""))</f>
        <v/>
      </c>
    </row>
    <row r="6">
      <c r="A6" s="5" t="inlineStr">
        <is>
          <t>T3</t>
        </is>
      </c>
      <c r="B6" s="6" t="inlineStr">
        <is>
          <t>Revisar privacidad, contrato y costos</t>
        </is>
      </c>
      <c r="C6" s="5" t="inlineStr">
        <is>
          <t>Sistemas</t>
        </is>
      </c>
      <c r="D6" s="5" t="n">
        <v>4</v>
      </c>
      <c r="E6" s="5" t="n">
        <v>5</v>
      </c>
      <c r="F6" s="5">
        <f>IF(D6="","",D6+E6-1)</f>
        <v/>
      </c>
      <c r="G6" s="5" t="inlineStr">
        <is>
          <t>T1</t>
        </is>
      </c>
      <c r="H6">
        <f>IF(OR(G6="",G6=0),"",IFERROR(INDEX($F$4:$F$40,MATCH(G6,$A$4:$A$40,0)),"No existe"))</f>
        <v/>
      </c>
      <c r="I6">
        <f>IF(D6="","",IF(H6="","OK",IF(H6="No existe","Predecesora inexistente",IF(D6&lt;=H6,"Empieza antes de que termine su predecesora",IF(F6&gt;30,"Pasa del día 30","OK")))))</f>
        <v/>
      </c>
      <c r="J6">
        <f>IF(D6="","",INT((D6-1)/7)+1)</f>
        <v/>
      </c>
      <c r="K6">
        <f>IF($D6="","",IF(AND(1&gt;=$D6,1&lt;=$F6),1,""))</f>
        <v/>
      </c>
      <c r="L6">
        <f>IF($D6="","",IF(AND(2&gt;=$D6,2&lt;=$F6),1,""))</f>
        <v/>
      </c>
      <c r="M6">
        <f>IF($D6="","",IF(AND(3&gt;=$D6,3&lt;=$F6),1,""))</f>
        <v/>
      </c>
      <c r="N6">
        <f>IF($D6="","",IF(AND(4&gt;=$D6,4&lt;=$F6),1,""))</f>
        <v/>
      </c>
      <c r="O6">
        <f>IF($D6="","",IF(AND(5&gt;=$D6,5&lt;=$F6),1,""))</f>
        <v/>
      </c>
      <c r="P6">
        <f>IF($D6="","",IF(AND(6&gt;=$D6,6&lt;=$F6),1,""))</f>
        <v/>
      </c>
      <c r="Q6">
        <f>IF($D6="","",IF(AND(7&gt;=$D6,7&lt;=$F6),1,""))</f>
        <v/>
      </c>
      <c r="R6">
        <f>IF($D6="","",IF(AND(8&gt;=$D6,8&lt;=$F6),1,""))</f>
        <v/>
      </c>
      <c r="S6">
        <f>IF($D6="","",IF(AND(9&gt;=$D6,9&lt;=$F6),1,""))</f>
        <v/>
      </c>
      <c r="T6">
        <f>IF($D6="","",IF(AND(10&gt;=$D6,10&lt;=$F6),1,""))</f>
        <v/>
      </c>
      <c r="U6">
        <f>IF($D6="","",IF(AND(11&gt;=$D6,11&lt;=$F6),1,""))</f>
        <v/>
      </c>
      <c r="V6">
        <f>IF($D6="","",IF(AND(12&gt;=$D6,12&lt;=$F6),1,""))</f>
        <v/>
      </c>
      <c r="W6">
        <f>IF($D6="","",IF(AND(13&gt;=$D6,13&lt;=$F6),1,""))</f>
        <v/>
      </c>
      <c r="X6">
        <f>IF($D6="","",IF(AND(14&gt;=$D6,14&lt;=$F6),1,""))</f>
        <v/>
      </c>
      <c r="Y6">
        <f>IF($D6="","",IF(AND(15&gt;=$D6,15&lt;=$F6),1,""))</f>
        <v/>
      </c>
      <c r="Z6">
        <f>IF($D6="","",IF(AND(16&gt;=$D6,16&lt;=$F6),1,""))</f>
        <v/>
      </c>
      <c r="AA6">
        <f>IF($D6="","",IF(AND(17&gt;=$D6,17&lt;=$F6),1,""))</f>
        <v/>
      </c>
      <c r="AB6">
        <f>IF($D6="","",IF(AND(18&gt;=$D6,18&lt;=$F6),1,""))</f>
        <v/>
      </c>
      <c r="AC6">
        <f>IF($D6="","",IF(AND(19&gt;=$D6,19&lt;=$F6),1,""))</f>
        <v/>
      </c>
      <c r="AD6">
        <f>IF($D6="","",IF(AND(20&gt;=$D6,20&lt;=$F6),1,""))</f>
        <v/>
      </c>
      <c r="AE6">
        <f>IF($D6="","",IF(AND(21&gt;=$D6,21&lt;=$F6),1,""))</f>
        <v/>
      </c>
      <c r="AF6">
        <f>IF($D6="","",IF(AND(22&gt;=$D6,22&lt;=$F6),1,""))</f>
        <v/>
      </c>
      <c r="AG6">
        <f>IF($D6="","",IF(AND(23&gt;=$D6,23&lt;=$F6),1,""))</f>
        <v/>
      </c>
      <c r="AH6">
        <f>IF($D6="","",IF(AND(24&gt;=$D6,24&lt;=$F6),1,""))</f>
        <v/>
      </c>
      <c r="AI6">
        <f>IF($D6="","",IF(AND(25&gt;=$D6,25&lt;=$F6),1,""))</f>
        <v/>
      </c>
      <c r="AJ6">
        <f>IF($D6="","",IF(AND(26&gt;=$D6,26&lt;=$F6),1,""))</f>
        <v/>
      </c>
      <c r="AK6">
        <f>IF($D6="","",IF(AND(27&gt;=$D6,27&lt;=$F6),1,""))</f>
        <v/>
      </c>
      <c r="AL6">
        <f>IF($D6="","",IF(AND(28&gt;=$D6,28&lt;=$F6),1,""))</f>
        <v/>
      </c>
      <c r="AM6">
        <f>IF($D6="","",IF(AND(29&gt;=$D6,29&lt;=$F6),1,""))</f>
        <v/>
      </c>
      <c r="AN6">
        <f>IF($D6="","",IF(AND(30&gt;=$D6,30&lt;=$F6),1,""))</f>
        <v/>
      </c>
    </row>
    <row r="7">
      <c r="A7" s="5" t="inlineStr">
        <is>
          <t>T4</t>
        </is>
      </c>
      <c r="B7" s="6" t="inlineStr">
        <is>
          <t>Configurar cuentas, roles y permisos</t>
        </is>
      </c>
      <c r="C7" s="5" t="inlineStr">
        <is>
          <t>Sistemas</t>
        </is>
      </c>
      <c r="D7" s="5" t="n">
        <v>9</v>
      </c>
      <c r="E7" s="5" t="n">
        <v>3</v>
      </c>
      <c r="F7" s="5">
        <f>IF(D7="","",D7+E7-1)</f>
        <v/>
      </c>
      <c r="G7" s="5" t="inlineStr">
        <is>
          <t>T3</t>
        </is>
      </c>
      <c r="H7">
        <f>IF(OR(G7="",G7=0),"",IFERROR(INDEX($F$4:$F$40,MATCH(G7,$A$4:$A$40,0)),"No existe"))</f>
        <v/>
      </c>
      <c r="I7">
        <f>IF(D7="","",IF(H7="","OK",IF(H7="No existe","Predecesora inexistente",IF(D7&lt;=H7,"Empieza antes de que termine su predecesora",IF(F7&gt;30,"Pasa del día 30","OK")))))</f>
        <v/>
      </c>
      <c r="J7">
        <f>IF(D7="","",INT((D7-1)/7)+1)</f>
        <v/>
      </c>
      <c r="K7">
        <f>IF($D7="","",IF(AND(1&gt;=$D7,1&lt;=$F7),1,""))</f>
        <v/>
      </c>
      <c r="L7">
        <f>IF($D7="","",IF(AND(2&gt;=$D7,2&lt;=$F7),1,""))</f>
        <v/>
      </c>
      <c r="M7">
        <f>IF($D7="","",IF(AND(3&gt;=$D7,3&lt;=$F7),1,""))</f>
        <v/>
      </c>
      <c r="N7">
        <f>IF($D7="","",IF(AND(4&gt;=$D7,4&lt;=$F7),1,""))</f>
        <v/>
      </c>
      <c r="O7">
        <f>IF($D7="","",IF(AND(5&gt;=$D7,5&lt;=$F7),1,""))</f>
        <v/>
      </c>
      <c r="P7">
        <f>IF($D7="","",IF(AND(6&gt;=$D7,6&lt;=$F7),1,""))</f>
        <v/>
      </c>
      <c r="Q7">
        <f>IF($D7="","",IF(AND(7&gt;=$D7,7&lt;=$F7),1,""))</f>
        <v/>
      </c>
      <c r="R7">
        <f>IF($D7="","",IF(AND(8&gt;=$D7,8&lt;=$F7),1,""))</f>
        <v/>
      </c>
      <c r="S7">
        <f>IF($D7="","",IF(AND(9&gt;=$D7,9&lt;=$F7),1,""))</f>
        <v/>
      </c>
      <c r="T7">
        <f>IF($D7="","",IF(AND(10&gt;=$D7,10&lt;=$F7),1,""))</f>
        <v/>
      </c>
      <c r="U7">
        <f>IF($D7="","",IF(AND(11&gt;=$D7,11&lt;=$F7),1,""))</f>
        <v/>
      </c>
      <c r="V7">
        <f>IF($D7="","",IF(AND(12&gt;=$D7,12&lt;=$F7),1,""))</f>
        <v/>
      </c>
      <c r="W7">
        <f>IF($D7="","",IF(AND(13&gt;=$D7,13&lt;=$F7),1,""))</f>
        <v/>
      </c>
      <c r="X7">
        <f>IF($D7="","",IF(AND(14&gt;=$D7,14&lt;=$F7),1,""))</f>
        <v/>
      </c>
      <c r="Y7">
        <f>IF($D7="","",IF(AND(15&gt;=$D7,15&lt;=$F7),1,""))</f>
        <v/>
      </c>
      <c r="Z7">
        <f>IF($D7="","",IF(AND(16&gt;=$D7,16&lt;=$F7),1,""))</f>
        <v/>
      </c>
      <c r="AA7">
        <f>IF($D7="","",IF(AND(17&gt;=$D7,17&lt;=$F7),1,""))</f>
        <v/>
      </c>
      <c r="AB7">
        <f>IF($D7="","",IF(AND(18&gt;=$D7,18&lt;=$F7),1,""))</f>
        <v/>
      </c>
      <c r="AC7">
        <f>IF($D7="","",IF(AND(19&gt;=$D7,19&lt;=$F7),1,""))</f>
        <v/>
      </c>
      <c r="AD7">
        <f>IF($D7="","",IF(AND(20&gt;=$D7,20&lt;=$F7),1,""))</f>
        <v/>
      </c>
      <c r="AE7">
        <f>IF($D7="","",IF(AND(21&gt;=$D7,21&lt;=$F7),1,""))</f>
        <v/>
      </c>
      <c r="AF7">
        <f>IF($D7="","",IF(AND(22&gt;=$D7,22&lt;=$F7),1,""))</f>
        <v/>
      </c>
      <c r="AG7">
        <f>IF($D7="","",IF(AND(23&gt;=$D7,23&lt;=$F7),1,""))</f>
        <v/>
      </c>
      <c r="AH7">
        <f>IF($D7="","",IF(AND(24&gt;=$D7,24&lt;=$F7),1,""))</f>
        <v/>
      </c>
      <c r="AI7">
        <f>IF($D7="","",IF(AND(25&gt;=$D7,25&lt;=$F7),1,""))</f>
        <v/>
      </c>
      <c r="AJ7">
        <f>IF($D7="","",IF(AND(26&gt;=$D7,26&lt;=$F7),1,""))</f>
        <v/>
      </c>
      <c r="AK7">
        <f>IF($D7="","",IF(AND(27&gt;=$D7,27&lt;=$F7),1,""))</f>
        <v/>
      </c>
      <c r="AL7">
        <f>IF($D7="","",IF(AND(28&gt;=$D7,28&lt;=$F7),1,""))</f>
        <v/>
      </c>
      <c r="AM7">
        <f>IF($D7="","",IF(AND(29&gt;=$D7,29&lt;=$F7),1,""))</f>
        <v/>
      </c>
      <c r="AN7">
        <f>IF($D7="","",IF(AND(30&gt;=$D7,30&lt;=$F7),1,""))</f>
        <v/>
      </c>
    </row>
    <row r="8">
      <c r="A8" s="5" t="inlineStr">
        <is>
          <t>T5</t>
        </is>
      </c>
      <c r="B8" s="6" t="inlineStr">
        <is>
          <t>Cargar datos de prueba (no reales)</t>
        </is>
      </c>
      <c r="C8" s="5" t="inlineStr">
        <is>
          <t>Sistemas</t>
        </is>
      </c>
      <c r="D8" s="5" t="n">
        <v>12</v>
      </c>
      <c r="E8" s="5" t="n">
        <v>3</v>
      </c>
      <c r="F8" s="5">
        <f>IF(D8="","",D8+E8-1)</f>
        <v/>
      </c>
      <c r="G8" s="5" t="inlineStr">
        <is>
          <t>T4</t>
        </is>
      </c>
      <c r="H8">
        <f>IF(OR(G8="",G8=0),"",IFERROR(INDEX($F$4:$F$40,MATCH(G8,$A$4:$A$40,0)),"No existe"))</f>
        <v/>
      </c>
      <c r="I8">
        <f>IF(D8="","",IF(H8="","OK",IF(H8="No existe","Predecesora inexistente",IF(D8&lt;=H8,"Empieza antes de que termine su predecesora",IF(F8&gt;30,"Pasa del día 30","OK")))))</f>
        <v/>
      </c>
      <c r="J8">
        <f>IF(D8="","",INT((D8-1)/7)+1)</f>
        <v/>
      </c>
      <c r="K8">
        <f>IF($D8="","",IF(AND(1&gt;=$D8,1&lt;=$F8),1,""))</f>
        <v/>
      </c>
      <c r="L8">
        <f>IF($D8="","",IF(AND(2&gt;=$D8,2&lt;=$F8),1,""))</f>
        <v/>
      </c>
      <c r="M8">
        <f>IF($D8="","",IF(AND(3&gt;=$D8,3&lt;=$F8),1,""))</f>
        <v/>
      </c>
      <c r="N8">
        <f>IF($D8="","",IF(AND(4&gt;=$D8,4&lt;=$F8),1,""))</f>
        <v/>
      </c>
      <c r="O8">
        <f>IF($D8="","",IF(AND(5&gt;=$D8,5&lt;=$F8),1,""))</f>
        <v/>
      </c>
      <c r="P8">
        <f>IF($D8="","",IF(AND(6&gt;=$D8,6&lt;=$F8),1,""))</f>
        <v/>
      </c>
      <c r="Q8">
        <f>IF($D8="","",IF(AND(7&gt;=$D8,7&lt;=$F8),1,""))</f>
        <v/>
      </c>
      <c r="R8">
        <f>IF($D8="","",IF(AND(8&gt;=$D8,8&lt;=$F8),1,""))</f>
        <v/>
      </c>
      <c r="S8">
        <f>IF($D8="","",IF(AND(9&gt;=$D8,9&lt;=$F8),1,""))</f>
        <v/>
      </c>
      <c r="T8">
        <f>IF($D8="","",IF(AND(10&gt;=$D8,10&lt;=$F8),1,""))</f>
        <v/>
      </c>
      <c r="U8">
        <f>IF($D8="","",IF(AND(11&gt;=$D8,11&lt;=$F8),1,""))</f>
        <v/>
      </c>
      <c r="V8">
        <f>IF($D8="","",IF(AND(12&gt;=$D8,12&lt;=$F8),1,""))</f>
        <v/>
      </c>
      <c r="W8">
        <f>IF($D8="","",IF(AND(13&gt;=$D8,13&lt;=$F8),1,""))</f>
        <v/>
      </c>
      <c r="X8">
        <f>IF($D8="","",IF(AND(14&gt;=$D8,14&lt;=$F8),1,""))</f>
        <v/>
      </c>
      <c r="Y8">
        <f>IF($D8="","",IF(AND(15&gt;=$D8,15&lt;=$F8),1,""))</f>
        <v/>
      </c>
      <c r="Z8">
        <f>IF($D8="","",IF(AND(16&gt;=$D8,16&lt;=$F8),1,""))</f>
        <v/>
      </c>
      <c r="AA8">
        <f>IF($D8="","",IF(AND(17&gt;=$D8,17&lt;=$F8),1,""))</f>
        <v/>
      </c>
      <c r="AB8">
        <f>IF($D8="","",IF(AND(18&gt;=$D8,18&lt;=$F8),1,""))</f>
        <v/>
      </c>
      <c r="AC8">
        <f>IF($D8="","",IF(AND(19&gt;=$D8,19&lt;=$F8),1,""))</f>
        <v/>
      </c>
      <c r="AD8">
        <f>IF($D8="","",IF(AND(20&gt;=$D8,20&lt;=$F8),1,""))</f>
        <v/>
      </c>
      <c r="AE8">
        <f>IF($D8="","",IF(AND(21&gt;=$D8,21&lt;=$F8),1,""))</f>
        <v/>
      </c>
      <c r="AF8">
        <f>IF($D8="","",IF(AND(22&gt;=$D8,22&lt;=$F8),1,""))</f>
        <v/>
      </c>
      <c r="AG8">
        <f>IF($D8="","",IF(AND(23&gt;=$D8,23&lt;=$F8),1,""))</f>
        <v/>
      </c>
      <c r="AH8">
        <f>IF($D8="","",IF(AND(24&gt;=$D8,24&lt;=$F8),1,""))</f>
        <v/>
      </c>
      <c r="AI8">
        <f>IF($D8="","",IF(AND(25&gt;=$D8,25&lt;=$F8),1,""))</f>
        <v/>
      </c>
      <c r="AJ8">
        <f>IF($D8="","",IF(AND(26&gt;=$D8,26&lt;=$F8),1,""))</f>
        <v/>
      </c>
      <c r="AK8">
        <f>IF($D8="","",IF(AND(27&gt;=$D8,27&lt;=$F8),1,""))</f>
        <v/>
      </c>
      <c r="AL8">
        <f>IF($D8="","",IF(AND(28&gt;=$D8,28&lt;=$F8),1,""))</f>
        <v/>
      </c>
      <c r="AM8">
        <f>IF($D8="","",IF(AND(29&gt;=$D8,29&lt;=$F8),1,""))</f>
        <v/>
      </c>
      <c r="AN8">
        <f>IF($D8="","",IF(AND(30&gt;=$D8,30&lt;=$F8),1,""))</f>
        <v/>
      </c>
    </row>
    <row r="9">
      <c r="A9" s="5" t="inlineStr">
        <is>
          <t>T6</t>
        </is>
      </c>
      <c r="B9" s="6" t="inlineStr">
        <is>
          <t>Preparar materiales y guía rápida</t>
        </is>
      </c>
      <c r="C9" s="5" t="inlineStr">
        <is>
          <t>Coordinación</t>
        </is>
      </c>
      <c r="D9" s="5" t="n">
        <v>6</v>
      </c>
      <c r="E9" s="5" t="n">
        <v>5</v>
      </c>
      <c r="F9" s="5">
        <f>IF(D9="","",D9+E9-1)</f>
        <v/>
      </c>
      <c r="G9" s="5" t="inlineStr">
        <is>
          <t>T1</t>
        </is>
      </c>
      <c r="H9">
        <f>IF(OR(G9="",G9=0),"",IFERROR(INDEX($F$4:$F$40,MATCH(G9,$A$4:$A$40,0)),"No existe"))</f>
        <v/>
      </c>
      <c r="I9">
        <f>IF(D9="","",IF(H9="","OK",IF(H9="No existe","Predecesora inexistente",IF(D9&lt;=H9,"Empieza antes de que termine su predecesora",IF(F9&gt;30,"Pasa del día 30","OK")))))</f>
        <v/>
      </c>
      <c r="J9">
        <f>IF(D9="","",INT((D9-1)/7)+1)</f>
        <v/>
      </c>
      <c r="K9">
        <f>IF($D9="","",IF(AND(1&gt;=$D9,1&lt;=$F9),1,""))</f>
        <v/>
      </c>
      <c r="L9">
        <f>IF($D9="","",IF(AND(2&gt;=$D9,2&lt;=$F9),1,""))</f>
        <v/>
      </c>
      <c r="M9">
        <f>IF($D9="","",IF(AND(3&gt;=$D9,3&lt;=$F9),1,""))</f>
        <v/>
      </c>
      <c r="N9">
        <f>IF($D9="","",IF(AND(4&gt;=$D9,4&lt;=$F9),1,""))</f>
        <v/>
      </c>
      <c r="O9">
        <f>IF($D9="","",IF(AND(5&gt;=$D9,5&lt;=$F9),1,""))</f>
        <v/>
      </c>
      <c r="P9">
        <f>IF($D9="","",IF(AND(6&gt;=$D9,6&lt;=$F9),1,""))</f>
        <v/>
      </c>
      <c r="Q9">
        <f>IF($D9="","",IF(AND(7&gt;=$D9,7&lt;=$F9),1,""))</f>
        <v/>
      </c>
      <c r="R9">
        <f>IF($D9="","",IF(AND(8&gt;=$D9,8&lt;=$F9),1,""))</f>
        <v/>
      </c>
      <c r="S9">
        <f>IF($D9="","",IF(AND(9&gt;=$D9,9&lt;=$F9),1,""))</f>
        <v/>
      </c>
      <c r="T9">
        <f>IF($D9="","",IF(AND(10&gt;=$D9,10&lt;=$F9),1,""))</f>
        <v/>
      </c>
      <c r="U9">
        <f>IF($D9="","",IF(AND(11&gt;=$D9,11&lt;=$F9),1,""))</f>
        <v/>
      </c>
      <c r="V9">
        <f>IF($D9="","",IF(AND(12&gt;=$D9,12&lt;=$F9),1,""))</f>
        <v/>
      </c>
      <c r="W9">
        <f>IF($D9="","",IF(AND(13&gt;=$D9,13&lt;=$F9),1,""))</f>
        <v/>
      </c>
      <c r="X9">
        <f>IF($D9="","",IF(AND(14&gt;=$D9,14&lt;=$F9),1,""))</f>
        <v/>
      </c>
      <c r="Y9">
        <f>IF($D9="","",IF(AND(15&gt;=$D9,15&lt;=$F9),1,""))</f>
        <v/>
      </c>
      <c r="Z9">
        <f>IF($D9="","",IF(AND(16&gt;=$D9,16&lt;=$F9),1,""))</f>
        <v/>
      </c>
      <c r="AA9">
        <f>IF($D9="","",IF(AND(17&gt;=$D9,17&lt;=$F9),1,""))</f>
        <v/>
      </c>
      <c r="AB9">
        <f>IF($D9="","",IF(AND(18&gt;=$D9,18&lt;=$F9),1,""))</f>
        <v/>
      </c>
      <c r="AC9">
        <f>IF($D9="","",IF(AND(19&gt;=$D9,19&lt;=$F9),1,""))</f>
        <v/>
      </c>
      <c r="AD9">
        <f>IF($D9="","",IF(AND(20&gt;=$D9,20&lt;=$F9),1,""))</f>
        <v/>
      </c>
      <c r="AE9">
        <f>IF($D9="","",IF(AND(21&gt;=$D9,21&lt;=$F9),1,""))</f>
        <v/>
      </c>
      <c r="AF9">
        <f>IF($D9="","",IF(AND(22&gt;=$D9,22&lt;=$F9),1,""))</f>
        <v/>
      </c>
      <c r="AG9">
        <f>IF($D9="","",IF(AND(23&gt;=$D9,23&lt;=$F9),1,""))</f>
        <v/>
      </c>
      <c r="AH9">
        <f>IF($D9="","",IF(AND(24&gt;=$D9,24&lt;=$F9),1,""))</f>
        <v/>
      </c>
      <c r="AI9">
        <f>IF($D9="","",IF(AND(25&gt;=$D9,25&lt;=$F9),1,""))</f>
        <v/>
      </c>
      <c r="AJ9">
        <f>IF($D9="","",IF(AND(26&gt;=$D9,26&lt;=$F9),1,""))</f>
        <v/>
      </c>
      <c r="AK9">
        <f>IF($D9="","",IF(AND(27&gt;=$D9,27&lt;=$F9),1,""))</f>
        <v/>
      </c>
      <c r="AL9">
        <f>IF($D9="","",IF(AND(28&gt;=$D9,28&lt;=$F9),1,""))</f>
        <v/>
      </c>
      <c r="AM9">
        <f>IF($D9="","",IF(AND(29&gt;=$D9,29&lt;=$F9),1,""))</f>
        <v/>
      </c>
      <c r="AN9">
        <f>IF($D9="","",IF(AND(30&gt;=$D9,30&lt;=$F9),1,""))</f>
        <v/>
      </c>
    </row>
    <row r="10">
      <c r="A10" s="5" t="inlineStr">
        <is>
          <t>T7</t>
        </is>
      </c>
      <c r="B10" s="6" t="inlineStr">
        <is>
          <t>Capacitar al equipo piloto</t>
        </is>
      </c>
      <c r="C10" s="5" t="inlineStr">
        <is>
          <t>Coordinación</t>
        </is>
      </c>
      <c r="D10" s="5" t="n">
        <v>11</v>
      </c>
      <c r="E10" s="5" t="n">
        <v>2</v>
      </c>
      <c r="F10" s="5">
        <f>IF(D10="","",D10+E10-1)</f>
        <v/>
      </c>
      <c r="G10" s="5" t="inlineStr">
        <is>
          <t>T6</t>
        </is>
      </c>
      <c r="H10">
        <f>IF(OR(G10="",G10=0),"",IFERROR(INDEX($F$4:$F$40,MATCH(G10,$A$4:$A$40,0)),"No existe"))</f>
        <v/>
      </c>
      <c r="I10">
        <f>IF(D10="","",IF(H10="","OK",IF(H10="No existe","Predecesora inexistente",IF(D10&lt;=H10,"Empieza antes de que termine su predecesora",IF(F10&gt;30,"Pasa del día 30","OK")))))</f>
        <v/>
      </c>
      <c r="J10">
        <f>IF(D10="","",INT((D10-1)/7)+1)</f>
        <v/>
      </c>
      <c r="K10">
        <f>IF($D10="","",IF(AND(1&gt;=$D10,1&lt;=$F10),1,""))</f>
        <v/>
      </c>
      <c r="L10">
        <f>IF($D10="","",IF(AND(2&gt;=$D10,2&lt;=$F10),1,""))</f>
        <v/>
      </c>
      <c r="M10">
        <f>IF($D10="","",IF(AND(3&gt;=$D10,3&lt;=$F10),1,""))</f>
        <v/>
      </c>
      <c r="N10">
        <f>IF($D10="","",IF(AND(4&gt;=$D10,4&lt;=$F10),1,""))</f>
        <v/>
      </c>
      <c r="O10">
        <f>IF($D10="","",IF(AND(5&gt;=$D10,5&lt;=$F10),1,""))</f>
        <v/>
      </c>
      <c r="P10">
        <f>IF($D10="","",IF(AND(6&gt;=$D10,6&lt;=$F10),1,""))</f>
        <v/>
      </c>
      <c r="Q10">
        <f>IF($D10="","",IF(AND(7&gt;=$D10,7&lt;=$F10),1,""))</f>
        <v/>
      </c>
      <c r="R10">
        <f>IF($D10="","",IF(AND(8&gt;=$D10,8&lt;=$F10),1,""))</f>
        <v/>
      </c>
      <c r="S10">
        <f>IF($D10="","",IF(AND(9&gt;=$D10,9&lt;=$F10),1,""))</f>
        <v/>
      </c>
      <c r="T10">
        <f>IF($D10="","",IF(AND(10&gt;=$D10,10&lt;=$F10),1,""))</f>
        <v/>
      </c>
      <c r="U10">
        <f>IF($D10="","",IF(AND(11&gt;=$D10,11&lt;=$F10),1,""))</f>
        <v/>
      </c>
      <c r="V10">
        <f>IF($D10="","",IF(AND(12&gt;=$D10,12&lt;=$F10),1,""))</f>
        <v/>
      </c>
      <c r="W10">
        <f>IF($D10="","",IF(AND(13&gt;=$D10,13&lt;=$F10),1,""))</f>
        <v/>
      </c>
      <c r="X10">
        <f>IF($D10="","",IF(AND(14&gt;=$D10,14&lt;=$F10),1,""))</f>
        <v/>
      </c>
      <c r="Y10">
        <f>IF($D10="","",IF(AND(15&gt;=$D10,15&lt;=$F10),1,""))</f>
        <v/>
      </c>
      <c r="Z10">
        <f>IF($D10="","",IF(AND(16&gt;=$D10,16&lt;=$F10),1,""))</f>
        <v/>
      </c>
      <c r="AA10">
        <f>IF($D10="","",IF(AND(17&gt;=$D10,17&lt;=$F10),1,""))</f>
        <v/>
      </c>
      <c r="AB10">
        <f>IF($D10="","",IF(AND(18&gt;=$D10,18&lt;=$F10),1,""))</f>
        <v/>
      </c>
      <c r="AC10">
        <f>IF($D10="","",IF(AND(19&gt;=$D10,19&lt;=$F10),1,""))</f>
        <v/>
      </c>
      <c r="AD10">
        <f>IF($D10="","",IF(AND(20&gt;=$D10,20&lt;=$F10),1,""))</f>
        <v/>
      </c>
      <c r="AE10">
        <f>IF($D10="","",IF(AND(21&gt;=$D10,21&lt;=$F10),1,""))</f>
        <v/>
      </c>
      <c r="AF10">
        <f>IF($D10="","",IF(AND(22&gt;=$D10,22&lt;=$F10),1,""))</f>
        <v/>
      </c>
      <c r="AG10">
        <f>IF($D10="","",IF(AND(23&gt;=$D10,23&lt;=$F10),1,""))</f>
        <v/>
      </c>
      <c r="AH10">
        <f>IF($D10="","",IF(AND(24&gt;=$D10,24&lt;=$F10),1,""))</f>
        <v/>
      </c>
      <c r="AI10">
        <f>IF($D10="","",IF(AND(25&gt;=$D10,25&lt;=$F10),1,""))</f>
        <v/>
      </c>
      <c r="AJ10">
        <f>IF($D10="","",IF(AND(26&gt;=$D10,26&lt;=$F10),1,""))</f>
        <v/>
      </c>
      <c r="AK10">
        <f>IF($D10="","",IF(AND(27&gt;=$D10,27&lt;=$F10),1,""))</f>
        <v/>
      </c>
      <c r="AL10">
        <f>IF($D10="","",IF(AND(28&gt;=$D10,28&lt;=$F10),1,""))</f>
        <v/>
      </c>
      <c r="AM10">
        <f>IF($D10="","",IF(AND(29&gt;=$D10,29&lt;=$F10),1,""))</f>
        <v/>
      </c>
      <c r="AN10">
        <f>IF($D10="","",IF(AND(30&gt;=$D10,30&lt;=$F10),1,""))</f>
        <v/>
      </c>
    </row>
    <row r="11">
      <c r="A11" s="5" t="inlineStr">
        <is>
          <t>T8</t>
        </is>
      </c>
      <c r="B11" s="6" t="inlineStr">
        <is>
          <t>Piloto con dos grupos</t>
        </is>
      </c>
      <c r="C11" s="5" t="inlineStr">
        <is>
          <t>Docentes piloto</t>
        </is>
      </c>
      <c r="D11" s="5" t="n">
        <v>14</v>
      </c>
      <c r="E11" s="5" t="n">
        <v>5</v>
      </c>
      <c r="F11" s="5">
        <f>IF(D11="","",D11+E11-1)</f>
        <v/>
      </c>
      <c r="G11" s="5" t="inlineStr">
        <is>
          <t>T7</t>
        </is>
      </c>
      <c r="H11">
        <f>IF(OR(G11="",G11=0),"",IFERROR(INDEX($F$4:$F$40,MATCH(G11,$A$4:$A$40,0)),"No existe"))</f>
        <v/>
      </c>
      <c r="I11">
        <f>IF(D11="","",IF(H11="","OK",IF(H11="No existe","Predecesora inexistente",IF(D11&lt;=H11,"Empieza antes de que termine su predecesora",IF(F11&gt;30,"Pasa del día 30","OK")))))</f>
        <v/>
      </c>
      <c r="J11">
        <f>IF(D11="","",INT((D11-1)/7)+1)</f>
        <v/>
      </c>
      <c r="K11">
        <f>IF($D11="","",IF(AND(1&gt;=$D11,1&lt;=$F11),1,""))</f>
        <v/>
      </c>
      <c r="L11">
        <f>IF($D11="","",IF(AND(2&gt;=$D11,2&lt;=$F11),1,""))</f>
        <v/>
      </c>
      <c r="M11">
        <f>IF($D11="","",IF(AND(3&gt;=$D11,3&lt;=$F11),1,""))</f>
        <v/>
      </c>
      <c r="N11">
        <f>IF($D11="","",IF(AND(4&gt;=$D11,4&lt;=$F11),1,""))</f>
        <v/>
      </c>
      <c r="O11">
        <f>IF($D11="","",IF(AND(5&gt;=$D11,5&lt;=$F11),1,""))</f>
        <v/>
      </c>
      <c r="P11">
        <f>IF($D11="","",IF(AND(6&gt;=$D11,6&lt;=$F11),1,""))</f>
        <v/>
      </c>
      <c r="Q11">
        <f>IF($D11="","",IF(AND(7&gt;=$D11,7&lt;=$F11),1,""))</f>
        <v/>
      </c>
      <c r="R11">
        <f>IF($D11="","",IF(AND(8&gt;=$D11,8&lt;=$F11),1,""))</f>
        <v/>
      </c>
      <c r="S11">
        <f>IF($D11="","",IF(AND(9&gt;=$D11,9&lt;=$F11),1,""))</f>
        <v/>
      </c>
      <c r="T11">
        <f>IF($D11="","",IF(AND(10&gt;=$D11,10&lt;=$F11),1,""))</f>
        <v/>
      </c>
      <c r="U11">
        <f>IF($D11="","",IF(AND(11&gt;=$D11,11&lt;=$F11),1,""))</f>
        <v/>
      </c>
      <c r="V11">
        <f>IF($D11="","",IF(AND(12&gt;=$D11,12&lt;=$F11),1,""))</f>
        <v/>
      </c>
      <c r="W11">
        <f>IF($D11="","",IF(AND(13&gt;=$D11,13&lt;=$F11),1,""))</f>
        <v/>
      </c>
      <c r="X11">
        <f>IF($D11="","",IF(AND(14&gt;=$D11,14&lt;=$F11),1,""))</f>
        <v/>
      </c>
      <c r="Y11">
        <f>IF($D11="","",IF(AND(15&gt;=$D11,15&lt;=$F11),1,""))</f>
        <v/>
      </c>
      <c r="Z11">
        <f>IF($D11="","",IF(AND(16&gt;=$D11,16&lt;=$F11),1,""))</f>
        <v/>
      </c>
      <c r="AA11">
        <f>IF($D11="","",IF(AND(17&gt;=$D11,17&lt;=$F11),1,""))</f>
        <v/>
      </c>
      <c r="AB11">
        <f>IF($D11="","",IF(AND(18&gt;=$D11,18&lt;=$F11),1,""))</f>
        <v/>
      </c>
      <c r="AC11">
        <f>IF($D11="","",IF(AND(19&gt;=$D11,19&lt;=$F11),1,""))</f>
        <v/>
      </c>
      <c r="AD11">
        <f>IF($D11="","",IF(AND(20&gt;=$D11,20&lt;=$F11),1,""))</f>
        <v/>
      </c>
      <c r="AE11">
        <f>IF($D11="","",IF(AND(21&gt;=$D11,21&lt;=$F11),1,""))</f>
        <v/>
      </c>
      <c r="AF11">
        <f>IF($D11="","",IF(AND(22&gt;=$D11,22&lt;=$F11),1,""))</f>
        <v/>
      </c>
      <c r="AG11">
        <f>IF($D11="","",IF(AND(23&gt;=$D11,23&lt;=$F11),1,""))</f>
        <v/>
      </c>
      <c r="AH11">
        <f>IF($D11="","",IF(AND(24&gt;=$D11,24&lt;=$F11),1,""))</f>
        <v/>
      </c>
      <c r="AI11">
        <f>IF($D11="","",IF(AND(25&gt;=$D11,25&lt;=$F11),1,""))</f>
        <v/>
      </c>
      <c r="AJ11">
        <f>IF($D11="","",IF(AND(26&gt;=$D11,26&lt;=$F11),1,""))</f>
        <v/>
      </c>
      <c r="AK11">
        <f>IF($D11="","",IF(AND(27&gt;=$D11,27&lt;=$F11),1,""))</f>
        <v/>
      </c>
      <c r="AL11">
        <f>IF($D11="","",IF(AND(28&gt;=$D11,28&lt;=$F11),1,""))</f>
        <v/>
      </c>
      <c r="AM11">
        <f>IF($D11="","",IF(AND(29&gt;=$D11,29&lt;=$F11),1,""))</f>
        <v/>
      </c>
      <c r="AN11">
        <f>IF($D11="","",IF(AND(30&gt;=$D11,30&lt;=$F11),1,""))</f>
        <v/>
      </c>
    </row>
    <row r="12">
      <c r="A12" s="5" t="inlineStr">
        <is>
          <t>T9</t>
        </is>
      </c>
      <c r="B12" s="6" t="inlineStr">
        <is>
          <t>Recoger retroalimentación de docentes y estudiantes</t>
        </is>
      </c>
      <c r="C12" s="5" t="inlineStr">
        <is>
          <t>Coordinación</t>
        </is>
      </c>
      <c r="D12" s="5" t="n">
        <v>18</v>
      </c>
      <c r="E12" s="5" t="n">
        <v>2</v>
      </c>
      <c r="F12" s="5">
        <f>IF(D12="","",D12+E12-1)</f>
        <v/>
      </c>
      <c r="G12" s="5" t="inlineStr">
        <is>
          <t>T8</t>
        </is>
      </c>
      <c r="H12">
        <f>IF(OR(G12="",G12=0),"",IFERROR(INDEX($F$4:$F$40,MATCH(G12,$A$4:$A$40,0)),"No existe"))</f>
        <v/>
      </c>
      <c r="I12">
        <f>IF(D12="","",IF(H12="","OK",IF(H12="No existe","Predecesora inexistente",IF(D12&lt;=H12,"Empieza antes de que termine su predecesora",IF(F12&gt;30,"Pasa del día 30","OK")))))</f>
        <v/>
      </c>
      <c r="J12">
        <f>IF(D12="","",INT((D12-1)/7)+1)</f>
        <v/>
      </c>
      <c r="K12">
        <f>IF($D12="","",IF(AND(1&gt;=$D12,1&lt;=$F12),1,""))</f>
        <v/>
      </c>
      <c r="L12">
        <f>IF($D12="","",IF(AND(2&gt;=$D12,2&lt;=$F12),1,""))</f>
        <v/>
      </c>
      <c r="M12">
        <f>IF($D12="","",IF(AND(3&gt;=$D12,3&lt;=$F12),1,""))</f>
        <v/>
      </c>
      <c r="N12">
        <f>IF($D12="","",IF(AND(4&gt;=$D12,4&lt;=$F12),1,""))</f>
        <v/>
      </c>
      <c r="O12">
        <f>IF($D12="","",IF(AND(5&gt;=$D12,5&lt;=$F12),1,""))</f>
        <v/>
      </c>
      <c r="P12">
        <f>IF($D12="","",IF(AND(6&gt;=$D12,6&lt;=$F12),1,""))</f>
        <v/>
      </c>
      <c r="Q12">
        <f>IF($D12="","",IF(AND(7&gt;=$D12,7&lt;=$F12),1,""))</f>
        <v/>
      </c>
      <c r="R12">
        <f>IF($D12="","",IF(AND(8&gt;=$D12,8&lt;=$F12),1,""))</f>
        <v/>
      </c>
      <c r="S12">
        <f>IF($D12="","",IF(AND(9&gt;=$D12,9&lt;=$F12),1,""))</f>
        <v/>
      </c>
      <c r="T12">
        <f>IF($D12="","",IF(AND(10&gt;=$D12,10&lt;=$F12),1,""))</f>
        <v/>
      </c>
      <c r="U12">
        <f>IF($D12="","",IF(AND(11&gt;=$D12,11&lt;=$F12),1,""))</f>
        <v/>
      </c>
      <c r="V12">
        <f>IF($D12="","",IF(AND(12&gt;=$D12,12&lt;=$F12),1,""))</f>
        <v/>
      </c>
      <c r="W12">
        <f>IF($D12="","",IF(AND(13&gt;=$D12,13&lt;=$F12),1,""))</f>
        <v/>
      </c>
      <c r="X12">
        <f>IF($D12="","",IF(AND(14&gt;=$D12,14&lt;=$F12),1,""))</f>
        <v/>
      </c>
      <c r="Y12">
        <f>IF($D12="","",IF(AND(15&gt;=$D12,15&lt;=$F12),1,""))</f>
        <v/>
      </c>
      <c r="Z12">
        <f>IF($D12="","",IF(AND(16&gt;=$D12,16&lt;=$F12),1,""))</f>
        <v/>
      </c>
      <c r="AA12">
        <f>IF($D12="","",IF(AND(17&gt;=$D12,17&lt;=$F12),1,""))</f>
        <v/>
      </c>
      <c r="AB12">
        <f>IF($D12="","",IF(AND(18&gt;=$D12,18&lt;=$F12),1,""))</f>
        <v/>
      </c>
      <c r="AC12">
        <f>IF($D12="","",IF(AND(19&gt;=$D12,19&lt;=$F12),1,""))</f>
        <v/>
      </c>
      <c r="AD12">
        <f>IF($D12="","",IF(AND(20&gt;=$D12,20&lt;=$F12),1,""))</f>
        <v/>
      </c>
      <c r="AE12">
        <f>IF($D12="","",IF(AND(21&gt;=$D12,21&lt;=$F12),1,""))</f>
        <v/>
      </c>
      <c r="AF12">
        <f>IF($D12="","",IF(AND(22&gt;=$D12,22&lt;=$F12),1,""))</f>
        <v/>
      </c>
      <c r="AG12">
        <f>IF($D12="","",IF(AND(23&gt;=$D12,23&lt;=$F12),1,""))</f>
        <v/>
      </c>
      <c r="AH12">
        <f>IF($D12="","",IF(AND(24&gt;=$D12,24&lt;=$F12),1,""))</f>
        <v/>
      </c>
      <c r="AI12">
        <f>IF($D12="","",IF(AND(25&gt;=$D12,25&lt;=$F12),1,""))</f>
        <v/>
      </c>
      <c r="AJ12">
        <f>IF($D12="","",IF(AND(26&gt;=$D12,26&lt;=$F12),1,""))</f>
        <v/>
      </c>
      <c r="AK12">
        <f>IF($D12="","",IF(AND(27&gt;=$D12,27&lt;=$F12),1,""))</f>
        <v/>
      </c>
      <c r="AL12">
        <f>IF($D12="","",IF(AND(28&gt;=$D12,28&lt;=$F12),1,""))</f>
        <v/>
      </c>
      <c r="AM12">
        <f>IF($D12="","",IF(AND(29&gt;=$D12,29&lt;=$F12),1,""))</f>
        <v/>
      </c>
      <c r="AN12">
        <f>IF($D12="","",IF(AND(30&gt;=$D12,30&lt;=$F12),1,""))</f>
        <v/>
      </c>
    </row>
    <row r="13">
      <c r="A13" s="5" t="inlineStr">
        <is>
          <t>T10</t>
        </is>
      </c>
      <c r="B13" s="6" t="inlineStr">
        <is>
          <t>Ajustar la configuración</t>
        </is>
      </c>
      <c r="C13" s="5" t="inlineStr">
        <is>
          <t>Sistemas</t>
        </is>
      </c>
      <c r="D13" s="5" t="n">
        <v>20</v>
      </c>
      <c r="E13" s="5" t="n">
        <v>3</v>
      </c>
      <c r="F13" s="5">
        <f>IF(D13="","",D13+E13-1)</f>
        <v/>
      </c>
      <c r="G13" s="5" t="inlineStr">
        <is>
          <t>T9</t>
        </is>
      </c>
      <c r="H13">
        <f>IF(OR(G13="",G13=0),"",IFERROR(INDEX($F$4:$F$40,MATCH(G13,$A$4:$A$40,0)),"No existe"))</f>
        <v/>
      </c>
      <c r="I13">
        <f>IF(D13="","",IF(H13="","OK",IF(H13="No existe","Predecesora inexistente",IF(D13&lt;=H13,"Empieza antes de que termine su predecesora",IF(F13&gt;30,"Pasa del día 30","OK")))))</f>
        <v/>
      </c>
      <c r="J13">
        <f>IF(D13="","",INT((D13-1)/7)+1)</f>
        <v/>
      </c>
      <c r="K13">
        <f>IF($D13="","",IF(AND(1&gt;=$D13,1&lt;=$F13),1,""))</f>
        <v/>
      </c>
      <c r="L13">
        <f>IF($D13="","",IF(AND(2&gt;=$D13,2&lt;=$F13),1,""))</f>
        <v/>
      </c>
      <c r="M13">
        <f>IF($D13="","",IF(AND(3&gt;=$D13,3&lt;=$F13),1,""))</f>
        <v/>
      </c>
      <c r="N13">
        <f>IF($D13="","",IF(AND(4&gt;=$D13,4&lt;=$F13),1,""))</f>
        <v/>
      </c>
      <c r="O13">
        <f>IF($D13="","",IF(AND(5&gt;=$D13,5&lt;=$F13),1,""))</f>
        <v/>
      </c>
      <c r="P13">
        <f>IF($D13="","",IF(AND(6&gt;=$D13,6&lt;=$F13),1,""))</f>
        <v/>
      </c>
      <c r="Q13">
        <f>IF($D13="","",IF(AND(7&gt;=$D13,7&lt;=$F13),1,""))</f>
        <v/>
      </c>
      <c r="R13">
        <f>IF($D13="","",IF(AND(8&gt;=$D13,8&lt;=$F13),1,""))</f>
        <v/>
      </c>
      <c r="S13">
        <f>IF($D13="","",IF(AND(9&gt;=$D13,9&lt;=$F13),1,""))</f>
        <v/>
      </c>
      <c r="T13">
        <f>IF($D13="","",IF(AND(10&gt;=$D13,10&lt;=$F13),1,""))</f>
        <v/>
      </c>
      <c r="U13">
        <f>IF($D13="","",IF(AND(11&gt;=$D13,11&lt;=$F13),1,""))</f>
        <v/>
      </c>
      <c r="V13">
        <f>IF($D13="","",IF(AND(12&gt;=$D13,12&lt;=$F13),1,""))</f>
        <v/>
      </c>
      <c r="W13">
        <f>IF($D13="","",IF(AND(13&gt;=$D13,13&lt;=$F13),1,""))</f>
        <v/>
      </c>
      <c r="X13">
        <f>IF($D13="","",IF(AND(14&gt;=$D13,14&lt;=$F13),1,""))</f>
        <v/>
      </c>
      <c r="Y13">
        <f>IF($D13="","",IF(AND(15&gt;=$D13,15&lt;=$F13),1,""))</f>
        <v/>
      </c>
      <c r="Z13">
        <f>IF($D13="","",IF(AND(16&gt;=$D13,16&lt;=$F13),1,""))</f>
        <v/>
      </c>
      <c r="AA13">
        <f>IF($D13="","",IF(AND(17&gt;=$D13,17&lt;=$F13),1,""))</f>
        <v/>
      </c>
      <c r="AB13">
        <f>IF($D13="","",IF(AND(18&gt;=$D13,18&lt;=$F13),1,""))</f>
        <v/>
      </c>
      <c r="AC13">
        <f>IF($D13="","",IF(AND(19&gt;=$D13,19&lt;=$F13),1,""))</f>
        <v/>
      </c>
      <c r="AD13">
        <f>IF($D13="","",IF(AND(20&gt;=$D13,20&lt;=$F13),1,""))</f>
        <v/>
      </c>
      <c r="AE13">
        <f>IF($D13="","",IF(AND(21&gt;=$D13,21&lt;=$F13),1,""))</f>
        <v/>
      </c>
      <c r="AF13">
        <f>IF($D13="","",IF(AND(22&gt;=$D13,22&lt;=$F13),1,""))</f>
        <v/>
      </c>
      <c r="AG13">
        <f>IF($D13="","",IF(AND(23&gt;=$D13,23&lt;=$F13),1,""))</f>
        <v/>
      </c>
      <c r="AH13">
        <f>IF($D13="","",IF(AND(24&gt;=$D13,24&lt;=$F13),1,""))</f>
        <v/>
      </c>
      <c r="AI13">
        <f>IF($D13="","",IF(AND(25&gt;=$D13,25&lt;=$F13),1,""))</f>
        <v/>
      </c>
      <c r="AJ13">
        <f>IF($D13="","",IF(AND(26&gt;=$D13,26&lt;=$F13),1,""))</f>
        <v/>
      </c>
      <c r="AK13">
        <f>IF($D13="","",IF(AND(27&gt;=$D13,27&lt;=$F13),1,""))</f>
        <v/>
      </c>
      <c r="AL13">
        <f>IF($D13="","",IF(AND(28&gt;=$D13,28&lt;=$F13),1,""))</f>
        <v/>
      </c>
      <c r="AM13">
        <f>IF($D13="","",IF(AND(29&gt;=$D13,29&lt;=$F13),1,""))</f>
        <v/>
      </c>
      <c r="AN13">
        <f>IF($D13="","",IF(AND(30&gt;=$D13,30&lt;=$F13),1,""))</f>
        <v/>
      </c>
    </row>
    <row r="14">
      <c r="A14" s="5" t="inlineStr">
        <is>
          <t>T11</t>
        </is>
      </c>
      <c r="B14" s="6" t="inlineStr">
        <is>
          <t>Piloto ampliado a más grupos</t>
        </is>
      </c>
      <c r="C14" s="5" t="inlineStr">
        <is>
          <t>Docentes piloto</t>
        </is>
      </c>
      <c r="D14" s="5" t="n">
        <v>23</v>
      </c>
      <c r="E14" s="5" t="n">
        <v>4</v>
      </c>
      <c r="F14" s="5">
        <f>IF(D14="","",D14+E14-1)</f>
        <v/>
      </c>
      <c r="G14" s="5" t="inlineStr">
        <is>
          <t>T10</t>
        </is>
      </c>
      <c r="H14">
        <f>IF(OR(G14="",G14=0),"",IFERROR(INDEX($F$4:$F$40,MATCH(G14,$A$4:$A$40,0)),"No existe"))</f>
        <v/>
      </c>
      <c r="I14">
        <f>IF(D14="","",IF(H14="","OK",IF(H14="No existe","Predecesora inexistente",IF(D14&lt;=H14,"Empieza antes de que termine su predecesora",IF(F14&gt;30,"Pasa del día 30","OK")))))</f>
        <v/>
      </c>
      <c r="J14">
        <f>IF(D14="","",INT((D14-1)/7)+1)</f>
        <v/>
      </c>
      <c r="K14">
        <f>IF($D14="","",IF(AND(1&gt;=$D14,1&lt;=$F14),1,""))</f>
        <v/>
      </c>
      <c r="L14">
        <f>IF($D14="","",IF(AND(2&gt;=$D14,2&lt;=$F14),1,""))</f>
        <v/>
      </c>
      <c r="M14">
        <f>IF($D14="","",IF(AND(3&gt;=$D14,3&lt;=$F14),1,""))</f>
        <v/>
      </c>
      <c r="N14">
        <f>IF($D14="","",IF(AND(4&gt;=$D14,4&lt;=$F14),1,""))</f>
        <v/>
      </c>
      <c r="O14">
        <f>IF($D14="","",IF(AND(5&gt;=$D14,5&lt;=$F14),1,""))</f>
        <v/>
      </c>
      <c r="P14">
        <f>IF($D14="","",IF(AND(6&gt;=$D14,6&lt;=$F14),1,""))</f>
        <v/>
      </c>
      <c r="Q14">
        <f>IF($D14="","",IF(AND(7&gt;=$D14,7&lt;=$F14),1,""))</f>
        <v/>
      </c>
      <c r="R14">
        <f>IF($D14="","",IF(AND(8&gt;=$D14,8&lt;=$F14),1,""))</f>
        <v/>
      </c>
      <c r="S14">
        <f>IF($D14="","",IF(AND(9&gt;=$D14,9&lt;=$F14),1,""))</f>
        <v/>
      </c>
      <c r="T14">
        <f>IF($D14="","",IF(AND(10&gt;=$D14,10&lt;=$F14),1,""))</f>
        <v/>
      </c>
      <c r="U14">
        <f>IF($D14="","",IF(AND(11&gt;=$D14,11&lt;=$F14),1,""))</f>
        <v/>
      </c>
      <c r="V14">
        <f>IF($D14="","",IF(AND(12&gt;=$D14,12&lt;=$F14),1,""))</f>
        <v/>
      </c>
      <c r="W14">
        <f>IF($D14="","",IF(AND(13&gt;=$D14,13&lt;=$F14),1,""))</f>
        <v/>
      </c>
      <c r="X14">
        <f>IF($D14="","",IF(AND(14&gt;=$D14,14&lt;=$F14),1,""))</f>
        <v/>
      </c>
      <c r="Y14">
        <f>IF($D14="","",IF(AND(15&gt;=$D14,15&lt;=$F14),1,""))</f>
        <v/>
      </c>
      <c r="Z14">
        <f>IF($D14="","",IF(AND(16&gt;=$D14,16&lt;=$F14),1,""))</f>
        <v/>
      </c>
      <c r="AA14">
        <f>IF($D14="","",IF(AND(17&gt;=$D14,17&lt;=$F14),1,""))</f>
        <v/>
      </c>
      <c r="AB14">
        <f>IF($D14="","",IF(AND(18&gt;=$D14,18&lt;=$F14),1,""))</f>
        <v/>
      </c>
      <c r="AC14">
        <f>IF($D14="","",IF(AND(19&gt;=$D14,19&lt;=$F14),1,""))</f>
        <v/>
      </c>
      <c r="AD14">
        <f>IF($D14="","",IF(AND(20&gt;=$D14,20&lt;=$F14),1,""))</f>
        <v/>
      </c>
      <c r="AE14">
        <f>IF($D14="","",IF(AND(21&gt;=$D14,21&lt;=$F14),1,""))</f>
        <v/>
      </c>
      <c r="AF14">
        <f>IF($D14="","",IF(AND(22&gt;=$D14,22&lt;=$F14),1,""))</f>
        <v/>
      </c>
      <c r="AG14">
        <f>IF($D14="","",IF(AND(23&gt;=$D14,23&lt;=$F14),1,""))</f>
        <v/>
      </c>
      <c r="AH14">
        <f>IF($D14="","",IF(AND(24&gt;=$D14,24&lt;=$F14),1,""))</f>
        <v/>
      </c>
      <c r="AI14">
        <f>IF($D14="","",IF(AND(25&gt;=$D14,25&lt;=$F14),1,""))</f>
        <v/>
      </c>
      <c r="AJ14">
        <f>IF($D14="","",IF(AND(26&gt;=$D14,26&lt;=$F14),1,""))</f>
        <v/>
      </c>
      <c r="AK14">
        <f>IF($D14="","",IF(AND(27&gt;=$D14,27&lt;=$F14),1,""))</f>
        <v/>
      </c>
      <c r="AL14">
        <f>IF($D14="","",IF(AND(28&gt;=$D14,28&lt;=$F14),1,""))</f>
        <v/>
      </c>
      <c r="AM14">
        <f>IF($D14="","",IF(AND(29&gt;=$D14,29&lt;=$F14),1,""))</f>
        <v/>
      </c>
      <c r="AN14">
        <f>IF($D14="","",IF(AND(30&gt;=$D14,30&lt;=$F14),1,""))</f>
        <v/>
      </c>
    </row>
    <row r="15">
      <c r="A15" s="5" t="inlineStr">
        <is>
          <t>T12</t>
        </is>
      </c>
      <c r="B15" s="6" t="inlineStr">
        <is>
          <t>Medir los indicadores de éxito</t>
        </is>
      </c>
      <c r="C15" s="5" t="inlineStr">
        <is>
          <t>Coordinación</t>
        </is>
      </c>
      <c r="D15" s="5" t="n">
        <v>27</v>
      </c>
      <c r="E15" s="5" t="n">
        <v>2</v>
      </c>
      <c r="F15" s="5">
        <f>IF(D15="","",D15+E15-1)</f>
        <v/>
      </c>
      <c r="G15" s="5" t="inlineStr">
        <is>
          <t>T11</t>
        </is>
      </c>
      <c r="H15">
        <f>IF(OR(G15="",G15=0),"",IFERROR(INDEX($F$4:$F$40,MATCH(G15,$A$4:$A$40,0)),"No existe"))</f>
        <v/>
      </c>
      <c r="I15">
        <f>IF(D15="","",IF(H15="","OK",IF(H15="No existe","Predecesora inexistente",IF(D15&lt;=H15,"Empieza antes de que termine su predecesora",IF(F15&gt;30,"Pasa del día 30","OK")))))</f>
        <v/>
      </c>
      <c r="J15">
        <f>IF(D15="","",INT((D15-1)/7)+1)</f>
        <v/>
      </c>
      <c r="K15">
        <f>IF($D15="","",IF(AND(1&gt;=$D15,1&lt;=$F15),1,""))</f>
        <v/>
      </c>
      <c r="L15">
        <f>IF($D15="","",IF(AND(2&gt;=$D15,2&lt;=$F15),1,""))</f>
        <v/>
      </c>
      <c r="M15">
        <f>IF($D15="","",IF(AND(3&gt;=$D15,3&lt;=$F15),1,""))</f>
        <v/>
      </c>
      <c r="N15">
        <f>IF($D15="","",IF(AND(4&gt;=$D15,4&lt;=$F15),1,""))</f>
        <v/>
      </c>
      <c r="O15">
        <f>IF($D15="","",IF(AND(5&gt;=$D15,5&lt;=$F15),1,""))</f>
        <v/>
      </c>
      <c r="P15">
        <f>IF($D15="","",IF(AND(6&gt;=$D15,6&lt;=$F15),1,""))</f>
        <v/>
      </c>
      <c r="Q15">
        <f>IF($D15="","",IF(AND(7&gt;=$D15,7&lt;=$F15),1,""))</f>
        <v/>
      </c>
      <c r="R15">
        <f>IF($D15="","",IF(AND(8&gt;=$D15,8&lt;=$F15),1,""))</f>
        <v/>
      </c>
      <c r="S15">
        <f>IF($D15="","",IF(AND(9&gt;=$D15,9&lt;=$F15),1,""))</f>
        <v/>
      </c>
      <c r="T15">
        <f>IF($D15="","",IF(AND(10&gt;=$D15,10&lt;=$F15),1,""))</f>
        <v/>
      </c>
      <c r="U15">
        <f>IF($D15="","",IF(AND(11&gt;=$D15,11&lt;=$F15),1,""))</f>
        <v/>
      </c>
      <c r="V15">
        <f>IF($D15="","",IF(AND(12&gt;=$D15,12&lt;=$F15),1,""))</f>
        <v/>
      </c>
      <c r="W15">
        <f>IF($D15="","",IF(AND(13&gt;=$D15,13&lt;=$F15),1,""))</f>
        <v/>
      </c>
      <c r="X15">
        <f>IF($D15="","",IF(AND(14&gt;=$D15,14&lt;=$F15),1,""))</f>
        <v/>
      </c>
      <c r="Y15">
        <f>IF($D15="","",IF(AND(15&gt;=$D15,15&lt;=$F15),1,""))</f>
        <v/>
      </c>
      <c r="Z15">
        <f>IF($D15="","",IF(AND(16&gt;=$D15,16&lt;=$F15),1,""))</f>
        <v/>
      </c>
      <c r="AA15">
        <f>IF($D15="","",IF(AND(17&gt;=$D15,17&lt;=$F15),1,""))</f>
        <v/>
      </c>
      <c r="AB15">
        <f>IF($D15="","",IF(AND(18&gt;=$D15,18&lt;=$F15),1,""))</f>
        <v/>
      </c>
      <c r="AC15">
        <f>IF($D15="","",IF(AND(19&gt;=$D15,19&lt;=$F15),1,""))</f>
        <v/>
      </c>
      <c r="AD15">
        <f>IF($D15="","",IF(AND(20&gt;=$D15,20&lt;=$F15),1,""))</f>
        <v/>
      </c>
      <c r="AE15">
        <f>IF($D15="","",IF(AND(21&gt;=$D15,21&lt;=$F15),1,""))</f>
        <v/>
      </c>
      <c r="AF15">
        <f>IF($D15="","",IF(AND(22&gt;=$D15,22&lt;=$F15),1,""))</f>
        <v/>
      </c>
      <c r="AG15">
        <f>IF($D15="","",IF(AND(23&gt;=$D15,23&lt;=$F15),1,""))</f>
        <v/>
      </c>
      <c r="AH15">
        <f>IF($D15="","",IF(AND(24&gt;=$D15,24&lt;=$F15),1,""))</f>
        <v/>
      </c>
      <c r="AI15">
        <f>IF($D15="","",IF(AND(25&gt;=$D15,25&lt;=$F15),1,""))</f>
        <v/>
      </c>
      <c r="AJ15">
        <f>IF($D15="","",IF(AND(26&gt;=$D15,26&lt;=$F15),1,""))</f>
        <v/>
      </c>
      <c r="AK15">
        <f>IF($D15="","",IF(AND(27&gt;=$D15,27&lt;=$F15),1,""))</f>
        <v/>
      </c>
      <c r="AL15">
        <f>IF($D15="","",IF(AND(28&gt;=$D15,28&lt;=$F15),1,""))</f>
        <v/>
      </c>
      <c r="AM15">
        <f>IF($D15="","",IF(AND(29&gt;=$D15,29&lt;=$F15),1,""))</f>
        <v/>
      </c>
      <c r="AN15">
        <f>IF($D15="","",IF(AND(30&gt;=$D15,30&lt;=$F15),1,""))</f>
        <v/>
      </c>
    </row>
    <row r="16">
      <c r="A16" s="5" t="inlineStr">
        <is>
          <t>T13</t>
        </is>
      </c>
      <c r="B16" s="6" t="inlineStr">
        <is>
          <t>Sesión de decisión: continuar, ajustar o cerrar</t>
        </is>
      </c>
      <c r="C16" s="5" t="inlineStr">
        <is>
          <t>Rectoría</t>
        </is>
      </c>
      <c r="D16" s="5" t="n">
        <v>29</v>
      </c>
      <c r="E16" s="5" t="n">
        <v>1</v>
      </c>
      <c r="F16" s="5">
        <f>IF(D16="","",D16+E16-1)</f>
        <v/>
      </c>
      <c r="G16" s="5" t="inlineStr">
        <is>
          <t>T12</t>
        </is>
      </c>
      <c r="H16">
        <f>IF(OR(G16="",G16=0),"",IFERROR(INDEX($F$4:$F$40,MATCH(G16,$A$4:$A$40,0)),"No existe"))</f>
        <v/>
      </c>
      <c r="I16">
        <f>IF(D16="","",IF(H16="","OK",IF(H16="No existe","Predecesora inexistente",IF(D16&lt;=H16,"Empieza antes de que termine su predecesora",IF(F16&gt;30,"Pasa del día 30","OK")))))</f>
        <v/>
      </c>
      <c r="J16">
        <f>IF(D16="","",INT((D16-1)/7)+1)</f>
        <v/>
      </c>
      <c r="K16">
        <f>IF($D16="","",IF(AND(1&gt;=$D16,1&lt;=$F16),1,""))</f>
        <v/>
      </c>
      <c r="L16">
        <f>IF($D16="","",IF(AND(2&gt;=$D16,2&lt;=$F16),1,""))</f>
        <v/>
      </c>
      <c r="M16">
        <f>IF($D16="","",IF(AND(3&gt;=$D16,3&lt;=$F16),1,""))</f>
        <v/>
      </c>
      <c r="N16">
        <f>IF($D16="","",IF(AND(4&gt;=$D16,4&lt;=$F16),1,""))</f>
        <v/>
      </c>
      <c r="O16">
        <f>IF($D16="","",IF(AND(5&gt;=$D16,5&lt;=$F16),1,""))</f>
        <v/>
      </c>
      <c r="P16">
        <f>IF($D16="","",IF(AND(6&gt;=$D16,6&lt;=$F16),1,""))</f>
        <v/>
      </c>
      <c r="Q16">
        <f>IF($D16="","",IF(AND(7&gt;=$D16,7&lt;=$F16),1,""))</f>
        <v/>
      </c>
      <c r="R16">
        <f>IF($D16="","",IF(AND(8&gt;=$D16,8&lt;=$F16),1,""))</f>
        <v/>
      </c>
      <c r="S16">
        <f>IF($D16="","",IF(AND(9&gt;=$D16,9&lt;=$F16),1,""))</f>
        <v/>
      </c>
      <c r="T16">
        <f>IF($D16="","",IF(AND(10&gt;=$D16,10&lt;=$F16),1,""))</f>
        <v/>
      </c>
      <c r="U16">
        <f>IF($D16="","",IF(AND(11&gt;=$D16,11&lt;=$F16),1,""))</f>
        <v/>
      </c>
      <c r="V16">
        <f>IF($D16="","",IF(AND(12&gt;=$D16,12&lt;=$F16),1,""))</f>
        <v/>
      </c>
      <c r="W16">
        <f>IF($D16="","",IF(AND(13&gt;=$D16,13&lt;=$F16),1,""))</f>
        <v/>
      </c>
      <c r="X16">
        <f>IF($D16="","",IF(AND(14&gt;=$D16,14&lt;=$F16),1,""))</f>
        <v/>
      </c>
      <c r="Y16">
        <f>IF($D16="","",IF(AND(15&gt;=$D16,15&lt;=$F16),1,""))</f>
        <v/>
      </c>
      <c r="Z16">
        <f>IF($D16="","",IF(AND(16&gt;=$D16,16&lt;=$F16),1,""))</f>
        <v/>
      </c>
      <c r="AA16">
        <f>IF($D16="","",IF(AND(17&gt;=$D16,17&lt;=$F16),1,""))</f>
        <v/>
      </c>
      <c r="AB16">
        <f>IF($D16="","",IF(AND(18&gt;=$D16,18&lt;=$F16),1,""))</f>
        <v/>
      </c>
      <c r="AC16">
        <f>IF($D16="","",IF(AND(19&gt;=$D16,19&lt;=$F16),1,""))</f>
        <v/>
      </c>
      <c r="AD16">
        <f>IF($D16="","",IF(AND(20&gt;=$D16,20&lt;=$F16),1,""))</f>
        <v/>
      </c>
      <c r="AE16">
        <f>IF($D16="","",IF(AND(21&gt;=$D16,21&lt;=$F16),1,""))</f>
        <v/>
      </c>
      <c r="AF16">
        <f>IF($D16="","",IF(AND(22&gt;=$D16,22&lt;=$F16),1,""))</f>
        <v/>
      </c>
      <c r="AG16">
        <f>IF($D16="","",IF(AND(23&gt;=$D16,23&lt;=$F16),1,""))</f>
        <v/>
      </c>
      <c r="AH16">
        <f>IF($D16="","",IF(AND(24&gt;=$D16,24&lt;=$F16),1,""))</f>
        <v/>
      </c>
      <c r="AI16">
        <f>IF($D16="","",IF(AND(25&gt;=$D16,25&lt;=$F16),1,""))</f>
        <v/>
      </c>
      <c r="AJ16">
        <f>IF($D16="","",IF(AND(26&gt;=$D16,26&lt;=$F16),1,""))</f>
        <v/>
      </c>
      <c r="AK16">
        <f>IF($D16="","",IF(AND(27&gt;=$D16,27&lt;=$F16),1,""))</f>
        <v/>
      </c>
      <c r="AL16">
        <f>IF($D16="","",IF(AND(28&gt;=$D16,28&lt;=$F16),1,""))</f>
        <v/>
      </c>
      <c r="AM16">
        <f>IF($D16="","",IF(AND(29&gt;=$D16,29&lt;=$F16),1,""))</f>
        <v/>
      </c>
      <c r="AN16">
        <f>IF($D16="","",IF(AND(30&gt;=$D16,30&lt;=$F16),1,""))</f>
        <v/>
      </c>
    </row>
    <row r="17">
      <c r="A17" s="5" t="inlineStr">
        <is>
          <t>T14</t>
        </is>
      </c>
      <c r="B17" s="6" t="inlineStr">
        <is>
          <t>Plan de despliegue o de cierre ordenado</t>
        </is>
      </c>
      <c r="C17" s="5" t="inlineStr">
        <is>
          <t>Rectoría</t>
        </is>
      </c>
      <c r="D17" s="5" t="n">
        <v>30</v>
      </c>
      <c r="E17" s="5" t="n">
        <v>1</v>
      </c>
      <c r="F17" s="5">
        <f>IF(D17="","",D17+E17-1)</f>
        <v/>
      </c>
      <c r="G17" s="5" t="inlineStr">
        <is>
          <t>T13</t>
        </is>
      </c>
      <c r="H17">
        <f>IF(OR(G17="",G17=0),"",IFERROR(INDEX($F$4:$F$40,MATCH(G17,$A$4:$A$40,0)),"No existe"))</f>
        <v/>
      </c>
      <c r="I17">
        <f>IF(D17="","",IF(H17="","OK",IF(H17="No existe","Predecesora inexistente",IF(D17&lt;=H17,"Empieza antes de que termine su predecesora",IF(F17&gt;30,"Pasa del día 30","OK")))))</f>
        <v/>
      </c>
      <c r="J17">
        <f>IF(D17="","",INT((D17-1)/7)+1)</f>
        <v/>
      </c>
      <c r="K17">
        <f>IF($D17="","",IF(AND(1&gt;=$D17,1&lt;=$F17),1,""))</f>
        <v/>
      </c>
      <c r="L17">
        <f>IF($D17="","",IF(AND(2&gt;=$D17,2&lt;=$F17),1,""))</f>
        <v/>
      </c>
      <c r="M17">
        <f>IF($D17="","",IF(AND(3&gt;=$D17,3&lt;=$F17),1,""))</f>
        <v/>
      </c>
      <c r="N17">
        <f>IF($D17="","",IF(AND(4&gt;=$D17,4&lt;=$F17),1,""))</f>
        <v/>
      </c>
      <c r="O17">
        <f>IF($D17="","",IF(AND(5&gt;=$D17,5&lt;=$F17),1,""))</f>
        <v/>
      </c>
      <c r="P17">
        <f>IF($D17="","",IF(AND(6&gt;=$D17,6&lt;=$F17),1,""))</f>
        <v/>
      </c>
      <c r="Q17">
        <f>IF($D17="","",IF(AND(7&gt;=$D17,7&lt;=$F17),1,""))</f>
        <v/>
      </c>
      <c r="R17">
        <f>IF($D17="","",IF(AND(8&gt;=$D17,8&lt;=$F17),1,""))</f>
        <v/>
      </c>
      <c r="S17">
        <f>IF($D17="","",IF(AND(9&gt;=$D17,9&lt;=$F17),1,""))</f>
        <v/>
      </c>
      <c r="T17">
        <f>IF($D17="","",IF(AND(10&gt;=$D17,10&lt;=$F17),1,""))</f>
        <v/>
      </c>
      <c r="U17">
        <f>IF($D17="","",IF(AND(11&gt;=$D17,11&lt;=$F17),1,""))</f>
        <v/>
      </c>
      <c r="V17">
        <f>IF($D17="","",IF(AND(12&gt;=$D17,12&lt;=$F17),1,""))</f>
        <v/>
      </c>
      <c r="W17">
        <f>IF($D17="","",IF(AND(13&gt;=$D17,13&lt;=$F17),1,""))</f>
        <v/>
      </c>
      <c r="X17">
        <f>IF($D17="","",IF(AND(14&gt;=$D17,14&lt;=$F17),1,""))</f>
        <v/>
      </c>
      <c r="Y17">
        <f>IF($D17="","",IF(AND(15&gt;=$D17,15&lt;=$F17),1,""))</f>
        <v/>
      </c>
      <c r="Z17">
        <f>IF($D17="","",IF(AND(16&gt;=$D17,16&lt;=$F17),1,""))</f>
        <v/>
      </c>
      <c r="AA17">
        <f>IF($D17="","",IF(AND(17&gt;=$D17,17&lt;=$F17),1,""))</f>
        <v/>
      </c>
      <c r="AB17">
        <f>IF($D17="","",IF(AND(18&gt;=$D17,18&lt;=$F17),1,""))</f>
        <v/>
      </c>
      <c r="AC17">
        <f>IF($D17="","",IF(AND(19&gt;=$D17,19&lt;=$F17),1,""))</f>
        <v/>
      </c>
      <c r="AD17">
        <f>IF($D17="","",IF(AND(20&gt;=$D17,20&lt;=$F17),1,""))</f>
        <v/>
      </c>
      <c r="AE17">
        <f>IF($D17="","",IF(AND(21&gt;=$D17,21&lt;=$F17),1,""))</f>
        <v/>
      </c>
      <c r="AF17">
        <f>IF($D17="","",IF(AND(22&gt;=$D17,22&lt;=$F17),1,""))</f>
        <v/>
      </c>
      <c r="AG17">
        <f>IF($D17="","",IF(AND(23&gt;=$D17,23&lt;=$F17),1,""))</f>
        <v/>
      </c>
      <c r="AH17">
        <f>IF($D17="","",IF(AND(24&gt;=$D17,24&lt;=$F17),1,""))</f>
        <v/>
      </c>
      <c r="AI17">
        <f>IF($D17="","",IF(AND(25&gt;=$D17,25&lt;=$F17),1,""))</f>
        <v/>
      </c>
      <c r="AJ17">
        <f>IF($D17="","",IF(AND(26&gt;=$D17,26&lt;=$F17),1,""))</f>
        <v/>
      </c>
      <c r="AK17">
        <f>IF($D17="","",IF(AND(27&gt;=$D17,27&lt;=$F17),1,""))</f>
        <v/>
      </c>
      <c r="AL17">
        <f>IF($D17="","",IF(AND(28&gt;=$D17,28&lt;=$F17),1,""))</f>
        <v/>
      </c>
      <c r="AM17">
        <f>IF($D17="","",IF(AND(29&gt;=$D17,29&lt;=$F17),1,""))</f>
        <v/>
      </c>
      <c r="AN17">
        <f>IF($D17="","",IF(AND(30&gt;=$D17,30&lt;=$F17),1,""))</f>
        <v/>
      </c>
    </row>
    <row r="18">
      <c r="A18" s="5" t="n"/>
      <c r="B18" s="6" t="n"/>
      <c r="C18" s="5" t="n"/>
      <c r="D18" s="5" t="n"/>
      <c r="E18" s="5" t="n"/>
      <c r="F18" s="5">
        <f>IF(D18="","",D18+E18-1)</f>
        <v/>
      </c>
      <c r="G18" s="5" t="n"/>
      <c r="H18">
        <f>IF(OR(G18="",G18=0),"",IFERROR(INDEX($F$4:$F$40,MATCH(G18,$A$4:$A$40,0)),"No existe"))</f>
        <v/>
      </c>
      <c r="I18">
        <f>IF(D18="","",IF(H18="","OK",IF(H18="No existe","Predecesora inexistente",IF(D18&lt;=H18,"Empieza antes de que termine su predecesora",IF(F18&gt;30,"Pasa del día 30","OK")))))</f>
        <v/>
      </c>
      <c r="J18">
        <f>IF(D18="","",INT((D18-1)/7)+1)</f>
        <v/>
      </c>
      <c r="K18">
        <f>IF($D18="","",IF(AND(1&gt;=$D18,1&lt;=$F18),1,""))</f>
        <v/>
      </c>
      <c r="L18">
        <f>IF($D18="","",IF(AND(2&gt;=$D18,2&lt;=$F18),1,""))</f>
        <v/>
      </c>
      <c r="M18">
        <f>IF($D18="","",IF(AND(3&gt;=$D18,3&lt;=$F18),1,""))</f>
        <v/>
      </c>
      <c r="N18">
        <f>IF($D18="","",IF(AND(4&gt;=$D18,4&lt;=$F18),1,""))</f>
        <v/>
      </c>
      <c r="O18">
        <f>IF($D18="","",IF(AND(5&gt;=$D18,5&lt;=$F18),1,""))</f>
        <v/>
      </c>
      <c r="P18">
        <f>IF($D18="","",IF(AND(6&gt;=$D18,6&lt;=$F18),1,""))</f>
        <v/>
      </c>
      <c r="Q18">
        <f>IF($D18="","",IF(AND(7&gt;=$D18,7&lt;=$F18),1,""))</f>
        <v/>
      </c>
      <c r="R18">
        <f>IF($D18="","",IF(AND(8&gt;=$D18,8&lt;=$F18),1,""))</f>
        <v/>
      </c>
      <c r="S18">
        <f>IF($D18="","",IF(AND(9&gt;=$D18,9&lt;=$F18),1,""))</f>
        <v/>
      </c>
      <c r="T18">
        <f>IF($D18="","",IF(AND(10&gt;=$D18,10&lt;=$F18),1,""))</f>
        <v/>
      </c>
      <c r="U18">
        <f>IF($D18="","",IF(AND(11&gt;=$D18,11&lt;=$F18),1,""))</f>
        <v/>
      </c>
      <c r="V18">
        <f>IF($D18="","",IF(AND(12&gt;=$D18,12&lt;=$F18),1,""))</f>
        <v/>
      </c>
      <c r="W18">
        <f>IF($D18="","",IF(AND(13&gt;=$D18,13&lt;=$F18),1,""))</f>
        <v/>
      </c>
      <c r="X18">
        <f>IF($D18="","",IF(AND(14&gt;=$D18,14&lt;=$F18),1,""))</f>
        <v/>
      </c>
      <c r="Y18">
        <f>IF($D18="","",IF(AND(15&gt;=$D18,15&lt;=$F18),1,""))</f>
        <v/>
      </c>
      <c r="Z18">
        <f>IF($D18="","",IF(AND(16&gt;=$D18,16&lt;=$F18),1,""))</f>
        <v/>
      </c>
      <c r="AA18">
        <f>IF($D18="","",IF(AND(17&gt;=$D18,17&lt;=$F18),1,""))</f>
        <v/>
      </c>
      <c r="AB18">
        <f>IF($D18="","",IF(AND(18&gt;=$D18,18&lt;=$F18),1,""))</f>
        <v/>
      </c>
      <c r="AC18">
        <f>IF($D18="","",IF(AND(19&gt;=$D18,19&lt;=$F18),1,""))</f>
        <v/>
      </c>
      <c r="AD18">
        <f>IF($D18="","",IF(AND(20&gt;=$D18,20&lt;=$F18),1,""))</f>
        <v/>
      </c>
      <c r="AE18">
        <f>IF($D18="","",IF(AND(21&gt;=$D18,21&lt;=$F18),1,""))</f>
        <v/>
      </c>
      <c r="AF18">
        <f>IF($D18="","",IF(AND(22&gt;=$D18,22&lt;=$F18),1,""))</f>
        <v/>
      </c>
      <c r="AG18">
        <f>IF($D18="","",IF(AND(23&gt;=$D18,23&lt;=$F18),1,""))</f>
        <v/>
      </c>
      <c r="AH18">
        <f>IF($D18="","",IF(AND(24&gt;=$D18,24&lt;=$F18),1,""))</f>
        <v/>
      </c>
      <c r="AI18">
        <f>IF($D18="","",IF(AND(25&gt;=$D18,25&lt;=$F18),1,""))</f>
        <v/>
      </c>
      <c r="AJ18">
        <f>IF($D18="","",IF(AND(26&gt;=$D18,26&lt;=$F18),1,""))</f>
        <v/>
      </c>
      <c r="AK18">
        <f>IF($D18="","",IF(AND(27&gt;=$D18,27&lt;=$F18),1,""))</f>
        <v/>
      </c>
      <c r="AL18">
        <f>IF($D18="","",IF(AND(28&gt;=$D18,28&lt;=$F18),1,""))</f>
        <v/>
      </c>
      <c r="AM18">
        <f>IF($D18="","",IF(AND(29&gt;=$D18,29&lt;=$F18),1,""))</f>
        <v/>
      </c>
      <c r="AN18">
        <f>IF($D18="","",IF(AND(30&gt;=$D18,30&lt;=$F18),1,""))</f>
        <v/>
      </c>
    </row>
    <row r="19">
      <c r="A19" s="5" t="n"/>
      <c r="B19" s="6" t="n"/>
      <c r="C19" s="5" t="n"/>
      <c r="D19" s="5" t="n"/>
      <c r="E19" s="5" t="n"/>
      <c r="F19" s="5">
        <f>IF(D19="","",D19+E19-1)</f>
        <v/>
      </c>
      <c r="G19" s="5" t="n"/>
      <c r="H19">
        <f>IF(OR(G19="",G19=0),"",IFERROR(INDEX($F$4:$F$40,MATCH(G19,$A$4:$A$40,0)),"No existe"))</f>
        <v/>
      </c>
      <c r="I19">
        <f>IF(D19="","",IF(H19="","OK",IF(H19="No existe","Predecesora inexistente",IF(D19&lt;=H19,"Empieza antes de que termine su predecesora",IF(F19&gt;30,"Pasa del día 30","OK")))))</f>
        <v/>
      </c>
      <c r="J19">
        <f>IF(D19="","",INT((D19-1)/7)+1)</f>
        <v/>
      </c>
      <c r="K19">
        <f>IF($D19="","",IF(AND(1&gt;=$D19,1&lt;=$F19),1,""))</f>
        <v/>
      </c>
      <c r="L19">
        <f>IF($D19="","",IF(AND(2&gt;=$D19,2&lt;=$F19),1,""))</f>
        <v/>
      </c>
      <c r="M19">
        <f>IF($D19="","",IF(AND(3&gt;=$D19,3&lt;=$F19),1,""))</f>
        <v/>
      </c>
      <c r="N19">
        <f>IF($D19="","",IF(AND(4&gt;=$D19,4&lt;=$F19),1,""))</f>
        <v/>
      </c>
      <c r="O19">
        <f>IF($D19="","",IF(AND(5&gt;=$D19,5&lt;=$F19),1,""))</f>
        <v/>
      </c>
      <c r="P19">
        <f>IF($D19="","",IF(AND(6&gt;=$D19,6&lt;=$F19),1,""))</f>
        <v/>
      </c>
      <c r="Q19">
        <f>IF($D19="","",IF(AND(7&gt;=$D19,7&lt;=$F19),1,""))</f>
        <v/>
      </c>
      <c r="R19">
        <f>IF($D19="","",IF(AND(8&gt;=$D19,8&lt;=$F19),1,""))</f>
        <v/>
      </c>
      <c r="S19">
        <f>IF($D19="","",IF(AND(9&gt;=$D19,9&lt;=$F19),1,""))</f>
        <v/>
      </c>
      <c r="T19">
        <f>IF($D19="","",IF(AND(10&gt;=$D19,10&lt;=$F19),1,""))</f>
        <v/>
      </c>
      <c r="U19">
        <f>IF($D19="","",IF(AND(11&gt;=$D19,11&lt;=$F19),1,""))</f>
        <v/>
      </c>
      <c r="V19">
        <f>IF($D19="","",IF(AND(12&gt;=$D19,12&lt;=$F19),1,""))</f>
        <v/>
      </c>
      <c r="W19">
        <f>IF($D19="","",IF(AND(13&gt;=$D19,13&lt;=$F19),1,""))</f>
        <v/>
      </c>
      <c r="X19">
        <f>IF($D19="","",IF(AND(14&gt;=$D19,14&lt;=$F19),1,""))</f>
        <v/>
      </c>
      <c r="Y19">
        <f>IF($D19="","",IF(AND(15&gt;=$D19,15&lt;=$F19),1,""))</f>
        <v/>
      </c>
      <c r="Z19">
        <f>IF($D19="","",IF(AND(16&gt;=$D19,16&lt;=$F19),1,""))</f>
        <v/>
      </c>
      <c r="AA19">
        <f>IF($D19="","",IF(AND(17&gt;=$D19,17&lt;=$F19),1,""))</f>
        <v/>
      </c>
      <c r="AB19">
        <f>IF($D19="","",IF(AND(18&gt;=$D19,18&lt;=$F19),1,""))</f>
        <v/>
      </c>
      <c r="AC19">
        <f>IF($D19="","",IF(AND(19&gt;=$D19,19&lt;=$F19),1,""))</f>
        <v/>
      </c>
      <c r="AD19">
        <f>IF($D19="","",IF(AND(20&gt;=$D19,20&lt;=$F19),1,""))</f>
        <v/>
      </c>
      <c r="AE19">
        <f>IF($D19="","",IF(AND(21&gt;=$D19,21&lt;=$F19),1,""))</f>
        <v/>
      </c>
      <c r="AF19">
        <f>IF($D19="","",IF(AND(22&gt;=$D19,22&lt;=$F19),1,""))</f>
        <v/>
      </c>
      <c r="AG19">
        <f>IF($D19="","",IF(AND(23&gt;=$D19,23&lt;=$F19),1,""))</f>
        <v/>
      </c>
      <c r="AH19">
        <f>IF($D19="","",IF(AND(24&gt;=$D19,24&lt;=$F19),1,""))</f>
        <v/>
      </c>
      <c r="AI19">
        <f>IF($D19="","",IF(AND(25&gt;=$D19,25&lt;=$F19),1,""))</f>
        <v/>
      </c>
      <c r="AJ19">
        <f>IF($D19="","",IF(AND(26&gt;=$D19,26&lt;=$F19),1,""))</f>
        <v/>
      </c>
      <c r="AK19">
        <f>IF($D19="","",IF(AND(27&gt;=$D19,27&lt;=$F19),1,""))</f>
        <v/>
      </c>
      <c r="AL19">
        <f>IF($D19="","",IF(AND(28&gt;=$D19,28&lt;=$F19),1,""))</f>
        <v/>
      </c>
      <c r="AM19">
        <f>IF($D19="","",IF(AND(29&gt;=$D19,29&lt;=$F19),1,""))</f>
        <v/>
      </c>
      <c r="AN19">
        <f>IF($D19="","",IF(AND(30&gt;=$D19,30&lt;=$F19),1,""))</f>
        <v/>
      </c>
    </row>
    <row r="20">
      <c r="A20" s="5" t="n"/>
      <c r="B20" s="6" t="n"/>
      <c r="C20" s="5" t="n"/>
      <c r="D20" s="5" t="n"/>
      <c r="E20" s="5" t="n"/>
      <c r="F20" s="5">
        <f>IF(D20="","",D20+E20-1)</f>
        <v/>
      </c>
      <c r="G20" s="5" t="n"/>
      <c r="H20">
        <f>IF(OR(G20="",G20=0),"",IFERROR(INDEX($F$4:$F$40,MATCH(G20,$A$4:$A$40,0)),"No existe"))</f>
        <v/>
      </c>
      <c r="I20">
        <f>IF(D20="","",IF(H20="","OK",IF(H20="No existe","Predecesora inexistente",IF(D20&lt;=H20,"Empieza antes de que termine su predecesora",IF(F20&gt;30,"Pasa del día 30","OK")))))</f>
        <v/>
      </c>
      <c r="J20">
        <f>IF(D20="","",INT((D20-1)/7)+1)</f>
        <v/>
      </c>
      <c r="K20">
        <f>IF($D20="","",IF(AND(1&gt;=$D20,1&lt;=$F20),1,""))</f>
        <v/>
      </c>
      <c r="L20">
        <f>IF($D20="","",IF(AND(2&gt;=$D20,2&lt;=$F20),1,""))</f>
        <v/>
      </c>
      <c r="M20">
        <f>IF($D20="","",IF(AND(3&gt;=$D20,3&lt;=$F20),1,""))</f>
        <v/>
      </c>
      <c r="N20">
        <f>IF($D20="","",IF(AND(4&gt;=$D20,4&lt;=$F20),1,""))</f>
        <v/>
      </c>
      <c r="O20">
        <f>IF($D20="","",IF(AND(5&gt;=$D20,5&lt;=$F20),1,""))</f>
        <v/>
      </c>
      <c r="P20">
        <f>IF($D20="","",IF(AND(6&gt;=$D20,6&lt;=$F20),1,""))</f>
        <v/>
      </c>
      <c r="Q20">
        <f>IF($D20="","",IF(AND(7&gt;=$D20,7&lt;=$F20),1,""))</f>
        <v/>
      </c>
      <c r="R20">
        <f>IF($D20="","",IF(AND(8&gt;=$D20,8&lt;=$F20),1,""))</f>
        <v/>
      </c>
      <c r="S20">
        <f>IF($D20="","",IF(AND(9&gt;=$D20,9&lt;=$F20),1,""))</f>
        <v/>
      </c>
      <c r="T20">
        <f>IF($D20="","",IF(AND(10&gt;=$D20,10&lt;=$F20),1,""))</f>
        <v/>
      </c>
      <c r="U20">
        <f>IF($D20="","",IF(AND(11&gt;=$D20,11&lt;=$F20),1,""))</f>
        <v/>
      </c>
      <c r="V20">
        <f>IF($D20="","",IF(AND(12&gt;=$D20,12&lt;=$F20),1,""))</f>
        <v/>
      </c>
      <c r="W20">
        <f>IF($D20="","",IF(AND(13&gt;=$D20,13&lt;=$F20),1,""))</f>
        <v/>
      </c>
      <c r="X20">
        <f>IF($D20="","",IF(AND(14&gt;=$D20,14&lt;=$F20),1,""))</f>
        <v/>
      </c>
      <c r="Y20">
        <f>IF($D20="","",IF(AND(15&gt;=$D20,15&lt;=$F20),1,""))</f>
        <v/>
      </c>
      <c r="Z20">
        <f>IF($D20="","",IF(AND(16&gt;=$D20,16&lt;=$F20),1,""))</f>
        <v/>
      </c>
      <c r="AA20">
        <f>IF($D20="","",IF(AND(17&gt;=$D20,17&lt;=$F20),1,""))</f>
        <v/>
      </c>
      <c r="AB20">
        <f>IF($D20="","",IF(AND(18&gt;=$D20,18&lt;=$F20),1,""))</f>
        <v/>
      </c>
      <c r="AC20">
        <f>IF($D20="","",IF(AND(19&gt;=$D20,19&lt;=$F20),1,""))</f>
        <v/>
      </c>
      <c r="AD20">
        <f>IF($D20="","",IF(AND(20&gt;=$D20,20&lt;=$F20),1,""))</f>
        <v/>
      </c>
      <c r="AE20">
        <f>IF($D20="","",IF(AND(21&gt;=$D20,21&lt;=$F20),1,""))</f>
        <v/>
      </c>
      <c r="AF20">
        <f>IF($D20="","",IF(AND(22&gt;=$D20,22&lt;=$F20),1,""))</f>
        <v/>
      </c>
      <c r="AG20">
        <f>IF($D20="","",IF(AND(23&gt;=$D20,23&lt;=$F20),1,""))</f>
        <v/>
      </c>
      <c r="AH20">
        <f>IF($D20="","",IF(AND(24&gt;=$D20,24&lt;=$F20),1,""))</f>
        <v/>
      </c>
      <c r="AI20">
        <f>IF($D20="","",IF(AND(25&gt;=$D20,25&lt;=$F20),1,""))</f>
        <v/>
      </c>
      <c r="AJ20">
        <f>IF($D20="","",IF(AND(26&gt;=$D20,26&lt;=$F20),1,""))</f>
        <v/>
      </c>
      <c r="AK20">
        <f>IF($D20="","",IF(AND(27&gt;=$D20,27&lt;=$F20),1,""))</f>
        <v/>
      </c>
      <c r="AL20">
        <f>IF($D20="","",IF(AND(28&gt;=$D20,28&lt;=$F20),1,""))</f>
        <v/>
      </c>
      <c r="AM20">
        <f>IF($D20="","",IF(AND(29&gt;=$D20,29&lt;=$F20),1,""))</f>
        <v/>
      </c>
      <c r="AN20">
        <f>IF($D20="","",IF(AND(30&gt;=$D20,30&lt;=$F20),1,""))</f>
        <v/>
      </c>
    </row>
    <row r="21">
      <c r="A21" s="5" t="n"/>
      <c r="B21" s="6" t="n"/>
      <c r="C21" s="5" t="n"/>
      <c r="D21" s="5" t="n"/>
      <c r="E21" s="5" t="n"/>
      <c r="F21" s="5">
        <f>IF(D21="","",D21+E21-1)</f>
        <v/>
      </c>
      <c r="G21" s="5" t="n"/>
      <c r="H21">
        <f>IF(OR(G21="",G21=0),"",IFERROR(INDEX($F$4:$F$40,MATCH(G21,$A$4:$A$40,0)),"No existe"))</f>
        <v/>
      </c>
      <c r="I21">
        <f>IF(D21="","",IF(H21="","OK",IF(H21="No existe","Predecesora inexistente",IF(D21&lt;=H21,"Empieza antes de que termine su predecesora",IF(F21&gt;30,"Pasa del día 30","OK")))))</f>
        <v/>
      </c>
      <c r="J21">
        <f>IF(D21="","",INT((D21-1)/7)+1)</f>
        <v/>
      </c>
      <c r="K21">
        <f>IF($D21="","",IF(AND(1&gt;=$D21,1&lt;=$F21),1,""))</f>
        <v/>
      </c>
      <c r="L21">
        <f>IF($D21="","",IF(AND(2&gt;=$D21,2&lt;=$F21),1,""))</f>
        <v/>
      </c>
      <c r="M21">
        <f>IF($D21="","",IF(AND(3&gt;=$D21,3&lt;=$F21),1,""))</f>
        <v/>
      </c>
      <c r="N21">
        <f>IF($D21="","",IF(AND(4&gt;=$D21,4&lt;=$F21),1,""))</f>
        <v/>
      </c>
      <c r="O21">
        <f>IF($D21="","",IF(AND(5&gt;=$D21,5&lt;=$F21),1,""))</f>
        <v/>
      </c>
      <c r="P21">
        <f>IF($D21="","",IF(AND(6&gt;=$D21,6&lt;=$F21),1,""))</f>
        <v/>
      </c>
      <c r="Q21">
        <f>IF($D21="","",IF(AND(7&gt;=$D21,7&lt;=$F21),1,""))</f>
        <v/>
      </c>
      <c r="R21">
        <f>IF($D21="","",IF(AND(8&gt;=$D21,8&lt;=$F21),1,""))</f>
        <v/>
      </c>
      <c r="S21">
        <f>IF($D21="","",IF(AND(9&gt;=$D21,9&lt;=$F21),1,""))</f>
        <v/>
      </c>
      <c r="T21">
        <f>IF($D21="","",IF(AND(10&gt;=$D21,10&lt;=$F21),1,""))</f>
        <v/>
      </c>
      <c r="U21">
        <f>IF($D21="","",IF(AND(11&gt;=$D21,11&lt;=$F21),1,""))</f>
        <v/>
      </c>
      <c r="V21">
        <f>IF($D21="","",IF(AND(12&gt;=$D21,12&lt;=$F21),1,""))</f>
        <v/>
      </c>
      <c r="W21">
        <f>IF($D21="","",IF(AND(13&gt;=$D21,13&lt;=$F21),1,""))</f>
        <v/>
      </c>
      <c r="X21">
        <f>IF($D21="","",IF(AND(14&gt;=$D21,14&lt;=$F21),1,""))</f>
        <v/>
      </c>
      <c r="Y21">
        <f>IF($D21="","",IF(AND(15&gt;=$D21,15&lt;=$F21),1,""))</f>
        <v/>
      </c>
      <c r="Z21">
        <f>IF($D21="","",IF(AND(16&gt;=$D21,16&lt;=$F21),1,""))</f>
        <v/>
      </c>
      <c r="AA21">
        <f>IF($D21="","",IF(AND(17&gt;=$D21,17&lt;=$F21),1,""))</f>
        <v/>
      </c>
      <c r="AB21">
        <f>IF($D21="","",IF(AND(18&gt;=$D21,18&lt;=$F21),1,""))</f>
        <v/>
      </c>
      <c r="AC21">
        <f>IF($D21="","",IF(AND(19&gt;=$D21,19&lt;=$F21),1,""))</f>
        <v/>
      </c>
      <c r="AD21">
        <f>IF($D21="","",IF(AND(20&gt;=$D21,20&lt;=$F21),1,""))</f>
        <v/>
      </c>
      <c r="AE21">
        <f>IF($D21="","",IF(AND(21&gt;=$D21,21&lt;=$F21),1,""))</f>
        <v/>
      </c>
      <c r="AF21">
        <f>IF($D21="","",IF(AND(22&gt;=$D21,22&lt;=$F21),1,""))</f>
        <v/>
      </c>
      <c r="AG21">
        <f>IF($D21="","",IF(AND(23&gt;=$D21,23&lt;=$F21),1,""))</f>
        <v/>
      </c>
      <c r="AH21">
        <f>IF($D21="","",IF(AND(24&gt;=$D21,24&lt;=$F21),1,""))</f>
        <v/>
      </c>
      <c r="AI21">
        <f>IF($D21="","",IF(AND(25&gt;=$D21,25&lt;=$F21),1,""))</f>
        <v/>
      </c>
      <c r="AJ21">
        <f>IF($D21="","",IF(AND(26&gt;=$D21,26&lt;=$F21),1,""))</f>
        <v/>
      </c>
      <c r="AK21">
        <f>IF($D21="","",IF(AND(27&gt;=$D21,27&lt;=$F21),1,""))</f>
        <v/>
      </c>
      <c r="AL21">
        <f>IF($D21="","",IF(AND(28&gt;=$D21,28&lt;=$F21),1,""))</f>
        <v/>
      </c>
      <c r="AM21">
        <f>IF($D21="","",IF(AND(29&gt;=$D21,29&lt;=$F21),1,""))</f>
        <v/>
      </c>
      <c r="AN21">
        <f>IF($D21="","",IF(AND(30&gt;=$D21,30&lt;=$F21),1,""))</f>
        <v/>
      </c>
    </row>
    <row r="22">
      <c r="A22" s="5" t="n"/>
      <c r="B22" s="6" t="n"/>
      <c r="C22" s="5" t="n"/>
      <c r="D22" s="5" t="n"/>
      <c r="E22" s="5" t="n"/>
      <c r="F22" s="5">
        <f>IF(D22="","",D22+E22-1)</f>
        <v/>
      </c>
      <c r="G22" s="5" t="n"/>
      <c r="H22">
        <f>IF(OR(G22="",G22=0),"",IFERROR(INDEX($F$4:$F$40,MATCH(G22,$A$4:$A$40,0)),"No existe"))</f>
        <v/>
      </c>
      <c r="I22">
        <f>IF(D22="","",IF(H22="","OK",IF(H22="No existe","Predecesora inexistente",IF(D22&lt;=H22,"Empieza antes de que termine su predecesora",IF(F22&gt;30,"Pasa del día 30","OK")))))</f>
        <v/>
      </c>
      <c r="J22">
        <f>IF(D22="","",INT((D22-1)/7)+1)</f>
        <v/>
      </c>
      <c r="K22">
        <f>IF($D22="","",IF(AND(1&gt;=$D22,1&lt;=$F22),1,""))</f>
        <v/>
      </c>
      <c r="L22">
        <f>IF($D22="","",IF(AND(2&gt;=$D22,2&lt;=$F22),1,""))</f>
        <v/>
      </c>
      <c r="M22">
        <f>IF($D22="","",IF(AND(3&gt;=$D22,3&lt;=$F22),1,""))</f>
        <v/>
      </c>
      <c r="N22">
        <f>IF($D22="","",IF(AND(4&gt;=$D22,4&lt;=$F22),1,""))</f>
        <v/>
      </c>
      <c r="O22">
        <f>IF($D22="","",IF(AND(5&gt;=$D22,5&lt;=$F22),1,""))</f>
        <v/>
      </c>
      <c r="P22">
        <f>IF($D22="","",IF(AND(6&gt;=$D22,6&lt;=$F22),1,""))</f>
        <v/>
      </c>
      <c r="Q22">
        <f>IF($D22="","",IF(AND(7&gt;=$D22,7&lt;=$F22),1,""))</f>
        <v/>
      </c>
      <c r="R22">
        <f>IF($D22="","",IF(AND(8&gt;=$D22,8&lt;=$F22),1,""))</f>
        <v/>
      </c>
      <c r="S22">
        <f>IF($D22="","",IF(AND(9&gt;=$D22,9&lt;=$F22),1,""))</f>
        <v/>
      </c>
      <c r="T22">
        <f>IF($D22="","",IF(AND(10&gt;=$D22,10&lt;=$F22),1,""))</f>
        <v/>
      </c>
      <c r="U22">
        <f>IF($D22="","",IF(AND(11&gt;=$D22,11&lt;=$F22),1,""))</f>
        <v/>
      </c>
      <c r="V22">
        <f>IF($D22="","",IF(AND(12&gt;=$D22,12&lt;=$F22),1,""))</f>
        <v/>
      </c>
      <c r="W22">
        <f>IF($D22="","",IF(AND(13&gt;=$D22,13&lt;=$F22),1,""))</f>
        <v/>
      </c>
      <c r="X22">
        <f>IF($D22="","",IF(AND(14&gt;=$D22,14&lt;=$F22),1,""))</f>
        <v/>
      </c>
      <c r="Y22">
        <f>IF($D22="","",IF(AND(15&gt;=$D22,15&lt;=$F22),1,""))</f>
        <v/>
      </c>
      <c r="Z22">
        <f>IF($D22="","",IF(AND(16&gt;=$D22,16&lt;=$F22),1,""))</f>
        <v/>
      </c>
      <c r="AA22">
        <f>IF($D22="","",IF(AND(17&gt;=$D22,17&lt;=$F22),1,""))</f>
        <v/>
      </c>
      <c r="AB22">
        <f>IF($D22="","",IF(AND(18&gt;=$D22,18&lt;=$F22),1,""))</f>
        <v/>
      </c>
      <c r="AC22">
        <f>IF($D22="","",IF(AND(19&gt;=$D22,19&lt;=$F22),1,""))</f>
        <v/>
      </c>
      <c r="AD22">
        <f>IF($D22="","",IF(AND(20&gt;=$D22,20&lt;=$F22),1,""))</f>
        <v/>
      </c>
      <c r="AE22">
        <f>IF($D22="","",IF(AND(21&gt;=$D22,21&lt;=$F22),1,""))</f>
        <v/>
      </c>
      <c r="AF22">
        <f>IF($D22="","",IF(AND(22&gt;=$D22,22&lt;=$F22),1,""))</f>
        <v/>
      </c>
      <c r="AG22">
        <f>IF($D22="","",IF(AND(23&gt;=$D22,23&lt;=$F22),1,""))</f>
        <v/>
      </c>
      <c r="AH22">
        <f>IF($D22="","",IF(AND(24&gt;=$D22,24&lt;=$F22),1,""))</f>
        <v/>
      </c>
      <c r="AI22">
        <f>IF($D22="","",IF(AND(25&gt;=$D22,25&lt;=$F22),1,""))</f>
        <v/>
      </c>
      <c r="AJ22">
        <f>IF($D22="","",IF(AND(26&gt;=$D22,26&lt;=$F22),1,""))</f>
        <v/>
      </c>
      <c r="AK22">
        <f>IF($D22="","",IF(AND(27&gt;=$D22,27&lt;=$F22),1,""))</f>
        <v/>
      </c>
      <c r="AL22">
        <f>IF($D22="","",IF(AND(28&gt;=$D22,28&lt;=$F22),1,""))</f>
        <v/>
      </c>
      <c r="AM22">
        <f>IF($D22="","",IF(AND(29&gt;=$D22,29&lt;=$F22),1,""))</f>
        <v/>
      </c>
      <c r="AN22">
        <f>IF($D22="","",IF(AND(30&gt;=$D22,30&lt;=$F22),1,""))</f>
        <v/>
      </c>
    </row>
    <row r="23">
      <c r="A23" s="5" t="n"/>
      <c r="B23" s="6" t="n"/>
      <c r="C23" s="5" t="n"/>
      <c r="D23" s="5" t="n"/>
      <c r="E23" s="5" t="n"/>
      <c r="F23" s="5">
        <f>IF(D23="","",D23+E23-1)</f>
        <v/>
      </c>
      <c r="G23" s="5" t="n"/>
      <c r="H23">
        <f>IF(OR(G23="",G23=0),"",IFERROR(INDEX($F$4:$F$40,MATCH(G23,$A$4:$A$40,0)),"No existe"))</f>
        <v/>
      </c>
      <c r="I23">
        <f>IF(D23="","",IF(H23="","OK",IF(H23="No existe","Predecesora inexistente",IF(D23&lt;=H23,"Empieza antes de que termine su predecesora",IF(F23&gt;30,"Pasa del día 30","OK")))))</f>
        <v/>
      </c>
      <c r="J23">
        <f>IF(D23="","",INT((D23-1)/7)+1)</f>
        <v/>
      </c>
      <c r="K23">
        <f>IF($D23="","",IF(AND(1&gt;=$D23,1&lt;=$F23),1,""))</f>
        <v/>
      </c>
      <c r="L23">
        <f>IF($D23="","",IF(AND(2&gt;=$D23,2&lt;=$F23),1,""))</f>
        <v/>
      </c>
      <c r="M23">
        <f>IF($D23="","",IF(AND(3&gt;=$D23,3&lt;=$F23),1,""))</f>
        <v/>
      </c>
      <c r="N23">
        <f>IF($D23="","",IF(AND(4&gt;=$D23,4&lt;=$F23),1,""))</f>
        <v/>
      </c>
      <c r="O23">
        <f>IF($D23="","",IF(AND(5&gt;=$D23,5&lt;=$F23),1,""))</f>
        <v/>
      </c>
      <c r="P23">
        <f>IF($D23="","",IF(AND(6&gt;=$D23,6&lt;=$F23),1,""))</f>
        <v/>
      </c>
      <c r="Q23">
        <f>IF($D23="","",IF(AND(7&gt;=$D23,7&lt;=$F23),1,""))</f>
        <v/>
      </c>
      <c r="R23">
        <f>IF($D23="","",IF(AND(8&gt;=$D23,8&lt;=$F23),1,""))</f>
        <v/>
      </c>
      <c r="S23">
        <f>IF($D23="","",IF(AND(9&gt;=$D23,9&lt;=$F23),1,""))</f>
        <v/>
      </c>
      <c r="T23">
        <f>IF($D23="","",IF(AND(10&gt;=$D23,10&lt;=$F23),1,""))</f>
        <v/>
      </c>
      <c r="U23">
        <f>IF($D23="","",IF(AND(11&gt;=$D23,11&lt;=$F23),1,""))</f>
        <v/>
      </c>
      <c r="V23">
        <f>IF($D23="","",IF(AND(12&gt;=$D23,12&lt;=$F23),1,""))</f>
        <v/>
      </c>
      <c r="W23">
        <f>IF($D23="","",IF(AND(13&gt;=$D23,13&lt;=$F23),1,""))</f>
        <v/>
      </c>
      <c r="X23">
        <f>IF($D23="","",IF(AND(14&gt;=$D23,14&lt;=$F23),1,""))</f>
        <v/>
      </c>
      <c r="Y23">
        <f>IF($D23="","",IF(AND(15&gt;=$D23,15&lt;=$F23),1,""))</f>
        <v/>
      </c>
      <c r="Z23">
        <f>IF($D23="","",IF(AND(16&gt;=$D23,16&lt;=$F23),1,""))</f>
        <v/>
      </c>
      <c r="AA23">
        <f>IF($D23="","",IF(AND(17&gt;=$D23,17&lt;=$F23),1,""))</f>
        <v/>
      </c>
      <c r="AB23">
        <f>IF($D23="","",IF(AND(18&gt;=$D23,18&lt;=$F23),1,""))</f>
        <v/>
      </c>
      <c r="AC23">
        <f>IF($D23="","",IF(AND(19&gt;=$D23,19&lt;=$F23),1,""))</f>
        <v/>
      </c>
      <c r="AD23">
        <f>IF($D23="","",IF(AND(20&gt;=$D23,20&lt;=$F23),1,""))</f>
        <v/>
      </c>
      <c r="AE23">
        <f>IF($D23="","",IF(AND(21&gt;=$D23,21&lt;=$F23),1,""))</f>
        <v/>
      </c>
      <c r="AF23">
        <f>IF($D23="","",IF(AND(22&gt;=$D23,22&lt;=$F23),1,""))</f>
        <v/>
      </c>
      <c r="AG23">
        <f>IF($D23="","",IF(AND(23&gt;=$D23,23&lt;=$F23),1,""))</f>
        <v/>
      </c>
      <c r="AH23">
        <f>IF($D23="","",IF(AND(24&gt;=$D23,24&lt;=$F23),1,""))</f>
        <v/>
      </c>
      <c r="AI23">
        <f>IF($D23="","",IF(AND(25&gt;=$D23,25&lt;=$F23),1,""))</f>
        <v/>
      </c>
      <c r="AJ23">
        <f>IF($D23="","",IF(AND(26&gt;=$D23,26&lt;=$F23),1,""))</f>
        <v/>
      </c>
      <c r="AK23">
        <f>IF($D23="","",IF(AND(27&gt;=$D23,27&lt;=$F23),1,""))</f>
        <v/>
      </c>
      <c r="AL23">
        <f>IF($D23="","",IF(AND(28&gt;=$D23,28&lt;=$F23),1,""))</f>
        <v/>
      </c>
      <c r="AM23">
        <f>IF($D23="","",IF(AND(29&gt;=$D23,29&lt;=$F23),1,""))</f>
        <v/>
      </c>
      <c r="AN23">
        <f>IF($D23="","",IF(AND(30&gt;=$D23,30&lt;=$F23),1,""))</f>
        <v/>
      </c>
    </row>
    <row r="24">
      <c r="A24" s="5" t="n"/>
      <c r="B24" s="6" t="n"/>
      <c r="C24" s="5" t="n"/>
      <c r="D24" s="5" t="n"/>
      <c r="E24" s="5" t="n"/>
      <c r="F24" s="5">
        <f>IF(D24="","",D24+E24-1)</f>
        <v/>
      </c>
      <c r="G24" s="5" t="n"/>
      <c r="H24">
        <f>IF(OR(G24="",G24=0),"",IFERROR(INDEX($F$4:$F$40,MATCH(G24,$A$4:$A$40,0)),"No existe"))</f>
        <v/>
      </c>
      <c r="I24">
        <f>IF(D24="","",IF(H24="","OK",IF(H24="No existe","Predecesora inexistente",IF(D24&lt;=H24,"Empieza antes de que termine su predecesora",IF(F24&gt;30,"Pasa del día 30","OK")))))</f>
        <v/>
      </c>
      <c r="J24">
        <f>IF(D24="","",INT((D24-1)/7)+1)</f>
        <v/>
      </c>
      <c r="K24">
        <f>IF($D24="","",IF(AND(1&gt;=$D24,1&lt;=$F24),1,""))</f>
        <v/>
      </c>
      <c r="L24">
        <f>IF($D24="","",IF(AND(2&gt;=$D24,2&lt;=$F24),1,""))</f>
        <v/>
      </c>
      <c r="M24">
        <f>IF($D24="","",IF(AND(3&gt;=$D24,3&lt;=$F24),1,""))</f>
        <v/>
      </c>
      <c r="N24">
        <f>IF($D24="","",IF(AND(4&gt;=$D24,4&lt;=$F24),1,""))</f>
        <v/>
      </c>
      <c r="O24">
        <f>IF($D24="","",IF(AND(5&gt;=$D24,5&lt;=$F24),1,""))</f>
        <v/>
      </c>
      <c r="P24">
        <f>IF($D24="","",IF(AND(6&gt;=$D24,6&lt;=$F24),1,""))</f>
        <v/>
      </c>
      <c r="Q24">
        <f>IF($D24="","",IF(AND(7&gt;=$D24,7&lt;=$F24),1,""))</f>
        <v/>
      </c>
      <c r="R24">
        <f>IF($D24="","",IF(AND(8&gt;=$D24,8&lt;=$F24),1,""))</f>
        <v/>
      </c>
      <c r="S24">
        <f>IF($D24="","",IF(AND(9&gt;=$D24,9&lt;=$F24),1,""))</f>
        <v/>
      </c>
      <c r="T24">
        <f>IF($D24="","",IF(AND(10&gt;=$D24,10&lt;=$F24),1,""))</f>
        <v/>
      </c>
      <c r="U24">
        <f>IF($D24="","",IF(AND(11&gt;=$D24,11&lt;=$F24),1,""))</f>
        <v/>
      </c>
      <c r="V24">
        <f>IF($D24="","",IF(AND(12&gt;=$D24,12&lt;=$F24),1,""))</f>
        <v/>
      </c>
      <c r="W24">
        <f>IF($D24="","",IF(AND(13&gt;=$D24,13&lt;=$F24),1,""))</f>
        <v/>
      </c>
      <c r="X24">
        <f>IF($D24="","",IF(AND(14&gt;=$D24,14&lt;=$F24),1,""))</f>
        <v/>
      </c>
      <c r="Y24">
        <f>IF($D24="","",IF(AND(15&gt;=$D24,15&lt;=$F24),1,""))</f>
        <v/>
      </c>
      <c r="Z24">
        <f>IF($D24="","",IF(AND(16&gt;=$D24,16&lt;=$F24),1,""))</f>
        <v/>
      </c>
      <c r="AA24">
        <f>IF($D24="","",IF(AND(17&gt;=$D24,17&lt;=$F24),1,""))</f>
        <v/>
      </c>
      <c r="AB24">
        <f>IF($D24="","",IF(AND(18&gt;=$D24,18&lt;=$F24),1,""))</f>
        <v/>
      </c>
      <c r="AC24">
        <f>IF($D24="","",IF(AND(19&gt;=$D24,19&lt;=$F24),1,""))</f>
        <v/>
      </c>
      <c r="AD24">
        <f>IF($D24="","",IF(AND(20&gt;=$D24,20&lt;=$F24),1,""))</f>
        <v/>
      </c>
      <c r="AE24">
        <f>IF($D24="","",IF(AND(21&gt;=$D24,21&lt;=$F24),1,""))</f>
        <v/>
      </c>
      <c r="AF24">
        <f>IF($D24="","",IF(AND(22&gt;=$D24,22&lt;=$F24),1,""))</f>
        <v/>
      </c>
      <c r="AG24">
        <f>IF($D24="","",IF(AND(23&gt;=$D24,23&lt;=$F24),1,""))</f>
        <v/>
      </c>
      <c r="AH24">
        <f>IF($D24="","",IF(AND(24&gt;=$D24,24&lt;=$F24),1,""))</f>
        <v/>
      </c>
      <c r="AI24">
        <f>IF($D24="","",IF(AND(25&gt;=$D24,25&lt;=$F24),1,""))</f>
        <v/>
      </c>
      <c r="AJ24">
        <f>IF($D24="","",IF(AND(26&gt;=$D24,26&lt;=$F24),1,""))</f>
        <v/>
      </c>
      <c r="AK24">
        <f>IF($D24="","",IF(AND(27&gt;=$D24,27&lt;=$F24),1,""))</f>
        <v/>
      </c>
      <c r="AL24">
        <f>IF($D24="","",IF(AND(28&gt;=$D24,28&lt;=$F24),1,""))</f>
        <v/>
      </c>
      <c r="AM24">
        <f>IF($D24="","",IF(AND(29&gt;=$D24,29&lt;=$F24),1,""))</f>
        <v/>
      </c>
      <c r="AN24">
        <f>IF($D24="","",IF(AND(30&gt;=$D24,30&lt;=$F24),1,""))</f>
        <v/>
      </c>
    </row>
    <row r="25">
      <c r="A25" s="5" t="n"/>
      <c r="B25" s="6" t="n"/>
      <c r="C25" s="5" t="n"/>
      <c r="D25" s="5" t="n"/>
      <c r="E25" s="5" t="n"/>
      <c r="F25" s="5">
        <f>IF(D25="","",D25+E25-1)</f>
        <v/>
      </c>
      <c r="G25" s="5" t="n"/>
      <c r="H25">
        <f>IF(OR(G25="",G25=0),"",IFERROR(INDEX($F$4:$F$40,MATCH(G25,$A$4:$A$40,0)),"No existe"))</f>
        <v/>
      </c>
      <c r="I25">
        <f>IF(D25="","",IF(H25="","OK",IF(H25="No existe","Predecesora inexistente",IF(D25&lt;=H25,"Empieza antes de que termine su predecesora",IF(F25&gt;30,"Pasa del día 30","OK")))))</f>
        <v/>
      </c>
      <c r="J25">
        <f>IF(D25="","",INT((D25-1)/7)+1)</f>
        <v/>
      </c>
      <c r="K25">
        <f>IF($D25="","",IF(AND(1&gt;=$D25,1&lt;=$F25),1,""))</f>
        <v/>
      </c>
      <c r="L25">
        <f>IF($D25="","",IF(AND(2&gt;=$D25,2&lt;=$F25),1,""))</f>
        <v/>
      </c>
      <c r="M25">
        <f>IF($D25="","",IF(AND(3&gt;=$D25,3&lt;=$F25),1,""))</f>
        <v/>
      </c>
      <c r="N25">
        <f>IF($D25="","",IF(AND(4&gt;=$D25,4&lt;=$F25),1,""))</f>
        <v/>
      </c>
      <c r="O25">
        <f>IF($D25="","",IF(AND(5&gt;=$D25,5&lt;=$F25),1,""))</f>
        <v/>
      </c>
      <c r="P25">
        <f>IF($D25="","",IF(AND(6&gt;=$D25,6&lt;=$F25),1,""))</f>
        <v/>
      </c>
      <c r="Q25">
        <f>IF($D25="","",IF(AND(7&gt;=$D25,7&lt;=$F25),1,""))</f>
        <v/>
      </c>
      <c r="R25">
        <f>IF($D25="","",IF(AND(8&gt;=$D25,8&lt;=$F25),1,""))</f>
        <v/>
      </c>
      <c r="S25">
        <f>IF($D25="","",IF(AND(9&gt;=$D25,9&lt;=$F25),1,""))</f>
        <v/>
      </c>
      <c r="T25">
        <f>IF($D25="","",IF(AND(10&gt;=$D25,10&lt;=$F25),1,""))</f>
        <v/>
      </c>
      <c r="U25">
        <f>IF($D25="","",IF(AND(11&gt;=$D25,11&lt;=$F25),1,""))</f>
        <v/>
      </c>
      <c r="V25">
        <f>IF($D25="","",IF(AND(12&gt;=$D25,12&lt;=$F25),1,""))</f>
        <v/>
      </c>
      <c r="W25">
        <f>IF($D25="","",IF(AND(13&gt;=$D25,13&lt;=$F25),1,""))</f>
        <v/>
      </c>
      <c r="X25">
        <f>IF($D25="","",IF(AND(14&gt;=$D25,14&lt;=$F25),1,""))</f>
        <v/>
      </c>
      <c r="Y25">
        <f>IF($D25="","",IF(AND(15&gt;=$D25,15&lt;=$F25),1,""))</f>
        <v/>
      </c>
      <c r="Z25">
        <f>IF($D25="","",IF(AND(16&gt;=$D25,16&lt;=$F25),1,""))</f>
        <v/>
      </c>
      <c r="AA25">
        <f>IF($D25="","",IF(AND(17&gt;=$D25,17&lt;=$F25),1,""))</f>
        <v/>
      </c>
      <c r="AB25">
        <f>IF($D25="","",IF(AND(18&gt;=$D25,18&lt;=$F25),1,""))</f>
        <v/>
      </c>
      <c r="AC25">
        <f>IF($D25="","",IF(AND(19&gt;=$D25,19&lt;=$F25),1,""))</f>
        <v/>
      </c>
      <c r="AD25">
        <f>IF($D25="","",IF(AND(20&gt;=$D25,20&lt;=$F25),1,""))</f>
        <v/>
      </c>
      <c r="AE25">
        <f>IF($D25="","",IF(AND(21&gt;=$D25,21&lt;=$F25),1,""))</f>
        <v/>
      </c>
      <c r="AF25">
        <f>IF($D25="","",IF(AND(22&gt;=$D25,22&lt;=$F25),1,""))</f>
        <v/>
      </c>
      <c r="AG25">
        <f>IF($D25="","",IF(AND(23&gt;=$D25,23&lt;=$F25),1,""))</f>
        <v/>
      </c>
      <c r="AH25">
        <f>IF($D25="","",IF(AND(24&gt;=$D25,24&lt;=$F25),1,""))</f>
        <v/>
      </c>
      <c r="AI25">
        <f>IF($D25="","",IF(AND(25&gt;=$D25,25&lt;=$F25),1,""))</f>
        <v/>
      </c>
      <c r="AJ25">
        <f>IF($D25="","",IF(AND(26&gt;=$D25,26&lt;=$F25),1,""))</f>
        <v/>
      </c>
      <c r="AK25">
        <f>IF($D25="","",IF(AND(27&gt;=$D25,27&lt;=$F25),1,""))</f>
        <v/>
      </c>
      <c r="AL25">
        <f>IF($D25="","",IF(AND(28&gt;=$D25,28&lt;=$F25),1,""))</f>
        <v/>
      </c>
      <c r="AM25">
        <f>IF($D25="","",IF(AND(29&gt;=$D25,29&lt;=$F25),1,""))</f>
        <v/>
      </c>
      <c r="AN25">
        <f>IF($D25="","",IF(AND(30&gt;=$D25,30&lt;=$F25),1,""))</f>
        <v/>
      </c>
    </row>
    <row r="26">
      <c r="A26" s="5" t="n"/>
      <c r="B26" s="6" t="n"/>
      <c r="C26" s="5" t="n"/>
      <c r="D26" s="5" t="n"/>
      <c r="E26" s="5" t="n"/>
      <c r="F26" s="5">
        <f>IF(D26="","",D26+E26-1)</f>
        <v/>
      </c>
      <c r="G26" s="5" t="n"/>
      <c r="H26">
        <f>IF(OR(G26="",G26=0),"",IFERROR(INDEX($F$4:$F$40,MATCH(G26,$A$4:$A$40,0)),"No existe"))</f>
        <v/>
      </c>
      <c r="I26">
        <f>IF(D26="","",IF(H26="","OK",IF(H26="No existe","Predecesora inexistente",IF(D26&lt;=H26,"Empieza antes de que termine su predecesora",IF(F26&gt;30,"Pasa del día 30","OK")))))</f>
        <v/>
      </c>
      <c r="J26">
        <f>IF(D26="","",INT((D26-1)/7)+1)</f>
        <v/>
      </c>
      <c r="K26">
        <f>IF($D26="","",IF(AND(1&gt;=$D26,1&lt;=$F26),1,""))</f>
        <v/>
      </c>
      <c r="L26">
        <f>IF($D26="","",IF(AND(2&gt;=$D26,2&lt;=$F26),1,""))</f>
        <v/>
      </c>
      <c r="M26">
        <f>IF($D26="","",IF(AND(3&gt;=$D26,3&lt;=$F26),1,""))</f>
        <v/>
      </c>
      <c r="N26">
        <f>IF($D26="","",IF(AND(4&gt;=$D26,4&lt;=$F26),1,""))</f>
        <v/>
      </c>
      <c r="O26">
        <f>IF($D26="","",IF(AND(5&gt;=$D26,5&lt;=$F26),1,""))</f>
        <v/>
      </c>
      <c r="P26">
        <f>IF($D26="","",IF(AND(6&gt;=$D26,6&lt;=$F26),1,""))</f>
        <v/>
      </c>
      <c r="Q26">
        <f>IF($D26="","",IF(AND(7&gt;=$D26,7&lt;=$F26),1,""))</f>
        <v/>
      </c>
      <c r="R26">
        <f>IF($D26="","",IF(AND(8&gt;=$D26,8&lt;=$F26),1,""))</f>
        <v/>
      </c>
      <c r="S26">
        <f>IF($D26="","",IF(AND(9&gt;=$D26,9&lt;=$F26),1,""))</f>
        <v/>
      </c>
      <c r="T26">
        <f>IF($D26="","",IF(AND(10&gt;=$D26,10&lt;=$F26),1,""))</f>
        <v/>
      </c>
      <c r="U26">
        <f>IF($D26="","",IF(AND(11&gt;=$D26,11&lt;=$F26),1,""))</f>
        <v/>
      </c>
      <c r="V26">
        <f>IF($D26="","",IF(AND(12&gt;=$D26,12&lt;=$F26),1,""))</f>
        <v/>
      </c>
      <c r="W26">
        <f>IF($D26="","",IF(AND(13&gt;=$D26,13&lt;=$F26),1,""))</f>
        <v/>
      </c>
      <c r="X26">
        <f>IF($D26="","",IF(AND(14&gt;=$D26,14&lt;=$F26),1,""))</f>
        <v/>
      </c>
      <c r="Y26">
        <f>IF($D26="","",IF(AND(15&gt;=$D26,15&lt;=$F26),1,""))</f>
        <v/>
      </c>
      <c r="Z26">
        <f>IF($D26="","",IF(AND(16&gt;=$D26,16&lt;=$F26),1,""))</f>
        <v/>
      </c>
      <c r="AA26">
        <f>IF($D26="","",IF(AND(17&gt;=$D26,17&lt;=$F26),1,""))</f>
        <v/>
      </c>
      <c r="AB26">
        <f>IF($D26="","",IF(AND(18&gt;=$D26,18&lt;=$F26),1,""))</f>
        <v/>
      </c>
      <c r="AC26">
        <f>IF($D26="","",IF(AND(19&gt;=$D26,19&lt;=$F26),1,""))</f>
        <v/>
      </c>
      <c r="AD26">
        <f>IF($D26="","",IF(AND(20&gt;=$D26,20&lt;=$F26),1,""))</f>
        <v/>
      </c>
      <c r="AE26">
        <f>IF($D26="","",IF(AND(21&gt;=$D26,21&lt;=$F26),1,""))</f>
        <v/>
      </c>
      <c r="AF26">
        <f>IF($D26="","",IF(AND(22&gt;=$D26,22&lt;=$F26),1,""))</f>
        <v/>
      </c>
      <c r="AG26">
        <f>IF($D26="","",IF(AND(23&gt;=$D26,23&lt;=$F26),1,""))</f>
        <v/>
      </c>
      <c r="AH26">
        <f>IF($D26="","",IF(AND(24&gt;=$D26,24&lt;=$F26),1,""))</f>
        <v/>
      </c>
      <c r="AI26">
        <f>IF($D26="","",IF(AND(25&gt;=$D26,25&lt;=$F26),1,""))</f>
        <v/>
      </c>
      <c r="AJ26">
        <f>IF($D26="","",IF(AND(26&gt;=$D26,26&lt;=$F26),1,""))</f>
        <v/>
      </c>
      <c r="AK26">
        <f>IF($D26="","",IF(AND(27&gt;=$D26,27&lt;=$F26),1,""))</f>
        <v/>
      </c>
      <c r="AL26">
        <f>IF($D26="","",IF(AND(28&gt;=$D26,28&lt;=$F26),1,""))</f>
        <v/>
      </c>
      <c r="AM26">
        <f>IF($D26="","",IF(AND(29&gt;=$D26,29&lt;=$F26),1,""))</f>
        <v/>
      </c>
      <c r="AN26">
        <f>IF($D26="","",IF(AND(30&gt;=$D26,30&lt;=$F26),1,""))</f>
        <v/>
      </c>
    </row>
    <row r="27">
      <c r="A27" s="5" t="n"/>
      <c r="B27" s="6" t="n"/>
      <c r="C27" s="5" t="n"/>
      <c r="D27" s="5" t="n"/>
      <c r="E27" s="5" t="n"/>
      <c r="F27" s="5">
        <f>IF(D27="","",D27+E27-1)</f>
        <v/>
      </c>
      <c r="G27" s="5" t="n"/>
      <c r="H27">
        <f>IF(OR(G27="",G27=0),"",IFERROR(INDEX($F$4:$F$40,MATCH(G27,$A$4:$A$40,0)),"No existe"))</f>
        <v/>
      </c>
      <c r="I27">
        <f>IF(D27="","",IF(H27="","OK",IF(H27="No existe","Predecesora inexistente",IF(D27&lt;=H27,"Empieza antes de que termine su predecesora",IF(F27&gt;30,"Pasa del día 30","OK")))))</f>
        <v/>
      </c>
      <c r="J27">
        <f>IF(D27="","",INT((D27-1)/7)+1)</f>
        <v/>
      </c>
      <c r="K27">
        <f>IF($D27="","",IF(AND(1&gt;=$D27,1&lt;=$F27),1,""))</f>
        <v/>
      </c>
      <c r="L27">
        <f>IF($D27="","",IF(AND(2&gt;=$D27,2&lt;=$F27),1,""))</f>
        <v/>
      </c>
      <c r="M27">
        <f>IF($D27="","",IF(AND(3&gt;=$D27,3&lt;=$F27),1,""))</f>
        <v/>
      </c>
      <c r="N27">
        <f>IF($D27="","",IF(AND(4&gt;=$D27,4&lt;=$F27),1,""))</f>
        <v/>
      </c>
      <c r="O27">
        <f>IF($D27="","",IF(AND(5&gt;=$D27,5&lt;=$F27),1,""))</f>
        <v/>
      </c>
      <c r="P27">
        <f>IF($D27="","",IF(AND(6&gt;=$D27,6&lt;=$F27),1,""))</f>
        <v/>
      </c>
      <c r="Q27">
        <f>IF($D27="","",IF(AND(7&gt;=$D27,7&lt;=$F27),1,""))</f>
        <v/>
      </c>
      <c r="R27">
        <f>IF($D27="","",IF(AND(8&gt;=$D27,8&lt;=$F27),1,""))</f>
        <v/>
      </c>
      <c r="S27">
        <f>IF($D27="","",IF(AND(9&gt;=$D27,9&lt;=$F27),1,""))</f>
        <v/>
      </c>
      <c r="T27">
        <f>IF($D27="","",IF(AND(10&gt;=$D27,10&lt;=$F27),1,""))</f>
        <v/>
      </c>
      <c r="U27">
        <f>IF($D27="","",IF(AND(11&gt;=$D27,11&lt;=$F27),1,""))</f>
        <v/>
      </c>
      <c r="V27">
        <f>IF($D27="","",IF(AND(12&gt;=$D27,12&lt;=$F27),1,""))</f>
        <v/>
      </c>
      <c r="W27">
        <f>IF($D27="","",IF(AND(13&gt;=$D27,13&lt;=$F27),1,""))</f>
        <v/>
      </c>
      <c r="X27">
        <f>IF($D27="","",IF(AND(14&gt;=$D27,14&lt;=$F27),1,""))</f>
        <v/>
      </c>
      <c r="Y27">
        <f>IF($D27="","",IF(AND(15&gt;=$D27,15&lt;=$F27),1,""))</f>
        <v/>
      </c>
      <c r="Z27">
        <f>IF($D27="","",IF(AND(16&gt;=$D27,16&lt;=$F27),1,""))</f>
        <v/>
      </c>
      <c r="AA27">
        <f>IF($D27="","",IF(AND(17&gt;=$D27,17&lt;=$F27),1,""))</f>
        <v/>
      </c>
      <c r="AB27">
        <f>IF($D27="","",IF(AND(18&gt;=$D27,18&lt;=$F27),1,""))</f>
        <v/>
      </c>
      <c r="AC27">
        <f>IF($D27="","",IF(AND(19&gt;=$D27,19&lt;=$F27),1,""))</f>
        <v/>
      </c>
      <c r="AD27">
        <f>IF($D27="","",IF(AND(20&gt;=$D27,20&lt;=$F27),1,""))</f>
        <v/>
      </c>
      <c r="AE27">
        <f>IF($D27="","",IF(AND(21&gt;=$D27,21&lt;=$F27),1,""))</f>
        <v/>
      </c>
      <c r="AF27">
        <f>IF($D27="","",IF(AND(22&gt;=$D27,22&lt;=$F27),1,""))</f>
        <v/>
      </c>
      <c r="AG27">
        <f>IF($D27="","",IF(AND(23&gt;=$D27,23&lt;=$F27),1,""))</f>
        <v/>
      </c>
      <c r="AH27">
        <f>IF($D27="","",IF(AND(24&gt;=$D27,24&lt;=$F27),1,""))</f>
        <v/>
      </c>
      <c r="AI27">
        <f>IF($D27="","",IF(AND(25&gt;=$D27,25&lt;=$F27),1,""))</f>
        <v/>
      </c>
      <c r="AJ27">
        <f>IF($D27="","",IF(AND(26&gt;=$D27,26&lt;=$F27),1,""))</f>
        <v/>
      </c>
      <c r="AK27">
        <f>IF($D27="","",IF(AND(27&gt;=$D27,27&lt;=$F27),1,""))</f>
        <v/>
      </c>
      <c r="AL27">
        <f>IF($D27="","",IF(AND(28&gt;=$D27,28&lt;=$F27),1,""))</f>
        <v/>
      </c>
      <c r="AM27">
        <f>IF($D27="","",IF(AND(29&gt;=$D27,29&lt;=$F27),1,""))</f>
        <v/>
      </c>
      <c r="AN27">
        <f>IF($D27="","",IF(AND(30&gt;=$D27,30&lt;=$F27),1,""))</f>
        <v/>
      </c>
    </row>
    <row r="28">
      <c r="A28" s="5" t="n"/>
      <c r="B28" s="6" t="n"/>
      <c r="C28" s="5" t="n"/>
      <c r="D28" s="5" t="n"/>
      <c r="E28" s="5" t="n"/>
      <c r="F28" s="5">
        <f>IF(D28="","",D28+E28-1)</f>
        <v/>
      </c>
      <c r="G28" s="5" t="n"/>
      <c r="H28">
        <f>IF(OR(G28="",G28=0),"",IFERROR(INDEX($F$4:$F$40,MATCH(G28,$A$4:$A$40,0)),"No existe"))</f>
        <v/>
      </c>
      <c r="I28">
        <f>IF(D28="","",IF(H28="","OK",IF(H28="No existe","Predecesora inexistente",IF(D28&lt;=H28,"Empieza antes de que termine su predecesora",IF(F28&gt;30,"Pasa del día 30","OK")))))</f>
        <v/>
      </c>
      <c r="J28">
        <f>IF(D28="","",INT((D28-1)/7)+1)</f>
        <v/>
      </c>
      <c r="K28">
        <f>IF($D28="","",IF(AND(1&gt;=$D28,1&lt;=$F28),1,""))</f>
        <v/>
      </c>
      <c r="L28">
        <f>IF($D28="","",IF(AND(2&gt;=$D28,2&lt;=$F28),1,""))</f>
        <v/>
      </c>
      <c r="M28">
        <f>IF($D28="","",IF(AND(3&gt;=$D28,3&lt;=$F28),1,""))</f>
        <v/>
      </c>
      <c r="N28">
        <f>IF($D28="","",IF(AND(4&gt;=$D28,4&lt;=$F28),1,""))</f>
        <v/>
      </c>
      <c r="O28">
        <f>IF($D28="","",IF(AND(5&gt;=$D28,5&lt;=$F28),1,""))</f>
        <v/>
      </c>
      <c r="P28">
        <f>IF($D28="","",IF(AND(6&gt;=$D28,6&lt;=$F28),1,""))</f>
        <v/>
      </c>
      <c r="Q28">
        <f>IF($D28="","",IF(AND(7&gt;=$D28,7&lt;=$F28),1,""))</f>
        <v/>
      </c>
      <c r="R28">
        <f>IF($D28="","",IF(AND(8&gt;=$D28,8&lt;=$F28),1,""))</f>
        <v/>
      </c>
      <c r="S28">
        <f>IF($D28="","",IF(AND(9&gt;=$D28,9&lt;=$F28),1,""))</f>
        <v/>
      </c>
      <c r="T28">
        <f>IF($D28="","",IF(AND(10&gt;=$D28,10&lt;=$F28),1,""))</f>
        <v/>
      </c>
      <c r="U28">
        <f>IF($D28="","",IF(AND(11&gt;=$D28,11&lt;=$F28),1,""))</f>
        <v/>
      </c>
      <c r="V28">
        <f>IF($D28="","",IF(AND(12&gt;=$D28,12&lt;=$F28),1,""))</f>
        <v/>
      </c>
      <c r="W28">
        <f>IF($D28="","",IF(AND(13&gt;=$D28,13&lt;=$F28),1,""))</f>
        <v/>
      </c>
      <c r="X28">
        <f>IF($D28="","",IF(AND(14&gt;=$D28,14&lt;=$F28),1,""))</f>
        <v/>
      </c>
      <c r="Y28">
        <f>IF($D28="","",IF(AND(15&gt;=$D28,15&lt;=$F28),1,""))</f>
        <v/>
      </c>
      <c r="Z28">
        <f>IF($D28="","",IF(AND(16&gt;=$D28,16&lt;=$F28),1,""))</f>
        <v/>
      </c>
      <c r="AA28">
        <f>IF($D28="","",IF(AND(17&gt;=$D28,17&lt;=$F28),1,""))</f>
        <v/>
      </c>
      <c r="AB28">
        <f>IF($D28="","",IF(AND(18&gt;=$D28,18&lt;=$F28),1,""))</f>
        <v/>
      </c>
      <c r="AC28">
        <f>IF($D28="","",IF(AND(19&gt;=$D28,19&lt;=$F28),1,""))</f>
        <v/>
      </c>
      <c r="AD28">
        <f>IF($D28="","",IF(AND(20&gt;=$D28,20&lt;=$F28),1,""))</f>
        <v/>
      </c>
      <c r="AE28">
        <f>IF($D28="","",IF(AND(21&gt;=$D28,21&lt;=$F28),1,""))</f>
        <v/>
      </c>
      <c r="AF28">
        <f>IF($D28="","",IF(AND(22&gt;=$D28,22&lt;=$F28),1,""))</f>
        <v/>
      </c>
      <c r="AG28">
        <f>IF($D28="","",IF(AND(23&gt;=$D28,23&lt;=$F28),1,""))</f>
        <v/>
      </c>
      <c r="AH28">
        <f>IF($D28="","",IF(AND(24&gt;=$D28,24&lt;=$F28),1,""))</f>
        <v/>
      </c>
      <c r="AI28">
        <f>IF($D28="","",IF(AND(25&gt;=$D28,25&lt;=$F28),1,""))</f>
        <v/>
      </c>
      <c r="AJ28">
        <f>IF($D28="","",IF(AND(26&gt;=$D28,26&lt;=$F28),1,""))</f>
        <v/>
      </c>
      <c r="AK28">
        <f>IF($D28="","",IF(AND(27&gt;=$D28,27&lt;=$F28),1,""))</f>
        <v/>
      </c>
      <c r="AL28">
        <f>IF($D28="","",IF(AND(28&gt;=$D28,28&lt;=$F28),1,""))</f>
        <v/>
      </c>
      <c r="AM28">
        <f>IF($D28="","",IF(AND(29&gt;=$D28,29&lt;=$F28),1,""))</f>
        <v/>
      </c>
      <c r="AN28">
        <f>IF($D28="","",IF(AND(30&gt;=$D28,30&lt;=$F28),1,""))</f>
        <v/>
      </c>
    </row>
    <row r="29">
      <c r="A29" s="5" t="n"/>
      <c r="B29" s="6" t="n"/>
      <c r="C29" s="5" t="n"/>
      <c r="D29" s="5" t="n"/>
      <c r="E29" s="5" t="n"/>
      <c r="F29" s="5">
        <f>IF(D29="","",D29+E29-1)</f>
        <v/>
      </c>
      <c r="G29" s="5" t="n"/>
      <c r="H29">
        <f>IF(OR(G29="",G29=0),"",IFERROR(INDEX($F$4:$F$40,MATCH(G29,$A$4:$A$40,0)),"No existe"))</f>
        <v/>
      </c>
      <c r="I29">
        <f>IF(D29="","",IF(H29="","OK",IF(H29="No existe","Predecesora inexistente",IF(D29&lt;=H29,"Empieza antes de que termine su predecesora",IF(F29&gt;30,"Pasa del día 30","OK")))))</f>
        <v/>
      </c>
      <c r="J29">
        <f>IF(D29="","",INT((D29-1)/7)+1)</f>
        <v/>
      </c>
      <c r="K29">
        <f>IF($D29="","",IF(AND(1&gt;=$D29,1&lt;=$F29),1,""))</f>
        <v/>
      </c>
      <c r="L29">
        <f>IF($D29="","",IF(AND(2&gt;=$D29,2&lt;=$F29),1,""))</f>
        <v/>
      </c>
      <c r="M29">
        <f>IF($D29="","",IF(AND(3&gt;=$D29,3&lt;=$F29),1,""))</f>
        <v/>
      </c>
      <c r="N29">
        <f>IF($D29="","",IF(AND(4&gt;=$D29,4&lt;=$F29),1,""))</f>
        <v/>
      </c>
      <c r="O29">
        <f>IF($D29="","",IF(AND(5&gt;=$D29,5&lt;=$F29),1,""))</f>
        <v/>
      </c>
      <c r="P29">
        <f>IF($D29="","",IF(AND(6&gt;=$D29,6&lt;=$F29),1,""))</f>
        <v/>
      </c>
      <c r="Q29">
        <f>IF($D29="","",IF(AND(7&gt;=$D29,7&lt;=$F29),1,""))</f>
        <v/>
      </c>
      <c r="R29">
        <f>IF($D29="","",IF(AND(8&gt;=$D29,8&lt;=$F29),1,""))</f>
        <v/>
      </c>
      <c r="S29">
        <f>IF($D29="","",IF(AND(9&gt;=$D29,9&lt;=$F29),1,""))</f>
        <v/>
      </c>
      <c r="T29">
        <f>IF($D29="","",IF(AND(10&gt;=$D29,10&lt;=$F29),1,""))</f>
        <v/>
      </c>
      <c r="U29">
        <f>IF($D29="","",IF(AND(11&gt;=$D29,11&lt;=$F29),1,""))</f>
        <v/>
      </c>
      <c r="V29">
        <f>IF($D29="","",IF(AND(12&gt;=$D29,12&lt;=$F29),1,""))</f>
        <v/>
      </c>
      <c r="W29">
        <f>IF($D29="","",IF(AND(13&gt;=$D29,13&lt;=$F29),1,""))</f>
        <v/>
      </c>
      <c r="X29">
        <f>IF($D29="","",IF(AND(14&gt;=$D29,14&lt;=$F29),1,""))</f>
        <v/>
      </c>
      <c r="Y29">
        <f>IF($D29="","",IF(AND(15&gt;=$D29,15&lt;=$F29),1,""))</f>
        <v/>
      </c>
      <c r="Z29">
        <f>IF($D29="","",IF(AND(16&gt;=$D29,16&lt;=$F29),1,""))</f>
        <v/>
      </c>
      <c r="AA29">
        <f>IF($D29="","",IF(AND(17&gt;=$D29,17&lt;=$F29),1,""))</f>
        <v/>
      </c>
      <c r="AB29">
        <f>IF($D29="","",IF(AND(18&gt;=$D29,18&lt;=$F29),1,""))</f>
        <v/>
      </c>
      <c r="AC29">
        <f>IF($D29="","",IF(AND(19&gt;=$D29,19&lt;=$F29),1,""))</f>
        <v/>
      </c>
      <c r="AD29">
        <f>IF($D29="","",IF(AND(20&gt;=$D29,20&lt;=$F29),1,""))</f>
        <v/>
      </c>
      <c r="AE29">
        <f>IF($D29="","",IF(AND(21&gt;=$D29,21&lt;=$F29),1,""))</f>
        <v/>
      </c>
      <c r="AF29">
        <f>IF($D29="","",IF(AND(22&gt;=$D29,22&lt;=$F29),1,""))</f>
        <v/>
      </c>
      <c r="AG29">
        <f>IF($D29="","",IF(AND(23&gt;=$D29,23&lt;=$F29),1,""))</f>
        <v/>
      </c>
      <c r="AH29">
        <f>IF($D29="","",IF(AND(24&gt;=$D29,24&lt;=$F29),1,""))</f>
        <v/>
      </c>
      <c r="AI29">
        <f>IF($D29="","",IF(AND(25&gt;=$D29,25&lt;=$F29),1,""))</f>
        <v/>
      </c>
      <c r="AJ29">
        <f>IF($D29="","",IF(AND(26&gt;=$D29,26&lt;=$F29),1,""))</f>
        <v/>
      </c>
      <c r="AK29">
        <f>IF($D29="","",IF(AND(27&gt;=$D29,27&lt;=$F29),1,""))</f>
        <v/>
      </c>
      <c r="AL29">
        <f>IF($D29="","",IF(AND(28&gt;=$D29,28&lt;=$F29),1,""))</f>
        <v/>
      </c>
      <c r="AM29">
        <f>IF($D29="","",IF(AND(29&gt;=$D29,29&lt;=$F29),1,""))</f>
        <v/>
      </c>
      <c r="AN29">
        <f>IF($D29="","",IF(AND(30&gt;=$D29,30&lt;=$F29),1,""))</f>
        <v/>
      </c>
    </row>
    <row r="30">
      <c r="A30" s="5" t="n"/>
      <c r="B30" s="6" t="n"/>
      <c r="C30" s="5" t="n"/>
      <c r="D30" s="5" t="n"/>
      <c r="E30" s="5" t="n"/>
      <c r="F30" s="5">
        <f>IF(D30="","",D30+E30-1)</f>
        <v/>
      </c>
      <c r="G30" s="5" t="n"/>
      <c r="H30">
        <f>IF(OR(G30="",G30=0),"",IFERROR(INDEX($F$4:$F$40,MATCH(G30,$A$4:$A$40,0)),"No existe"))</f>
        <v/>
      </c>
      <c r="I30">
        <f>IF(D30="","",IF(H30="","OK",IF(H30="No existe","Predecesora inexistente",IF(D30&lt;=H30,"Empieza antes de que termine su predecesora",IF(F30&gt;30,"Pasa del día 30","OK")))))</f>
        <v/>
      </c>
      <c r="J30">
        <f>IF(D30="","",INT((D30-1)/7)+1)</f>
        <v/>
      </c>
      <c r="K30">
        <f>IF($D30="","",IF(AND(1&gt;=$D30,1&lt;=$F30),1,""))</f>
        <v/>
      </c>
      <c r="L30">
        <f>IF($D30="","",IF(AND(2&gt;=$D30,2&lt;=$F30),1,""))</f>
        <v/>
      </c>
      <c r="M30">
        <f>IF($D30="","",IF(AND(3&gt;=$D30,3&lt;=$F30),1,""))</f>
        <v/>
      </c>
      <c r="N30">
        <f>IF($D30="","",IF(AND(4&gt;=$D30,4&lt;=$F30),1,""))</f>
        <v/>
      </c>
      <c r="O30">
        <f>IF($D30="","",IF(AND(5&gt;=$D30,5&lt;=$F30),1,""))</f>
        <v/>
      </c>
      <c r="P30">
        <f>IF($D30="","",IF(AND(6&gt;=$D30,6&lt;=$F30),1,""))</f>
        <v/>
      </c>
      <c r="Q30">
        <f>IF($D30="","",IF(AND(7&gt;=$D30,7&lt;=$F30),1,""))</f>
        <v/>
      </c>
      <c r="R30">
        <f>IF($D30="","",IF(AND(8&gt;=$D30,8&lt;=$F30),1,""))</f>
        <v/>
      </c>
      <c r="S30">
        <f>IF($D30="","",IF(AND(9&gt;=$D30,9&lt;=$F30),1,""))</f>
        <v/>
      </c>
      <c r="T30">
        <f>IF($D30="","",IF(AND(10&gt;=$D30,10&lt;=$F30),1,""))</f>
        <v/>
      </c>
      <c r="U30">
        <f>IF($D30="","",IF(AND(11&gt;=$D30,11&lt;=$F30),1,""))</f>
        <v/>
      </c>
      <c r="V30">
        <f>IF($D30="","",IF(AND(12&gt;=$D30,12&lt;=$F30),1,""))</f>
        <v/>
      </c>
      <c r="W30">
        <f>IF($D30="","",IF(AND(13&gt;=$D30,13&lt;=$F30),1,""))</f>
        <v/>
      </c>
      <c r="X30">
        <f>IF($D30="","",IF(AND(14&gt;=$D30,14&lt;=$F30),1,""))</f>
        <v/>
      </c>
      <c r="Y30">
        <f>IF($D30="","",IF(AND(15&gt;=$D30,15&lt;=$F30),1,""))</f>
        <v/>
      </c>
      <c r="Z30">
        <f>IF($D30="","",IF(AND(16&gt;=$D30,16&lt;=$F30),1,""))</f>
        <v/>
      </c>
      <c r="AA30">
        <f>IF($D30="","",IF(AND(17&gt;=$D30,17&lt;=$F30),1,""))</f>
        <v/>
      </c>
      <c r="AB30">
        <f>IF($D30="","",IF(AND(18&gt;=$D30,18&lt;=$F30),1,""))</f>
        <v/>
      </c>
      <c r="AC30">
        <f>IF($D30="","",IF(AND(19&gt;=$D30,19&lt;=$F30),1,""))</f>
        <v/>
      </c>
      <c r="AD30">
        <f>IF($D30="","",IF(AND(20&gt;=$D30,20&lt;=$F30),1,""))</f>
        <v/>
      </c>
      <c r="AE30">
        <f>IF($D30="","",IF(AND(21&gt;=$D30,21&lt;=$F30),1,""))</f>
        <v/>
      </c>
      <c r="AF30">
        <f>IF($D30="","",IF(AND(22&gt;=$D30,22&lt;=$F30),1,""))</f>
        <v/>
      </c>
      <c r="AG30">
        <f>IF($D30="","",IF(AND(23&gt;=$D30,23&lt;=$F30),1,""))</f>
        <v/>
      </c>
      <c r="AH30">
        <f>IF($D30="","",IF(AND(24&gt;=$D30,24&lt;=$F30),1,""))</f>
        <v/>
      </c>
      <c r="AI30">
        <f>IF($D30="","",IF(AND(25&gt;=$D30,25&lt;=$F30),1,""))</f>
        <v/>
      </c>
      <c r="AJ30">
        <f>IF($D30="","",IF(AND(26&gt;=$D30,26&lt;=$F30),1,""))</f>
        <v/>
      </c>
      <c r="AK30">
        <f>IF($D30="","",IF(AND(27&gt;=$D30,27&lt;=$F30),1,""))</f>
        <v/>
      </c>
      <c r="AL30">
        <f>IF($D30="","",IF(AND(28&gt;=$D30,28&lt;=$F30),1,""))</f>
        <v/>
      </c>
      <c r="AM30">
        <f>IF($D30="","",IF(AND(29&gt;=$D30,29&lt;=$F30),1,""))</f>
        <v/>
      </c>
      <c r="AN30">
        <f>IF($D30="","",IF(AND(30&gt;=$D30,30&lt;=$F30),1,""))</f>
        <v/>
      </c>
    </row>
    <row r="31">
      <c r="A31" s="5" t="n"/>
      <c r="B31" s="6" t="n"/>
      <c r="C31" s="5" t="n"/>
      <c r="D31" s="5" t="n"/>
      <c r="E31" s="5" t="n"/>
      <c r="F31" s="5">
        <f>IF(D31="","",D31+E31-1)</f>
        <v/>
      </c>
      <c r="G31" s="5" t="n"/>
      <c r="H31">
        <f>IF(OR(G31="",G31=0),"",IFERROR(INDEX($F$4:$F$40,MATCH(G31,$A$4:$A$40,0)),"No existe"))</f>
        <v/>
      </c>
      <c r="I31">
        <f>IF(D31="","",IF(H31="","OK",IF(H31="No existe","Predecesora inexistente",IF(D31&lt;=H31,"Empieza antes de que termine su predecesora",IF(F31&gt;30,"Pasa del día 30","OK")))))</f>
        <v/>
      </c>
      <c r="J31">
        <f>IF(D31="","",INT((D31-1)/7)+1)</f>
        <v/>
      </c>
      <c r="K31">
        <f>IF($D31="","",IF(AND(1&gt;=$D31,1&lt;=$F31),1,""))</f>
        <v/>
      </c>
      <c r="L31">
        <f>IF($D31="","",IF(AND(2&gt;=$D31,2&lt;=$F31),1,""))</f>
        <v/>
      </c>
      <c r="M31">
        <f>IF($D31="","",IF(AND(3&gt;=$D31,3&lt;=$F31),1,""))</f>
        <v/>
      </c>
      <c r="N31">
        <f>IF($D31="","",IF(AND(4&gt;=$D31,4&lt;=$F31),1,""))</f>
        <v/>
      </c>
      <c r="O31">
        <f>IF($D31="","",IF(AND(5&gt;=$D31,5&lt;=$F31),1,""))</f>
        <v/>
      </c>
      <c r="P31">
        <f>IF($D31="","",IF(AND(6&gt;=$D31,6&lt;=$F31),1,""))</f>
        <v/>
      </c>
      <c r="Q31">
        <f>IF($D31="","",IF(AND(7&gt;=$D31,7&lt;=$F31),1,""))</f>
        <v/>
      </c>
      <c r="R31">
        <f>IF($D31="","",IF(AND(8&gt;=$D31,8&lt;=$F31),1,""))</f>
        <v/>
      </c>
      <c r="S31">
        <f>IF($D31="","",IF(AND(9&gt;=$D31,9&lt;=$F31),1,""))</f>
        <v/>
      </c>
      <c r="T31">
        <f>IF($D31="","",IF(AND(10&gt;=$D31,10&lt;=$F31),1,""))</f>
        <v/>
      </c>
      <c r="U31">
        <f>IF($D31="","",IF(AND(11&gt;=$D31,11&lt;=$F31),1,""))</f>
        <v/>
      </c>
      <c r="V31">
        <f>IF($D31="","",IF(AND(12&gt;=$D31,12&lt;=$F31),1,""))</f>
        <v/>
      </c>
      <c r="W31">
        <f>IF($D31="","",IF(AND(13&gt;=$D31,13&lt;=$F31),1,""))</f>
        <v/>
      </c>
      <c r="X31">
        <f>IF($D31="","",IF(AND(14&gt;=$D31,14&lt;=$F31),1,""))</f>
        <v/>
      </c>
      <c r="Y31">
        <f>IF($D31="","",IF(AND(15&gt;=$D31,15&lt;=$F31),1,""))</f>
        <v/>
      </c>
      <c r="Z31">
        <f>IF($D31="","",IF(AND(16&gt;=$D31,16&lt;=$F31),1,""))</f>
        <v/>
      </c>
      <c r="AA31">
        <f>IF($D31="","",IF(AND(17&gt;=$D31,17&lt;=$F31),1,""))</f>
        <v/>
      </c>
      <c r="AB31">
        <f>IF($D31="","",IF(AND(18&gt;=$D31,18&lt;=$F31),1,""))</f>
        <v/>
      </c>
      <c r="AC31">
        <f>IF($D31="","",IF(AND(19&gt;=$D31,19&lt;=$F31),1,""))</f>
        <v/>
      </c>
      <c r="AD31">
        <f>IF($D31="","",IF(AND(20&gt;=$D31,20&lt;=$F31),1,""))</f>
        <v/>
      </c>
      <c r="AE31">
        <f>IF($D31="","",IF(AND(21&gt;=$D31,21&lt;=$F31),1,""))</f>
        <v/>
      </c>
      <c r="AF31">
        <f>IF($D31="","",IF(AND(22&gt;=$D31,22&lt;=$F31),1,""))</f>
        <v/>
      </c>
      <c r="AG31">
        <f>IF($D31="","",IF(AND(23&gt;=$D31,23&lt;=$F31),1,""))</f>
        <v/>
      </c>
      <c r="AH31">
        <f>IF($D31="","",IF(AND(24&gt;=$D31,24&lt;=$F31),1,""))</f>
        <v/>
      </c>
      <c r="AI31">
        <f>IF($D31="","",IF(AND(25&gt;=$D31,25&lt;=$F31),1,""))</f>
        <v/>
      </c>
      <c r="AJ31">
        <f>IF($D31="","",IF(AND(26&gt;=$D31,26&lt;=$F31),1,""))</f>
        <v/>
      </c>
      <c r="AK31">
        <f>IF($D31="","",IF(AND(27&gt;=$D31,27&lt;=$F31),1,""))</f>
        <v/>
      </c>
      <c r="AL31">
        <f>IF($D31="","",IF(AND(28&gt;=$D31,28&lt;=$F31),1,""))</f>
        <v/>
      </c>
      <c r="AM31">
        <f>IF($D31="","",IF(AND(29&gt;=$D31,29&lt;=$F31),1,""))</f>
        <v/>
      </c>
      <c r="AN31">
        <f>IF($D31="","",IF(AND(30&gt;=$D31,30&lt;=$F31),1,""))</f>
        <v/>
      </c>
    </row>
    <row r="32">
      <c r="A32" s="5" t="n"/>
      <c r="B32" s="6" t="n"/>
      <c r="C32" s="5" t="n"/>
      <c r="D32" s="5" t="n"/>
      <c r="E32" s="5" t="n"/>
      <c r="F32" s="5">
        <f>IF(D32="","",D32+E32-1)</f>
        <v/>
      </c>
      <c r="G32" s="5" t="n"/>
      <c r="H32">
        <f>IF(OR(G32="",G32=0),"",IFERROR(INDEX($F$4:$F$40,MATCH(G32,$A$4:$A$40,0)),"No existe"))</f>
        <v/>
      </c>
      <c r="I32">
        <f>IF(D32="","",IF(H32="","OK",IF(H32="No existe","Predecesora inexistente",IF(D32&lt;=H32,"Empieza antes de que termine su predecesora",IF(F32&gt;30,"Pasa del día 30","OK")))))</f>
        <v/>
      </c>
      <c r="J32">
        <f>IF(D32="","",INT((D32-1)/7)+1)</f>
        <v/>
      </c>
      <c r="K32">
        <f>IF($D32="","",IF(AND(1&gt;=$D32,1&lt;=$F32),1,""))</f>
        <v/>
      </c>
      <c r="L32">
        <f>IF($D32="","",IF(AND(2&gt;=$D32,2&lt;=$F32),1,""))</f>
        <v/>
      </c>
      <c r="M32">
        <f>IF($D32="","",IF(AND(3&gt;=$D32,3&lt;=$F32),1,""))</f>
        <v/>
      </c>
      <c r="N32">
        <f>IF($D32="","",IF(AND(4&gt;=$D32,4&lt;=$F32),1,""))</f>
        <v/>
      </c>
      <c r="O32">
        <f>IF($D32="","",IF(AND(5&gt;=$D32,5&lt;=$F32),1,""))</f>
        <v/>
      </c>
      <c r="P32">
        <f>IF($D32="","",IF(AND(6&gt;=$D32,6&lt;=$F32),1,""))</f>
        <v/>
      </c>
      <c r="Q32">
        <f>IF($D32="","",IF(AND(7&gt;=$D32,7&lt;=$F32),1,""))</f>
        <v/>
      </c>
      <c r="R32">
        <f>IF($D32="","",IF(AND(8&gt;=$D32,8&lt;=$F32),1,""))</f>
        <v/>
      </c>
      <c r="S32">
        <f>IF($D32="","",IF(AND(9&gt;=$D32,9&lt;=$F32),1,""))</f>
        <v/>
      </c>
      <c r="T32">
        <f>IF($D32="","",IF(AND(10&gt;=$D32,10&lt;=$F32),1,""))</f>
        <v/>
      </c>
      <c r="U32">
        <f>IF($D32="","",IF(AND(11&gt;=$D32,11&lt;=$F32),1,""))</f>
        <v/>
      </c>
      <c r="V32">
        <f>IF($D32="","",IF(AND(12&gt;=$D32,12&lt;=$F32),1,""))</f>
        <v/>
      </c>
      <c r="W32">
        <f>IF($D32="","",IF(AND(13&gt;=$D32,13&lt;=$F32),1,""))</f>
        <v/>
      </c>
      <c r="X32">
        <f>IF($D32="","",IF(AND(14&gt;=$D32,14&lt;=$F32),1,""))</f>
        <v/>
      </c>
      <c r="Y32">
        <f>IF($D32="","",IF(AND(15&gt;=$D32,15&lt;=$F32),1,""))</f>
        <v/>
      </c>
      <c r="Z32">
        <f>IF($D32="","",IF(AND(16&gt;=$D32,16&lt;=$F32),1,""))</f>
        <v/>
      </c>
      <c r="AA32">
        <f>IF($D32="","",IF(AND(17&gt;=$D32,17&lt;=$F32),1,""))</f>
        <v/>
      </c>
      <c r="AB32">
        <f>IF($D32="","",IF(AND(18&gt;=$D32,18&lt;=$F32),1,""))</f>
        <v/>
      </c>
      <c r="AC32">
        <f>IF($D32="","",IF(AND(19&gt;=$D32,19&lt;=$F32),1,""))</f>
        <v/>
      </c>
      <c r="AD32">
        <f>IF($D32="","",IF(AND(20&gt;=$D32,20&lt;=$F32),1,""))</f>
        <v/>
      </c>
      <c r="AE32">
        <f>IF($D32="","",IF(AND(21&gt;=$D32,21&lt;=$F32),1,""))</f>
        <v/>
      </c>
      <c r="AF32">
        <f>IF($D32="","",IF(AND(22&gt;=$D32,22&lt;=$F32),1,""))</f>
        <v/>
      </c>
      <c r="AG32">
        <f>IF($D32="","",IF(AND(23&gt;=$D32,23&lt;=$F32),1,""))</f>
        <v/>
      </c>
      <c r="AH32">
        <f>IF($D32="","",IF(AND(24&gt;=$D32,24&lt;=$F32),1,""))</f>
        <v/>
      </c>
      <c r="AI32">
        <f>IF($D32="","",IF(AND(25&gt;=$D32,25&lt;=$F32),1,""))</f>
        <v/>
      </c>
      <c r="AJ32">
        <f>IF($D32="","",IF(AND(26&gt;=$D32,26&lt;=$F32),1,""))</f>
        <v/>
      </c>
      <c r="AK32">
        <f>IF($D32="","",IF(AND(27&gt;=$D32,27&lt;=$F32),1,""))</f>
        <v/>
      </c>
      <c r="AL32">
        <f>IF($D32="","",IF(AND(28&gt;=$D32,28&lt;=$F32),1,""))</f>
        <v/>
      </c>
      <c r="AM32">
        <f>IF($D32="","",IF(AND(29&gt;=$D32,29&lt;=$F32),1,""))</f>
        <v/>
      </c>
      <c r="AN32">
        <f>IF($D32="","",IF(AND(30&gt;=$D32,30&lt;=$F32),1,""))</f>
        <v/>
      </c>
    </row>
    <row r="33">
      <c r="A33" s="5" t="n"/>
      <c r="B33" s="6" t="n"/>
      <c r="C33" s="5" t="n"/>
      <c r="D33" s="5" t="n"/>
      <c r="E33" s="5" t="n"/>
      <c r="F33" s="5">
        <f>IF(D33="","",D33+E33-1)</f>
        <v/>
      </c>
      <c r="G33" s="5" t="n"/>
      <c r="H33">
        <f>IF(OR(G33="",G33=0),"",IFERROR(INDEX($F$4:$F$40,MATCH(G33,$A$4:$A$40,0)),"No existe"))</f>
        <v/>
      </c>
      <c r="I33">
        <f>IF(D33="","",IF(H33="","OK",IF(H33="No existe","Predecesora inexistente",IF(D33&lt;=H33,"Empieza antes de que termine su predecesora",IF(F33&gt;30,"Pasa del día 30","OK")))))</f>
        <v/>
      </c>
      <c r="J33">
        <f>IF(D33="","",INT((D33-1)/7)+1)</f>
        <v/>
      </c>
      <c r="K33">
        <f>IF($D33="","",IF(AND(1&gt;=$D33,1&lt;=$F33),1,""))</f>
        <v/>
      </c>
      <c r="L33">
        <f>IF($D33="","",IF(AND(2&gt;=$D33,2&lt;=$F33),1,""))</f>
        <v/>
      </c>
      <c r="M33">
        <f>IF($D33="","",IF(AND(3&gt;=$D33,3&lt;=$F33),1,""))</f>
        <v/>
      </c>
      <c r="N33">
        <f>IF($D33="","",IF(AND(4&gt;=$D33,4&lt;=$F33),1,""))</f>
        <v/>
      </c>
      <c r="O33">
        <f>IF($D33="","",IF(AND(5&gt;=$D33,5&lt;=$F33),1,""))</f>
        <v/>
      </c>
      <c r="P33">
        <f>IF($D33="","",IF(AND(6&gt;=$D33,6&lt;=$F33),1,""))</f>
        <v/>
      </c>
      <c r="Q33">
        <f>IF($D33="","",IF(AND(7&gt;=$D33,7&lt;=$F33),1,""))</f>
        <v/>
      </c>
      <c r="R33">
        <f>IF($D33="","",IF(AND(8&gt;=$D33,8&lt;=$F33),1,""))</f>
        <v/>
      </c>
      <c r="S33">
        <f>IF($D33="","",IF(AND(9&gt;=$D33,9&lt;=$F33),1,""))</f>
        <v/>
      </c>
      <c r="T33">
        <f>IF($D33="","",IF(AND(10&gt;=$D33,10&lt;=$F33),1,""))</f>
        <v/>
      </c>
      <c r="U33">
        <f>IF($D33="","",IF(AND(11&gt;=$D33,11&lt;=$F33),1,""))</f>
        <v/>
      </c>
      <c r="V33">
        <f>IF($D33="","",IF(AND(12&gt;=$D33,12&lt;=$F33),1,""))</f>
        <v/>
      </c>
      <c r="W33">
        <f>IF($D33="","",IF(AND(13&gt;=$D33,13&lt;=$F33),1,""))</f>
        <v/>
      </c>
      <c r="X33">
        <f>IF($D33="","",IF(AND(14&gt;=$D33,14&lt;=$F33),1,""))</f>
        <v/>
      </c>
      <c r="Y33">
        <f>IF($D33="","",IF(AND(15&gt;=$D33,15&lt;=$F33),1,""))</f>
        <v/>
      </c>
      <c r="Z33">
        <f>IF($D33="","",IF(AND(16&gt;=$D33,16&lt;=$F33),1,""))</f>
        <v/>
      </c>
      <c r="AA33">
        <f>IF($D33="","",IF(AND(17&gt;=$D33,17&lt;=$F33),1,""))</f>
        <v/>
      </c>
      <c r="AB33">
        <f>IF($D33="","",IF(AND(18&gt;=$D33,18&lt;=$F33),1,""))</f>
        <v/>
      </c>
      <c r="AC33">
        <f>IF($D33="","",IF(AND(19&gt;=$D33,19&lt;=$F33),1,""))</f>
        <v/>
      </c>
      <c r="AD33">
        <f>IF($D33="","",IF(AND(20&gt;=$D33,20&lt;=$F33),1,""))</f>
        <v/>
      </c>
      <c r="AE33">
        <f>IF($D33="","",IF(AND(21&gt;=$D33,21&lt;=$F33),1,""))</f>
        <v/>
      </c>
      <c r="AF33">
        <f>IF($D33="","",IF(AND(22&gt;=$D33,22&lt;=$F33),1,""))</f>
        <v/>
      </c>
      <c r="AG33">
        <f>IF($D33="","",IF(AND(23&gt;=$D33,23&lt;=$F33),1,""))</f>
        <v/>
      </c>
      <c r="AH33">
        <f>IF($D33="","",IF(AND(24&gt;=$D33,24&lt;=$F33),1,""))</f>
        <v/>
      </c>
      <c r="AI33">
        <f>IF($D33="","",IF(AND(25&gt;=$D33,25&lt;=$F33),1,""))</f>
        <v/>
      </c>
      <c r="AJ33">
        <f>IF($D33="","",IF(AND(26&gt;=$D33,26&lt;=$F33),1,""))</f>
        <v/>
      </c>
      <c r="AK33">
        <f>IF($D33="","",IF(AND(27&gt;=$D33,27&lt;=$F33),1,""))</f>
        <v/>
      </c>
      <c r="AL33">
        <f>IF($D33="","",IF(AND(28&gt;=$D33,28&lt;=$F33),1,""))</f>
        <v/>
      </c>
      <c r="AM33">
        <f>IF($D33="","",IF(AND(29&gt;=$D33,29&lt;=$F33),1,""))</f>
        <v/>
      </c>
      <c r="AN33">
        <f>IF($D33="","",IF(AND(30&gt;=$D33,30&lt;=$F33),1,""))</f>
        <v/>
      </c>
    </row>
    <row r="34">
      <c r="A34" s="5" t="n"/>
      <c r="B34" s="6" t="n"/>
      <c r="C34" s="5" t="n"/>
      <c r="D34" s="5" t="n"/>
      <c r="E34" s="5" t="n"/>
      <c r="F34" s="5">
        <f>IF(D34="","",D34+E34-1)</f>
        <v/>
      </c>
      <c r="G34" s="5" t="n"/>
      <c r="H34">
        <f>IF(OR(G34="",G34=0),"",IFERROR(INDEX($F$4:$F$40,MATCH(G34,$A$4:$A$40,0)),"No existe"))</f>
        <v/>
      </c>
      <c r="I34">
        <f>IF(D34="","",IF(H34="","OK",IF(H34="No existe","Predecesora inexistente",IF(D34&lt;=H34,"Empieza antes de que termine su predecesora",IF(F34&gt;30,"Pasa del día 30","OK")))))</f>
        <v/>
      </c>
      <c r="J34">
        <f>IF(D34="","",INT((D34-1)/7)+1)</f>
        <v/>
      </c>
      <c r="K34">
        <f>IF($D34="","",IF(AND(1&gt;=$D34,1&lt;=$F34),1,""))</f>
        <v/>
      </c>
      <c r="L34">
        <f>IF($D34="","",IF(AND(2&gt;=$D34,2&lt;=$F34),1,""))</f>
        <v/>
      </c>
      <c r="M34">
        <f>IF($D34="","",IF(AND(3&gt;=$D34,3&lt;=$F34),1,""))</f>
        <v/>
      </c>
      <c r="N34">
        <f>IF($D34="","",IF(AND(4&gt;=$D34,4&lt;=$F34),1,""))</f>
        <v/>
      </c>
      <c r="O34">
        <f>IF($D34="","",IF(AND(5&gt;=$D34,5&lt;=$F34),1,""))</f>
        <v/>
      </c>
      <c r="P34">
        <f>IF($D34="","",IF(AND(6&gt;=$D34,6&lt;=$F34),1,""))</f>
        <v/>
      </c>
      <c r="Q34">
        <f>IF($D34="","",IF(AND(7&gt;=$D34,7&lt;=$F34),1,""))</f>
        <v/>
      </c>
      <c r="R34">
        <f>IF($D34="","",IF(AND(8&gt;=$D34,8&lt;=$F34),1,""))</f>
        <v/>
      </c>
      <c r="S34">
        <f>IF($D34="","",IF(AND(9&gt;=$D34,9&lt;=$F34),1,""))</f>
        <v/>
      </c>
      <c r="T34">
        <f>IF($D34="","",IF(AND(10&gt;=$D34,10&lt;=$F34),1,""))</f>
        <v/>
      </c>
      <c r="U34">
        <f>IF($D34="","",IF(AND(11&gt;=$D34,11&lt;=$F34),1,""))</f>
        <v/>
      </c>
      <c r="V34">
        <f>IF($D34="","",IF(AND(12&gt;=$D34,12&lt;=$F34),1,""))</f>
        <v/>
      </c>
      <c r="W34">
        <f>IF($D34="","",IF(AND(13&gt;=$D34,13&lt;=$F34),1,""))</f>
        <v/>
      </c>
      <c r="X34">
        <f>IF($D34="","",IF(AND(14&gt;=$D34,14&lt;=$F34),1,""))</f>
        <v/>
      </c>
      <c r="Y34">
        <f>IF($D34="","",IF(AND(15&gt;=$D34,15&lt;=$F34),1,""))</f>
        <v/>
      </c>
      <c r="Z34">
        <f>IF($D34="","",IF(AND(16&gt;=$D34,16&lt;=$F34),1,""))</f>
        <v/>
      </c>
      <c r="AA34">
        <f>IF($D34="","",IF(AND(17&gt;=$D34,17&lt;=$F34),1,""))</f>
        <v/>
      </c>
      <c r="AB34">
        <f>IF($D34="","",IF(AND(18&gt;=$D34,18&lt;=$F34),1,""))</f>
        <v/>
      </c>
      <c r="AC34">
        <f>IF($D34="","",IF(AND(19&gt;=$D34,19&lt;=$F34),1,""))</f>
        <v/>
      </c>
      <c r="AD34">
        <f>IF($D34="","",IF(AND(20&gt;=$D34,20&lt;=$F34),1,""))</f>
        <v/>
      </c>
      <c r="AE34">
        <f>IF($D34="","",IF(AND(21&gt;=$D34,21&lt;=$F34),1,""))</f>
        <v/>
      </c>
      <c r="AF34">
        <f>IF($D34="","",IF(AND(22&gt;=$D34,22&lt;=$F34),1,""))</f>
        <v/>
      </c>
      <c r="AG34">
        <f>IF($D34="","",IF(AND(23&gt;=$D34,23&lt;=$F34),1,""))</f>
        <v/>
      </c>
      <c r="AH34">
        <f>IF($D34="","",IF(AND(24&gt;=$D34,24&lt;=$F34),1,""))</f>
        <v/>
      </c>
      <c r="AI34">
        <f>IF($D34="","",IF(AND(25&gt;=$D34,25&lt;=$F34),1,""))</f>
        <v/>
      </c>
      <c r="AJ34">
        <f>IF($D34="","",IF(AND(26&gt;=$D34,26&lt;=$F34),1,""))</f>
        <v/>
      </c>
      <c r="AK34">
        <f>IF($D34="","",IF(AND(27&gt;=$D34,27&lt;=$F34),1,""))</f>
        <v/>
      </c>
      <c r="AL34">
        <f>IF($D34="","",IF(AND(28&gt;=$D34,28&lt;=$F34),1,""))</f>
        <v/>
      </c>
      <c r="AM34">
        <f>IF($D34="","",IF(AND(29&gt;=$D34,29&lt;=$F34),1,""))</f>
        <v/>
      </c>
      <c r="AN34">
        <f>IF($D34="","",IF(AND(30&gt;=$D34,30&lt;=$F34),1,""))</f>
        <v/>
      </c>
    </row>
    <row r="35">
      <c r="A35" s="5" t="n"/>
      <c r="B35" s="6" t="n"/>
      <c r="C35" s="5" t="n"/>
      <c r="D35" s="5" t="n"/>
      <c r="E35" s="5" t="n"/>
      <c r="F35" s="5">
        <f>IF(D35="","",D35+E35-1)</f>
        <v/>
      </c>
      <c r="G35" s="5" t="n"/>
      <c r="H35">
        <f>IF(OR(G35="",G35=0),"",IFERROR(INDEX($F$4:$F$40,MATCH(G35,$A$4:$A$40,0)),"No existe"))</f>
        <v/>
      </c>
      <c r="I35">
        <f>IF(D35="","",IF(H35="","OK",IF(H35="No existe","Predecesora inexistente",IF(D35&lt;=H35,"Empieza antes de que termine su predecesora",IF(F35&gt;30,"Pasa del día 30","OK")))))</f>
        <v/>
      </c>
      <c r="J35">
        <f>IF(D35="","",INT((D35-1)/7)+1)</f>
        <v/>
      </c>
      <c r="K35">
        <f>IF($D35="","",IF(AND(1&gt;=$D35,1&lt;=$F35),1,""))</f>
        <v/>
      </c>
      <c r="L35">
        <f>IF($D35="","",IF(AND(2&gt;=$D35,2&lt;=$F35),1,""))</f>
        <v/>
      </c>
      <c r="M35">
        <f>IF($D35="","",IF(AND(3&gt;=$D35,3&lt;=$F35),1,""))</f>
        <v/>
      </c>
      <c r="N35">
        <f>IF($D35="","",IF(AND(4&gt;=$D35,4&lt;=$F35),1,""))</f>
        <v/>
      </c>
      <c r="O35">
        <f>IF($D35="","",IF(AND(5&gt;=$D35,5&lt;=$F35),1,""))</f>
        <v/>
      </c>
      <c r="P35">
        <f>IF($D35="","",IF(AND(6&gt;=$D35,6&lt;=$F35),1,""))</f>
        <v/>
      </c>
      <c r="Q35">
        <f>IF($D35="","",IF(AND(7&gt;=$D35,7&lt;=$F35),1,""))</f>
        <v/>
      </c>
      <c r="R35">
        <f>IF($D35="","",IF(AND(8&gt;=$D35,8&lt;=$F35),1,""))</f>
        <v/>
      </c>
      <c r="S35">
        <f>IF($D35="","",IF(AND(9&gt;=$D35,9&lt;=$F35),1,""))</f>
        <v/>
      </c>
      <c r="T35">
        <f>IF($D35="","",IF(AND(10&gt;=$D35,10&lt;=$F35),1,""))</f>
        <v/>
      </c>
      <c r="U35">
        <f>IF($D35="","",IF(AND(11&gt;=$D35,11&lt;=$F35),1,""))</f>
        <v/>
      </c>
      <c r="V35">
        <f>IF($D35="","",IF(AND(12&gt;=$D35,12&lt;=$F35),1,""))</f>
        <v/>
      </c>
      <c r="W35">
        <f>IF($D35="","",IF(AND(13&gt;=$D35,13&lt;=$F35),1,""))</f>
        <v/>
      </c>
      <c r="X35">
        <f>IF($D35="","",IF(AND(14&gt;=$D35,14&lt;=$F35),1,""))</f>
        <v/>
      </c>
      <c r="Y35">
        <f>IF($D35="","",IF(AND(15&gt;=$D35,15&lt;=$F35),1,""))</f>
        <v/>
      </c>
      <c r="Z35">
        <f>IF($D35="","",IF(AND(16&gt;=$D35,16&lt;=$F35),1,""))</f>
        <v/>
      </c>
      <c r="AA35">
        <f>IF($D35="","",IF(AND(17&gt;=$D35,17&lt;=$F35),1,""))</f>
        <v/>
      </c>
      <c r="AB35">
        <f>IF($D35="","",IF(AND(18&gt;=$D35,18&lt;=$F35),1,""))</f>
        <v/>
      </c>
      <c r="AC35">
        <f>IF($D35="","",IF(AND(19&gt;=$D35,19&lt;=$F35),1,""))</f>
        <v/>
      </c>
      <c r="AD35">
        <f>IF($D35="","",IF(AND(20&gt;=$D35,20&lt;=$F35),1,""))</f>
        <v/>
      </c>
      <c r="AE35">
        <f>IF($D35="","",IF(AND(21&gt;=$D35,21&lt;=$F35),1,""))</f>
        <v/>
      </c>
      <c r="AF35">
        <f>IF($D35="","",IF(AND(22&gt;=$D35,22&lt;=$F35),1,""))</f>
        <v/>
      </c>
      <c r="AG35">
        <f>IF($D35="","",IF(AND(23&gt;=$D35,23&lt;=$F35),1,""))</f>
        <v/>
      </c>
      <c r="AH35">
        <f>IF($D35="","",IF(AND(24&gt;=$D35,24&lt;=$F35),1,""))</f>
        <v/>
      </c>
      <c r="AI35">
        <f>IF($D35="","",IF(AND(25&gt;=$D35,25&lt;=$F35),1,""))</f>
        <v/>
      </c>
      <c r="AJ35">
        <f>IF($D35="","",IF(AND(26&gt;=$D35,26&lt;=$F35),1,""))</f>
        <v/>
      </c>
      <c r="AK35">
        <f>IF($D35="","",IF(AND(27&gt;=$D35,27&lt;=$F35),1,""))</f>
        <v/>
      </c>
      <c r="AL35">
        <f>IF($D35="","",IF(AND(28&gt;=$D35,28&lt;=$F35),1,""))</f>
        <v/>
      </c>
      <c r="AM35">
        <f>IF($D35="","",IF(AND(29&gt;=$D35,29&lt;=$F35),1,""))</f>
        <v/>
      </c>
      <c r="AN35">
        <f>IF($D35="","",IF(AND(30&gt;=$D35,30&lt;=$F35),1,""))</f>
        <v/>
      </c>
    </row>
    <row r="36">
      <c r="A36" s="5" t="n"/>
      <c r="B36" s="6" t="n"/>
      <c r="C36" s="5" t="n"/>
      <c r="D36" s="5" t="n"/>
      <c r="E36" s="5" t="n"/>
      <c r="F36" s="5">
        <f>IF(D36="","",D36+E36-1)</f>
        <v/>
      </c>
      <c r="G36" s="5" t="n"/>
      <c r="H36">
        <f>IF(OR(G36="",G36=0),"",IFERROR(INDEX($F$4:$F$40,MATCH(G36,$A$4:$A$40,0)),"No existe"))</f>
        <v/>
      </c>
      <c r="I36">
        <f>IF(D36="","",IF(H36="","OK",IF(H36="No existe","Predecesora inexistente",IF(D36&lt;=H36,"Empieza antes de que termine su predecesora",IF(F36&gt;30,"Pasa del día 30","OK")))))</f>
        <v/>
      </c>
      <c r="J36">
        <f>IF(D36="","",INT((D36-1)/7)+1)</f>
        <v/>
      </c>
      <c r="K36">
        <f>IF($D36="","",IF(AND(1&gt;=$D36,1&lt;=$F36),1,""))</f>
        <v/>
      </c>
      <c r="L36">
        <f>IF($D36="","",IF(AND(2&gt;=$D36,2&lt;=$F36),1,""))</f>
        <v/>
      </c>
      <c r="M36">
        <f>IF($D36="","",IF(AND(3&gt;=$D36,3&lt;=$F36),1,""))</f>
        <v/>
      </c>
      <c r="N36">
        <f>IF($D36="","",IF(AND(4&gt;=$D36,4&lt;=$F36),1,""))</f>
        <v/>
      </c>
      <c r="O36">
        <f>IF($D36="","",IF(AND(5&gt;=$D36,5&lt;=$F36),1,""))</f>
        <v/>
      </c>
      <c r="P36">
        <f>IF($D36="","",IF(AND(6&gt;=$D36,6&lt;=$F36),1,""))</f>
        <v/>
      </c>
      <c r="Q36">
        <f>IF($D36="","",IF(AND(7&gt;=$D36,7&lt;=$F36),1,""))</f>
        <v/>
      </c>
      <c r="R36">
        <f>IF($D36="","",IF(AND(8&gt;=$D36,8&lt;=$F36),1,""))</f>
        <v/>
      </c>
      <c r="S36">
        <f>IF($D36="","",IF(AND(9&gt;=$D36,9&lt;=$F36),1,""))</f>
        <v/>
      </c>
      <c r="T36">
        <f>IF($D36="","",IF(AND(10&gt;=$D36,10&lt;=$F36),1,""))</f>
        <v/>
      </c>
      <c r="U36">
        <f>IF($D36="","",IF(AND(11&gt;=$D36,11&lt;=$F36),1,""))</f>
        <v/>
      </c>
      <c r="V36">
        <f>IF($D36="","",IF(AND(12&gt;=$D36,12&lt;=$F36),1,""))</f>
        <v/>
      </c>
      <c r="W36">
        <f>IF($D36="","",IF(AND(13&gt;=$D36,13&lt;=$F36),1,""))</f>
        <v/>
      </c>
      <c r="X36">
        <f>IF($D36="","",IF(AND(14&gt;=$D36,14&lt;=$F36),1,""))</f>
        <v/>
      </c>
      <c r="Y36">
        <f>IF($D36="","",IF(AND(15&gt;=$D36,15&lt;=$F36),1,""))</f>
        <v/>
      </c>
      <c r="Z36">
        <f>IF($D36="","",IF(AND(16&gt;=$D36,16&lt;=$F36),1,""))</f>
        <v/>
      </c>
      <c r="AA36">
        <f>IF($D36="","",IF(AND(17&gt;=$D36,17&lt;=$F36),1,""))</f>
        <v/>
      </c>
      <c r="AB36">
        <f>IF($D36="","",IF(AND(18&gt;=$D36,18&lt;=$F36),1,""))</f>
        <v/>
      </c>
      <c r="AC36">
        <f>IF($D36="","",IF(AND(19&gt;=$D36,19&lt;=$F36),1,""))</f>
        <v/>
      </c>
      <c r="AD36">
        <f>IF($D36="","",IF(AND(20&gt;=$D36,20&lt;=$F36),1,""))</f>
        <v/>
      </c>
      <c r="AE36">
        <f>IF($D36="","",IF(AND(21&gt;=$D36,21&lt;=$F36),1,""))</f>
        <v/>
      </c>
      <c r="AF36">
        <f>IF($D36="","",IF(AND(22&gt;=$D36,22&lt;=$F36),1,""))</f>
        <v/>
      </c>
      <c r="AG36">
        <f>IF($D36="","",IF(AND(23&gt;=$D36,23&lt;=$F36),1,""))</f>
        <v/>
      </c>
      <c r="AH36">
        <f>IF($D36="","",IF(AND(24&gt;=$D36,24&lt;=$F36),1,""))</f>
        <v/>
      </c>
      <c r="AI36">
        <f>IF($D36="","",IF(AND(25&gt;=$D36,25&lt;=$F36),1,""))</f>
        <v/>
      </c>
      <c r="AJ36">
        <f>IF($D36="","",IF(AND(26&gt;=$D36,26&lt;=$F36),1,""))</f>
        <v/>
      </c>
      <c r="AK36">
        <f>IF($D36="","",IF(AND(27&gt;=$D36,27&lt;=$F36),1,""))</f>
        <v/>
      </c>
      <c r="AL36">
        <f>IF($D36="","",IF(AND(28&gt;=$D36,28&lt;=$F36),1,""))</f>
        <v/>
      </c>
      <c r="AM36">
        <f>IF($D36="","",IF(AND(29&gt;=$D36,29&lt;=$F36),1,""))</f>
        <v/>
      </c>
      <c r="AN36">
        <f>IF($D36="","",IF(AND(30&gt;=$D36,30&lt;=$F36),1,""))</f>
        <v/>
      </c>
    </row>
    <row r="37">
      <c r="A37" s="5" t="n"/>
      <c r="B37" s="6" t="n"/>
      <c r="C37" s="5" t="n"/>
      <c r="D37" s="5" t="n"/>
      <c r="E37" s="5" t="n"/>
      <c r="F37" s="5">
        <f>IF(D37="","",D37+E37-1)</f>
        <v/>
      </c>
      <c r="G37" s="5" t="n"/>
      <c r="H37">
        <f>IF(OR(G37="",G37=0),"",IFERROR(INDEX($F$4:$F$40,MATCH(G37,$A$4:$A$40,0)),"No existe"))</f>
        <v/>
      </c>
      <c r="I37">
        <f>IF(D37="","",IF(H37="","OK",IF(H37="No existe","Predecesora inexistente",IF(D37&lt;=H37,"Empieza antes de que termine su predecesora",IF(F37&gt;30,"Pasa del día 30","OK")))))</f>
        <v/>
      </c>
      <c r="J37">
        <f>IF(D37="","",INT((D37-1)/7)+1)</f>
        <v/>
      </c>
      <c r="K37">
        <f>IF($D37="","",IF(AND(1&gt;=$D37,1&lt;=$F37),1,""))</f>
        <v/>
      </c>
      <c r="L37">
        <f>IF($D37="","",IF(AND(2&gt;=$D37,2&lt;=$F37),1,""))</f>
        <v/>
      </c>
      <c r="M37">
        <f>IF($D37="","",IF(AND(3&gt;=$D37,3&lt;=$F37),1,""))</f>
        <v/>
      </c>
      <c r="N37">
        <f>IF($D37="","",IF(AND(4&gt;=$D37,4&lt;=$F37),1,""))</f>
        <v/>
      </c>
      <c r="O37">
        <f>IF($D37="","",IF(AND(5&gt;=$D37,5&lt;=$F37),1,""))</f>
        <v/>
      </c>
      <c r="P37">
        <f>IF($D37="","",IF(AND(6&gt;=$D37,6&lt;=$F37),1,""))</f>
        <v/>
      </c>
      <c r="Q37">
        <f>IF($D37="","",IF(AND(7&gt;=$D37,7&lt;=$F37),1,""))</f>
        <v/>
      </c>
      <c r="R37">
        <f>IF($D37="","",IF(AND(8&gt;=$D37,8&lt;=$F37),1,""))</f>
        <v/>
      </c>
      <c r="S37">
        <f>IF($D37="","",IF(AND(9&gt;=$D37,9&lt;=$F37),1,""))</f>
        <v/>
      </c>
      <c r="T37">
        <f>IF($D37="","",IF(AND(10&gt;=$D37,10&lt;=$F37),1,""))</f>
        <v/>
      </c>
      <c r="U37">
        <f>IF($D37="","",IF(AND(11&gt;=$D37,11&lt;=$F37),1,""))</f>
        <v/>
      </c>
      <c r="V37">
        <f>IF($D37="","",IF(AND(12&gt;=$D37,12&lt;=$F37),1,""))</f>
        <v/>
      </c>
      <c r="W37">
        <f>IF($D37="","",IF(AND(13&gt;=$D37,13&lt;=$F37),1,""))</f>
        <v/>
      </c>
      <c r="X37">
        <f>IF($D37="","",IF(AND(14&gt;=$D37,14&lt;=$F37),1,""))</f>
        <v/>
      </c>
      <c r="Y37">
        <f>IF($D37="","",IF(AND(15&gt;=$D37,15&lt;=$F37),1,""))</f>
        <v/>
      </c>
      <c r="Z37">
        <f>IF($D37="","",IF(AND(16&gt;=$D37,16&lt;=$F37),1,""))</f>
        <v/>
      </c>
      <c r="AA37">
        <f>IF($D37="","",IF(AND(17&gt;=$D37,17&lt;=$F37),1,""))</f>
        <v/>
      </c>
      <c r="AB37">
        <f>IF($D37="","",IF(AND(18&gt;=$D37,18&lt;=$F37),1,""))</f>
        <v/>
      </c>
      <c r="AC37">
        <f>IF($D37="","",IF(AND(19&gt;=$D37,19&lt;=$F37),1,""))</f>
        <v/>
      </c>
      <c r="AD37">
        <f>IF($D37="","",IF(AND(20&gt;=$D37,20&lt;=$F37),1,""))</f>
        <v/>
      </c>
      <c r="AE37">
        <f>IF($D37="","",IF(AND(21&gt;=$D37,21&lt;=$F37),1,""))</f>
        <v/>
      </c>
      <c r="AF37">
        <f>IF($D37="","",IF(AND(22&gt;=$D37,22&lt;=$F37),1,""))</f>
        <v/>
      </c>
      <c r="AG37">
        <f>IF($D37="","",IF(AND(23&gt;=$D37,23&lt;=$F37),1,""))</f>
        <v/>
      </c>
      <c r="AH37">
        <f>IF($D37="","",IF(AND(24&gt;=$D37,24&lt;=$F37),1,""))</f>
        <v/>
      </c>
      <c r="AI37">
        <f>IF($D37="","",IF(AND(25&gt;=$D37,25&lt;=$F37),1,""))</f>
        <v/>
      </c>
      <c r="AJ37">
        <f>IF($D37="","",IF(AND(26&gt;=$D37,26&lt;=$F37),1,""))</f>
        <v/>
      </c>
      <c r="AK37">
        <f>IF($D37="","",IF(AND(27&gt;=$D37,27&lt;=$F37),1,""))</f>
        <v/>
      </c>
      <c r="AL37">
        <f>IF($D37="","",IF(AND(28&gt;=$D37,28&lt;=$F37),1,""))</f>
        <v/>
      </c>
      <c r="AM37">
        <f>IF($D37="","",IF(AND(29&gt;=$D37,29&lt;=$F37),1,""))</f>
        <v/>
      </c>
      <c r="AN37">
        <f>IF($D37="","",IF(AND(30&gt;=$D37,30&lt;=$F37),1,""))</f>
        <v/>
      </c>
    </row>
    <row r="38">
      <c r="A38" s="5" t="n"/>
      <c r="B38" s="6" t="n"/>
      <c r="C38" s="5" t="n"/>
      <c r="D38" s="5" t="n"/>
      <c r="E38" s="5" t="n"/>
      <c r="F38" s="5">
        <f>IF(D38="","",D38+E38-1)</f>
        <v/>
      </c>
      <c r="G38" s="5" t="n"/>
      <c r="H38">
        <f>IF(OR(G38="",G38=0),"",IFERROR(INDEX($F$4:$F$40,MATCH(G38,$A$4:$A$40,0)),"No existe"))</f>
        <v/>
      </c>
      <c r="I38">
        <f>IF(D38="","",IF(H38="","OK",IF(H38="No existe","Predecesora inexistente",IF(D38&lt;=H38,"Empieza antes de que termine su predecesora",IF(F38&gt;30,"Pasa del día 30","OK")))))</f>
        <v/>
      </c>
      <c r="J38">
        <f>IF(D38="","",INT((D38-1)/7)+1)</f>
        <v/>
      </c>
      <c r="K38">
        <f>IF($D38="","",IF(AND(1&gt;=$D38,1&lt;=$F38),1,""))</f>
        <v/>
      </c>
      <c r="L38">
        <f>IF($D38="","",IF(AND(2&gt;=$D38,2&lt;=$F38),1,""))</f>
        <v/>
      </c>
      <c r="M38">
        <f>IF($D38="","",IF(AND(3&gt;=$D38,3&lt;=$F38),1,""))</f>
        <v/>
      </c>
      <c r="N38">
        <f>IF($D38="","",IF(AND(4&gt;=$D38,4&lt;=$F38),1,""))</f>
        <v/>
      </c>
      <c r="O38">
        <f>IF($D38="","",IF(AND(5&gt;=$D38,5&lt;=$F38),1,""))</f>
        <v/>
      </c>
      <c r="P38">
        <f>IF($D38="","",IF(AND(6&gt;=$D38,6&lt;=$F38),1,""))</f>
        <v/>
      </c>
      <c r="Q38">
        <f>IF($D38="","",IF(AND(7&gt;=$D38,7&lt;=$F38),1,""))</f>
        <v/>
      </c>
      <c r="R38">
        <f>IF($D38="","",IF(AND(8&gt;=$D38,8&lt;=$F38),1,""))</f>
        <v/>
      </c>
      <c r="S38">
        <f>IF($D38="","",IF(AND(9&gt;=$D38,9&lt;=$F38),1,""))</f>
        <v/>
      </c>
      <c r="T38">
        <f>IF($D38="","",IF(AND(10&gt;=$D38,10&lt;=$F38),1,""))</f>
        <v/>
      </c>
      <c r="U38">
        <f>IF($D38="","",IF(AND(11&gt;=$D38,11&lt;=$F38),1,""))</f>
        <v/>
      </c>
      <c r="V38">
        <f>IF($D38="","",IF(AND(12&gt;=$D38,12&lt;=$F38),1,""))</f>
        <v/>
      </c>
      <c r="W38">
        <f>IF($D38="","",IF(AND(13&gt;=$D38,13&lt;=$F38),1,""))</f>
        <v/>
      </c>
      <c r="X38">
        <f>IF($D38="","",IF(AND(14&gt;=$D38,14&lt;=$F38),1,""))</f>
        <v/>
      </c>
      <c r="Y38">
        <f>IF($D38="","",IF(AND(15&gt;=$D38,15&lt;=$F38),1,""))</f>
        <v/>
      </c>
      <c r="Z38">
        <f>IF($D38="","",IF(AND(16&gt;=$D38,16&lt;=$F38),1,""))</f>
        <v/>
      </c>
      <c r="AA38">
        <f>IF($D38="","",IF(AND(17&gt;=$D38,17&lt;=$F38),1,""))</f>
        <v/>
      </c>
      <c r="AB38">
        <f>IF($D38="","",IF(AND(18&gt;=$D38,18&lt;=$F38),1,""))</f>
        <v/>
      </c>
      <c r="AC38">
        <f>IF($D38="","",IF(AND(19&gt;=$D38,19&lt;=$F38),1,""))</f>
        <v/>
      </c>
      <c r="AD38">
        <f>IF($D38="","",IF(AND(20&gt;=$D38,20&lt;=$F38),1,""))</f>
        <v/>
      </c>
      <c r="AE38">
        <f>IF($D38="","",IF(AND(21&gt;=$D38,21&lt;=$F38),1,""))</f>
        <v/>
      </c>
      <c r="AF38">
        <f>IF($D38="","",IF(AND(22&gt;=$D38,22&lt;=$F38),1,""))</f>
        <v/>
      </c>
      <c r="AG38">
        <f>IF($D38="","",IF(AND(23&gt;=$D38,23&lt;=$F38),1,""))</f>
        <v/>
      </c>
      <c r="AH38">
        <f>IF($D38="","",IF(AND(24&gt;=$D38,24&lt;=$F38),1,""))</f>
        <v/>
      </c>
      <c r="AI38">
        <f>IF($D38="","",IF(AND(25&gt;=$D38,25&lt;=$F38),1,""))</f>
        <v/>
      </c>
      <c r="AJ38">
        <f>IF($D38="","",IF(AND(26&gt;=$D38,26&lt;=$F38),1,""))</f>
        <v/>
      </c>
      <c r="AK38">
        <f>IF($D38="","",IF(AND(27&gt;=$D38,27&lt;=$F38),1,""))</f>
        <v/>
      </c>
      <c r="AL38">
        <f>IF($D38="","",IF(AND(28&gt;=$D38,28&lt;=$F38),1,""))</f>
        <v/>
      </c>
      <c r="AM38">
        <f>IF($D38="","",IF(AND(29&gt;=$D38,29&lt;=$F38),1,""))</f>
        <v/>
      </c>
      <c r="AN38">
        <f>IF($D38="","",IF(AND(30&gt;=$D38,30&lt;=$F38),1,""))</f>
        <v/>
      </c>
    </row>
    <row r="39">
      <c r="A39" s="5" t="n"/>
      <c r="B39" s="6" t="n"/>
      <c r="C39" s="5" t="n"/>
      <c r="D39" s="5" t="n"/>
      <c r="E39" s="5" t="n"/>
      <c r="F39" s="5">
        <f>IF(D39="","",D39+E39-1)</f>
        <v/>
      </c>
      <c r="G39" s="5" t="n"/>
      <c r="H39">
        <f>IF(OR(G39="",G39=0),"",IFERROR(INDEX($F$4:$F$40,MATCH(G39,$A$4:$A$40,0)),"No existe"))</f>
        <v/>
      </c>
      <c r="I39">
        <f>IF(D39="","",IF(H39="","OK",IF(H39="No existe","Predecesora inexistente",IF(D39&lt;=H39,"Empieza antes de que termine su predecesora",IF(F39&gt;30,"Pasa del día 30","OK")))))</f>
        <v/>
      </c>
      <c r="J39">
        <f>IF(D39="","",INT((D39-1)/7)+1)</f>
        <v/>
      </c>
      <c r="K39">
        <f>IF($D39="","",IF(AND(1&gt;=$D39,1&lt;=$F39),1,""))</f>
        <v/>
      </c>
      <c r="L39">
        <f>IF($D39="","",IF(AND(2&gt;=$D39,2&lt;=$F39),1,""))</f>
        <v/>
      </c>
      <c r="M39">
        <f>IF($D39="","",IF(AND(3&gt;=$D39,3&lt;=$F39),1,""))</f>
        <v/>
      </c>
      <c r="N39">
        <f>IF($D39="","",IF(AND(4&gt;=$D39,4&lt;=$F39),1,""))</f>
        <v/>
      </c>
      <c r="O39">
        <f>IF($D39="","",IF(AND(5&gt;=$D39,5&lt;=$F39),1,""))</f>
        <v/>
      </c>
      <c r="P39">
        <f>IF($D39="","",IF(AND(6&gt;=$D39,6&lt;=$F39),1,""))</f>
        <v/>
      </c>
      <c r="Q39">
        <f>IF($D39="","",IF(AND(7&gt;=$D39,7&lt;=$F39),1,""))</f>
        <v/>
      </c>
      <c r="R39">
        <f>IF($D39="","",IF(AND(8&gt;=$D39,8&lt;=$F39),1,""))</f>
        <v/>
      </c>
      <c r="S39">
        <f>IF($D39="","",IF(AND(9&gt;=$D39,9&lt;=$F39),1,""))</f>
        <v/>
      </c>
      <c r="T39">
        <f>IF($D39="","",IF(AND(10&gt;=$D39,10&lt;=$F39),1,""))</f>
        <v/>
      </c>
      <c r="U39">
        <f>IF($D39="","",IF(AND(11&gt;=$D39,11&lt;=$F39),1,""))</f>
        <v/>
      </c>
      <c r="V39">
        <f>IF($D39="","",IF(AND(12&gt;=$D39,12&lt;=$F39),1,""))</f>
        <v/>
      </c>
      <c r="W39">
        <f>IF($D39="","",IF(AND(13&gt;=$D39,13&lt;=$F39),1,""))</f>
        <v/>
      </c>
      <c r="X39">
        <f>IF($D39="","",IF(AND(14&gt;=$D39,14&lt;=$F39),1,""))</f>
        <v/>
      </c>
      <c r="Y39">
        <f>IF($D39="","",IF(AND(15&gt;=$D39,15&lt;=$F39),1,""))</f>
        <v/>
      </c>
      <c r="Z39">
        <f>IF($D39="","",IF(AND(16&gt;=$D39,16&lt;=$F39),1,""))</f>
        <v/>
      </c>
      <c r="AA39">
        <f>IF($D39="","",IF(AND(17&gt;=$D39,17&lt;=$F39),1,""))</f>
        <v/>
      </c>
      <c r="AB39">
        <f>IF($D39="","",IF(AND(18&gt;=$D39,18&lt;=$F39),1,""))</f>
        <v/>
      </c>
      <c r="AC39">
        <f>IF($D39="","",IF(AND(19&gt;=$D39,19&lt;=$F39),1,""))</f>
        <v/>
      </c>
      <c r="AD39">
        <f>IF($D39="","",IF(AND(20&gt;=$D39,20&lt;=$F39),1,""))</f>
        <v/>
      </c>
      <c r="AE39">
        <f>IF($D39="","",IF(AND(21&gt;=$D39,21&lt;=$F39),1,""))</f>
        <v/>
      </c>
      <c r="AF39">
        <f>IF($D39="","",IF(AND(22&gt;=$D39,22&lt;=$F39),1,""))</f>
        <v/>
      </c>
      <c r="AG39">
        <f>IF($D39="","",IF(AND(23&gt;=$D39,23&lt;=$F39),1,""))</f>
        <v/>
      </c>
      <c r="AH39">
        <f>IF($D39="","",IF(AND(24&gt;=$D39,24&lt;=$F39),1,""))</f>
        <v/>
      </c>
      <c r="AI39">
        <f>IF($D39="","",IF(AND(25&gt;=$D39,25&lt;=$F39),1,""))</f>
        <v/>
      </c>
      <c r="AJ39">
        <f>IF($D39="","",IF(AND(26&gt;=$D39,26&lt;=$F39),1,""))</f>
        <v/>
      </c>
      <c r="AK39">
        <f>IF($D39="","",IF(AND(27&gt;=$D39,27&lt;=$F39),1,""))</f>
        <v/>
      </c>
      <c r="AL39">
        <f>IF($D39="","",IF(AND(28&gt;=$D39,28&lt;=$F39),1,""))</f>
        <v/>
      </c>
      <c r="AM39">
        <f>IF($D39="","",IF(AND(29&gt;=$D39,29&lt;=$F39),1,""))</f>
        <v/>
      </c>
      <c r="AN39">
        <f>IF($D39="","",IF(AND(30&gt;=$D39,30&lt;=$F39),1,""))</f>
        <v/>
      </c>
    </row>
    <row r="40">
      <c r="A40" s="5" t="n"/>
      <c r="B40" s="6" t="n"/>
      <c r="C40" s="5" t="n"/>
      <c r="D40" s="5" t="n"/>
      <c r="E40" s="5" t="n"/>
      <c r="F40" s="5">
        <f>IF(D40="","",D40+E40-1)</f>
        <v/>
      </c>
      <c r="G40" s="5" t="n"/>
      <c r="H40">
        <f>IF(OR(G40="",G40=0),"",IFERROR(INDEX($F$4:$F$40,MATCH(G40,$A$4:$A$40,0)),"No existe"))</f>
        <v/>
      </c>
      <c r="I40">
        <f>IF(D40="","",IF(H40="","OK",IF(H40="No existe","Predecesora inexistente",IF(D40&lt;=H40,"Empieza antes de que termine su predecesora",IF(F40&gt;30,"Pasa del día 30","OK")))))</f>
        <v/>
      </c>
      <c r="J40">
        <f>IF(D40="","",INT((D40-1)/7)+1)</f>
        <v/>
      </c>
      <c r="K40">
        <f>IF($D40="","",IF(AND(1&gt;=$D40,1&lt;=$F40),1,""))</f>
        <v/>
      </c>
      <c r="L40">
        <f>IF($D40="","",IF(AND(2&gt;=$D40,2&lt;=$F40),1,""))</f>
        <v/>
      </c>
      <c r="M40">
        <f>IF($D40="","",IF(AND(3&gt;=$D40,3&lt;=$F40),1,""))</f>
        <v/>
      </c>
      <c r="N40">
        <f>IF($D40="","",IF(AND(4&gt;=$D40,4&lt;=$F40),1,""))</f>
        <v/>
      </c>
      <c r="O40">
        <f>IF($D40="","",IF(AND(5&gt;=$D40,5&lt;=$F40),1,""))</f>
        <v/>
      </c>
      <c r="P40">
        <f>IF($D40="","",IF(AND(6&gt;=$D40,6&lt;=$F40),1,""))</f>
        <v/>
      </c>
      <c r="Q40">
        <f>IF($D40="","",IF(AND(7&gt;=$D40,7&lt;=$F40),1,""))</f>
        <v/>
      </c>
      <c r="R40">
        <f>IF($D40="","",IF(AND(8&gt;=$D40,8&lt;=$F40),1,""))</f>
        <v/>
      </c>
      <c r="S40">
        <f>IF($D40="","",IF(AND(9&gt;=$D40,9&lt;=$F40),1,""))</f>
        <v/>
      </c>
      <c r="T40">
        <f>IF($D40="","",IF(AND(10&gt;=$D40,10&lt;=$F40),1,""))</f>
        <v/>
      </c>
      <c r="U40">
        <f>IF($D40="","",IF(AND(11&gt;=$D40,11&lt;=$F40),1,""))</f>
        <v/>
      </c>
      <c r="V40">
        <f>IF($D40="","",IF(AND(12&gt;=$D40,12&lt;=$F40),1,""))</f>
        <v/>
      </c>
      <c r="W40">
        <f>IF($D40="","",IF(AND(13&gt;=$D40,13&lt;=$F40),1,""))</f>
        <v/>
      </c>
      <c r="X40">
        <f>IF($D40="","",IF(AND(14&gt;=$D40,14&lt;=$F40),1,""))</f>
        <v/>
      </c>
      <c r="Y40">
        <f>IF($D40="","",IF(AND(15&gt;=$D40,15&lt;=$F40),1,""))</f>
        <v/>
      </c>
      <c r="Z40">
        <f>IF($D40="","",IF(AND(16&gt;=$D40,16&lt;=$F40),1,""))</f>
        <v/>
      </c>
      <c r="AA40">
        <f>IF($D40="","",IF(AND(17&gt;=$D40,17&lt;=$F40),1,""))</f>
        <v/>
      </c>
      <c r="AB40">
        <f>IF($D40="","",IF(AND(18&gt;=$D40,18&lt;=$F40),1,""))</f>
        <v/>
      </c>
      <c r="AC40">
        <f>IF($D40="","",IF(AND(19&gt;=$D40,19&lt;=$F40),1,""))</f>
        <v/>
      </c>
      <c r="AD40">
        <f>IF($D40="","",IF(AND(20&gt;=$D40,20&lt;=$F40),1,""))</f>
        <v/>
      </c>
      <c r="AE40">
        <f>IF($D40="","",IF(AND(21&gt;=$D40,21&lt;=$F40),1,""))</f>
        <v/>
      </c>
      <c r="AF40">
        <f>IF($D40="","",IF(AND(22&gt;=$D40,22&lt;=$F40),1,""))</f>
        <v/>
      </c>
      <c r="AG40">
        <f>IF($D40="","",IF(AND(23&gt;=$D40,23&lt;=$F40),1,""))</f>
        <v/>
      </c>
      <c r="AH40">
        <f>IF($D40="","",IF(AND(24&gt;=$D40,24&lt;=$F40),1,""))</f>
        <v/>
      </c>
      <c r="AI40">
        <f>IF($D40="","",IF(AND(25&gt;=$D40,25&lt;=$F40),1,""))</f>
        <v/>
      </c>
      <c r="AJ40">
        <f>IF($D40="","",IF(AND(26&gt;=$D40,26&lt;=$F40),1,""))</f>
        <v/>
      </c>
      <c r="AK40">
        <f>IF($D40="","",IF(AND(27&gt;=$D40,27&lt;=$F40),1,""))</f>
        <v/>
      </c>
      <c r="AL40">
        <f>IF($D40="","",IF(AND(28&gt;=$D40,28&lt;=$F40),1,""))</f>
        <v/>
      </c>
      <c r="AM40">
        <f>IF($D40="","",IF(AND(29&gt;=$D40,29&lt;=$F40),1,""))</f>
        <v/>
      </c>
      <c r="AN40">
        <f>IF($D40="","",IF(AND(30&gt;=$D40,30&lt;=$F40),1,""))</f>
        <v/>
      </c>
    </row>
  </sheetData>
  <conditionalFormatting sqref="K4:AN40">
    <cfRule type="cellIs" priority="1" operator="equal" dxfId="0">
      <formula>1</formula>
    </cfRule>
  </conditionalFormatting>
  <conditionalFormatting sqref="I4:I40">
    <cfRule type="expression" priority="2" dxfId="1">
      <formula>AND(I4&lt;&gt;"OK",I4&lt;&gt;"")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8" customWidth="1" min="1" max="1"/>
    <col width="8" customWidth="1" min="2" max="2"/>
    <col width="14" customWidth="1" min="3" max="3"/>
    <col width="10" customWidth="1" min="4" max="4"/>
    <col width="50" customWidth="1" min="5" max="5"/>
  </cols>
  <sheetData>
    <row r="1">
      <c r="A1" s="1" t="inlineStr">
        <is>
          <t>CRITERIOS PARA LA DECISIÓN (día 29): puntaje de 1 a 5 por criterio; pesos editables (deben sumar 100 %)</t>
        </is>
      </c>
    </row>
    <row r="3">
      <c r="A3" s="3" t="inlineStr">
        <is>
          <t>Criterio</t>
        </is>
      </c>
      <c r="B3" s="3" t="inlineStr">
        <is>
          <t>Peso</t>
        </is>
      </c>
      <c r="C3" s="3" t="inlineStr">
        <is>
          <t>Puntaje (1-5)</t>
        </is>
      </c>
      <c r="D3" s="3" t="inlineStr">
        <is>
          <t>Aporte</t>
        </is>
      </c>
      <c r="E3" s="3" t="inlineStr">
        <is>
          <t>Evidencia que lo respalda</t>
        </is>
      </c>
    </row>
    <row r="4">
      <c r="A4" s="7" t="inlineStr">
        <is>
          <t>Resuelve el problema definido el día 1</t>
        </is>
      </c>
      <c r="B4" s="8" t="n">
        <v>0.25</v>
      </c>
      <c r="C4" s="5" t="n">
        <v>4</v>
      </c>
      <c r="D4" s="2">
        <f>B4*C4</f>
        <v/>
      </c>
      <c r="E4" s="7" t="inlineStr">
        <is>
          <t>Indicadores medidos en el piloto</t>
        </is>
      </c>
    </row>
    <row r="5">
      <c r="A5" s="7" t="inlineStr">
        <is>
          <t>Facilidad de uso para docentes y estudiantes</t>
        </is>
      </c>
      <c r="B5" s="8" t="n">
        <v>0.2</v>
      </c>
      <c r="C5" s="5" t="n">
        <v>3</v>
      </c>
      <c r="D5" s="2">
        <f>B5*C5</f>
        <v/>
      </c>
      <c r="E5" s="7" t="inlineStr">
        <is>
          <t>Encuesta corta y observación</t>
        </is>
      </c>
    </row>
    <row r="6">
      <c r="A6" s="7" t="inlineStr">
        <is>
          <t>Privacidad y seguridad adecuadas</t>
        </is>
      </c>
      <c r="B6" s="8" t="n">
        <v>0.2</v>
      </c>
      <c r="C6" s="5" t="n">
        <v>5</v>
      </c>
      <c r="D6" s="2">
        <f>B6*C6</f>
        <v/>
      </c>
      <c r="E6" s="7" t="inlineStr">
        <is>
          <t>Revisión del contrato y de los permisos</t>
        </is>
      </c>
    </row>
    <row r="7">
      <c r="A7" s="7" t="inlineStr">
        <is>
          <t>Integración con lo que ya usamos</t>
        </is>
      </c>
      <c r="B7" s="8" t="n">
        <v>0.15</v>
      </c>
      <c r="C7" s="5" t="n">
        <v>3</v>
      </c>
      <c r="D7" s="2">
        <f>B7*C7</f>
        <v/>
      </c>
      <c r="E7" s="7" t="inlineStr">
        <is>
          <t>Prueba con listados y cuentas</t>
        </is>
      </c>
    </row>
    <row r="8">
      <c r="A8" s="7" t="inlineStr">
        <is>
          <t>Costo total razonable a tres años</t>
        </is>
      </c>
      <c r="B8" s="8" t="n">
        <v>0.1</v>
      </c>
      <c r="C8" s="5" t="n">
        <v>4</v>
      </c>
      <c r="D8" s="2">
        <f>B8*C8</f>
        <v/>
      </c>
      <c r="E8" s="7" t="inlineStr">
        <is>
          <t>Cálculo de costo total</t>
        </is>
      </c>
    </row>
    <row r="9">
      <c r="A9" s="7" t="inlineStr">
        <is>
          <t>Soporte y dependencia del proveedor</t>
        </is>
      </c>
      <c r="B9" s="8" t="n">
        <v>0.1</v>
      </c>
      <c r="C9" s="5" t="n">
        <v>2</v>
      </c>
      <c r="D9" s="2">
        <f>B9*C9</f>
        <v/>
      </c>
      <c r="E9" s="7" t="inlineStr">
        <is>
          <t>Respuesta a incidencias del piloto</t>
        </is>
      </c>
    </row>
    <row r="11">
      <c r="A11" t="inlineStr">
        <is>
          <t>Suma de pesos</t>
        </is>
      </c>
      <c r="B11" s="9">
        <f>SUM(B4:B9)</f>
        <v/>
      </c>
    </row>
    <row r="12">
      <c r="A12" t="inlineStr">
        <is>
          <t>Puntaje ponderado (1 a 5)</t>
        </is>
      </c>
      <c r="D12" s="2">
        <f>SUM(D4:D9)</f>
        <v/>
      </c>
    </row>
    <row r="13">
      <c r="A13" t="inlineStr">
        <is>
          <t>Umbral para continuar (editable)</t>
        </is>
      </c>
      <c r="D13" s="5" t="n">
        <v>3.5</v>
      </c>
    </row>
    <row r="14">
      <c r="A14" t="inlineStr">
        <is>
          <t>Lectura</t>
        </is>
      </c>
      <c r="D14">
        <f>IF(B11&lt;&gt;1,"Revisa los pesos",IF(MIN(C4:C9)&lt;=1,"Hay un criterio crítico en 1: cerrar o corregir antes de seguir",IF(D12&gt;=D13,"Continuar, con ajustes en los criterios más bajos","No continuar sin cambios")))</f>
        <v/>
      </c>
    </row>
  </sheetData>
  <dataValidations count="1">
    <dataValidation sqref="C4:C9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2026-10-10T17:31:06Z</dcterms:created>
  <dcterms:modified xmlns:dcterms="http://purl.org/dc/terms/" xmlns:xsi="http://www.w3.org/2001/XMLSchema-instance" xsi:type="dcterms:W3CDTF">2026-10-10T17:31:06Z</dcterms:modified>
</cp:coreProperties>
</file>