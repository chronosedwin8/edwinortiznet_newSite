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de_clase" sheetId="1" state="visible" r:id="rId1"/>
    <sheet xmlns:r="http://schemas.openxmlformats.org/officeDocument/2006/relationships" name="Paquete_de_materiales" sheetId="2" state="visible" r:id="rId2"/>
    <sheet xmlns:r="http://schemas.openxmlformats.org/officeDocument/2006/relationships" name="Plan_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0" fillId="2" borderId="0" pivotButton="0" quotePrefix="0" xfId="0"/>
    <xf numFmtId="9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0" customWidth="1" min="3" max="3"/>
    <col width="22" customWidth="1" min="4" max="4"/>
    <col width="26" customWidth="1" min="5" max="5"/>
    <col width="34" customWidth="1" min="6" max="6"/>
    <col width="30" customWidth="1" min="7" max="7"/>
  </cols>
  <sheetData>
    <row r="1">
      <c r="A1" s="1" t="inlineStr">
        <is>
          <t>PLAN DE CLASE DISEÑADO PARA FUNCIONAR SIN CONEXIÓN (ejemplo: fracciones, grado sexto; reemplaza con tu clase)</t>
        </is>
      </c>
    </row>
    <row r="3">
      <c r="A3" s="2" t="inlineStr">
        <is>
          <t>Resultado de aprendizaje</t>
        </is>
      </c>
      <c r="B3" s="3" t="inlineStr">
        <is>
          <t>Comparar y ordenar fracciones usando modelos y la recta numérica</t>
        </is>
      </c>
    </row>
    <row r="4">
      <c r="A4" s="2" t="inlineStr">
        <is>
          <t>Evidencia</t>
        </is>
      </c>
      <c r="B4" s="3" t="inlineStr">
        <is>
          <t>Cada estudiante ordena seis fracciones en una recta y explica un caso por escrito</t>
        </is>
      </c>
    </row>
    <row r="5">
      <c r="A5" s="2" t="inlineStr">
        <is>
          <t>Duración</t>
        </is>
      </c>
      <c r="B5" s="3" t="inlineStr">
        <is>
          <t>90 minutos</t>
        </is>
      </c>
    </row>
    <row r="6">
      <c r="A6" s="2" t="inlineStr">
        <is>
          <t>Recursos locales (sin red)</t>
        </is>
      </c>
      <c r="B6" s="3" t="inlineStr">
        <is>
          <t>Tiras de papel, guías impresas, tablero, cuaderno</t>
        </is>
      </c>
    </row>
    <row r="7">
      <c r="A7" s="2" t="inlineStr">
        <is>
          <t>Dispositivos disponibles</t>
        </is>
      </c>
      <c r="B7" s="3" t="inlineStr">
        <is>
          <t>Un computador del docente (opcional)</t>
        </is>
      </c>
    </row>
    <row r="9" ht="46" customHeight="1">
      <c r="A9" s="4" t="inlineStr">
        <is>
          <t>#</t>
        </is>
      </c>
      <c r="B9" s="4" t="inlineStr">
        <is>
          <t>Actividad</t>
        </is>
      </c>
      <c r="C9" s="4" t="inlineStr">
        <is>
          <t>Minutos</t>
        </is>
      </c>
      <c r="D9" s="4" t="inlineStr">
        <is>
          <t>¿Necesita conexión? (No / Opcional / Sí)</t>
        </is>
      </c>
      <c r="E9" s="4" t="inlineStr">
        <is>
          <t>Recurso (qué se usa)</t>
        </is>
      </c>
      <c r="F9" s="4" t="inlineStr">
        <is>
          <t>Plan B si falla algo</t>
        </is>
      </c>
      <c r="G9" s="4" t="inlineStr">
        <is>
          <t>Dónde queda guardado el material</t>
        </is>
      </c>
    </row>
    <row r="10">
      <c r="A10" t="n">
        <v>1</v>
      </c>
      <c r="B10" s="3" t="inlineStr">
        <is>
          <t>Calentamiento: ¿qué parte del chocolate?</t>
        </is>
      </c>
      <c r="C10" s="3" t="n">
        <v>10</v>
      </c>
      <c r="D10" s="3" t="inlineStr">
        <is>
          <t>No</t>
        </is>
      </c>
      <c r="E10" s="3" t="inlineStr">
        <is>
          <t>Tablero</t>
        </is>
      </c>
      <c r="F10" s="3" t="inlineStr">
        <is>
          <t>Dibujar en el cuaderno</t>
        </is>
      </c>
      <c r="G10" s="3" t="inlineStr">
        <is>
          <t>Cuaderno del docente</t>
        </is>
      </c>
    </row>
    <row r="11">
      <c r="A11" t="n">
        <v>2</v>
      </c>
      <c r="B11" s="3" t="inlineStr">
        <is>
          <t>Modelo con tiras de papel: comparar 1/2, 2/3, 3/4</t>
        </is>
      </c>
      <c r="C11" s="3" t="n">
        <v>20</v>
      </c>
      <c r="D11" s="3" t="inlineStr">
        <is>
          <t>No</t>
        </is>
      </c>
      <c r="E11" s="3" t="inlineStr">
        <is>
          <t>Tiras de papel</t>
        </is>
      </c>
      <c r="F11" s="3" t="inlineStr">
        <is>
          <t>Dibujar rectángulos</t>
        </is>
      </c>
      <c r="G11" s="3" t="inlineStr">
        <is>
          <t>Kit impreso</t>
        </is>
      </c>
    </row>
    <row r="12">
      <c r="A12" t="n">
        <v>3</v>
      </c>
      <c r="B12" s="3" t="inlineStr">
        <is>
          <t>Recta numérica en el piso con cinta</t>
        </is>
      </c>
      <c r="C12" s="3" t="n">
        <v>15</v>
      </c>
      <c r="D12" s="3" t="inlineStr">
        <is>
          <t>No</t>
        </is>
      </c>
      <c r="E12" s="3" t="inlineStr">
        <is>
          <t>Cinta y tarjetas</t>
        </is>
      </c>
      <c r="F12" s="3" t="inlineStr">
        <is>
          <t>Dibujar en el patio con tiza</t>
        </is>
      </c>
      <c r="G12" s="3" t="inlineStr">
        <is>
          <t>Kit impreso</t>
        </is>
      </c>
    </row>
    <row r="13">
      <c r="A13" t="n">
        <v>4</v>
      </c>
      <c r="B13" s="3" t="inlineStr">
        <is>
          <t>Simulación interactiva de fracciones (demostración)</t>
        </is>
      </c>
      <c r="C13" s="3" t="n">
        <v>15</v>
      </c>
      <c r="D13" s="3" t="inlineStr">
        <is>
          <t>Opcional</t>
        </is>
      </c>
      <c r="E13" s="3" t="inlineStr">
        <is>
          <t>Archivo descargado antes</t>
        </is>
      </c>
      <c r="F13" s="3" t="inlineStr">
        <is>
          <t>Hacerla en el tablero</t>
        </is>
      </c>
      <c r="G13" s="3" t="inlineStr">
        <is>
          <t>USB y copia en el computador</t>
        </is>
      </c>
    </row>
    <row r="14">
      <c r="A14" t="n">
        <v>5</v>
      </c>
      <c r="B14" s="3" t="inlineStr">
        <is>
          <t>Práctica: ordenar seis fracciones</t>
        </is>
      </c>
      <c r="C14" s="3" t="n">
        <v>20</v>
      </c>
      <c r="D14" s="3" t="inlineStr">
        <is>
          <t>No</t>
        </is>
      </c>
      <c r="E14" s="3" t="inlineStr">
        <is>
          <t>Guía impresa</t>
        </is>
      </c>
      <c r="F14" s="3" t="inlineStr">
        <is>
          <t>Dictar las fracciones</t>
        </is>
      </c>
      <c r="G14" s="3" t="inlineStr">
        <is>
          <t>Guías impresas</t>
        </is>
      </c>
    </row>
    <row r="15">
      <c r="A15" t="n">
        <v>6</v>
      </c>
      <c r="B15" s="3" t="inlineStr">
        <is>
          <t>Cierre: explicar un caso por escrito</t>
        </is>
      </c>
      <c r="C15" s="3" t="n">
        <v>10</v>
      </c>
      <c r="D15" s="3" t="inlineStr">
        <is>
          <t>No</t>
        </is>
      </c>
      <c r="E15" s="3" t="inlineStr">
        <is>
          <t>Cuaderno</t>
        </is>
      </c>
      <c r="F15" s="3" t="inlineStr">
        <is>
          <t>Hacerlo en voz alta en parejas</t>
        </is>
      </c>
      <c r="G15" s="3" t="inlineStr">
        <is>
          <t>Cuaderno</t>
        </is>
      </c>
    </row>
    <row r="16">
      <c r="A16" t="n">
        <v>7</v>
      </c>
      <c r="B16" s="5" t="n"/>
      <c r="C16" s="5" t="n"/>
      <c r="D16" s="5" t="n"/>
      <c r="E16" s="5" t="n"/>
      <c r="F16" s="5" t="n"/>
      <c r="G16" s="5" t="n"/>
    </row>
    <row r="17">
      <c r="A17" t="n">
        <v>8</v>
      </c>
      <c r="B17" s="5" t="n"/>
      <c r="C17" s="5" t="n"/>
      <c r="D17" s="5" t="n"/>
      <c r="E17" s="5" t="n"/>
      <c r="F17" s="5" t="n"/>
      <c r="G17" s="5" t="n"/>
    </row>
    <row r="18">
      <c r="A18" t="n">
        <v>9</v>
      </c>
      <c r="B18" s="5" t="n"/>
      <c r="C18" s="5" t="n"/>
      <c r="D18" s="5" t="n"/>
      <c r="E18" s="5" t="n"/>
      <c r="F18" s="5" t="n"/>
      <c r="G18" s="5" t="n"/>
    </row>
    <row r="19">
      <c r="A19" t="n">
        <v>10</v>
      </c>
      <c r="B19" s="5" t="n"/>
      <c r="C19" s="5" t="n"/>
      <c r="D19" s="5" t="n"/>
      <c r="E19" s="5" t="n"/>
      <c r="F19" s="5" t="n"/>
      <c r="G19" s="5" t="n"/>
    </row>
    <row r="21">
      <c r="B21" t="inlineStr">
        <is>
          <t>Minutos planificados</t>
        </is>
      </c>
      <c r="D21">
        <f>SUM(C10:C19)</f>
        <v/>
      </c>
    </row>
    <row r="22">
      <c r="B22" t="inlineStr">
        <is>
          <t>Minutos que NECESITAN conexión</t>
        </is>
      </c>
      <c r="D22">
        <f>SUMIF(D10:D19,"Sí",C10:C19)</f>
        <v/>
      </c>
    </row>
    <row r="23">
      <c r="B23" t="inlineStr">
        <is>
          <t>Minutos con conexión OPCIONAL</t>
        </is>
      </c>
      <c r="D23">
        <f>SUMIF(D10:D19,"Opcional",C10:C19)</f>
        <v/>
      </c>
    </row>
    <row r="24">
      <c r="B24" t="inlineStr">
        <is>
          <t>% del tiempo que depende de la conexión</t>
        </is>
      </c>
      <c r="D24" s="6">
        <f>IF(D21=0,"",D22/D21)</f>
        <v/>
      </c>
    </row>
    <row r="25">
      <c r="B25" t="inlineStr">
        <is>
          <t>Actividades sin plan B</t>
        </is>
      </c>
      <c r="D25">
        <f>COUNTIFS(B10:B19,"&lt;&gt;",F10:F19,"")</f>
        <v/>
      </c>
    </row>
    <row r="26">
      <c r="B26" t="inlineStr">
        <is>
          <t>Lectura</t>
        </is>
      </c>
      <c r="D26">
        <f>IF(D21=0,"",IF(D25&gt;0,"Falta plan B en alguna actividad",IF(D24=0,"La clase funciona sin conexión","Parte de la clase depende de la conexión: revisa el plan B")))</f>
        <v/>
      </c>
    </row>
    <row r="28">
      <c r="B28" t="inlineStr">
        <is>
          <t>Regla: una clase «offline-first» puede aprovechar la conexión si existe, pero no debe depender de ella para lograr el resultado de aprendizaje.</t>
        </is>
      </c>
    </row>
  </sheetData>
  <dataValidations count="1">
    <dataValidation sqref="D10:D19" showDropDown="0" showInputMessage="0" showErrorMessage="0" allowBlank="0" type="list">
      <formula1>"No,Opcional,Sí"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36" customWidth="1" min="4" max="4"/>
    <col width="18" customWidth="1" min="5" max="5"/>
    <col width="22" customWidth="1" min="6" max="6"/>
  </cols>
  <sheetData>
    <row r="1">
      <c r="A1" s="1" t="inlineStr">
        <is>
          <t>PAQUETE DE MATERIALES: lo que se descarga ANTES de la clase</t>
        </is>
      </c>
    </row>
    <row r="3" ht="40" customHeight="1">
      <c r="A3" s="4" t="inlineStr">
        <is>
          <t>Archivo o material</t>
        </is>
      </c>
      <c r="B3" s="4" t="inlineStr">
        <is>
          <t>Tipo</t>
        </is>
      </c>
      <c r="C3" s="4" t="inlineStr">
        <is>
          <t>Tamaño (MB)</t>
        </is>
      </c>
      <c r="D3" s="4" t="inlineStr">
        <is>
          <t>Dónde está (USB, computador, impreso)</t>
        </is>
      </c>
      <c r="E3" s="4" t="inlineStr">
        <is>
          <t>Copia de respaldo</t>
        </is>
      </c>
      <c r="F3" s="4" t="inlineStr">
        <is>
          <t>Probado sin conexión (Sí/No)</t>
        </is>
      </c>
    </row>
    <row r="4">
      <c r="A4" s="5" t="inlineStr">
        <is>
          <t>Simulación de fracciones (HTML descargado)</t>
        </is>
      </c>
      <c r="B4" s="5" t="inlineStr">
        <is>
          <t>Interactivo</t>
        </is>
      </c>
      <c r="C4" s="5" t="n">
        <v>12</v>
      </c>
      <c r="D4" s="5" t="inlineStr">
        <is>
          <t>USB y computador</t>
        </is>
      </c>
      <c r="E4" s="5" t="inlineStr">
        <is>
          <t>Sí</t>
        </is>
      </c>
      <c r="F4" s="5" t="inlineStr">
        <is>
          <t>Sí</t>
        </is>
      </c>
    </row>
    <row r="5">
      <c r="A5" s="5" t="inlineStr">
        <is>
          <t>Guía de práctica (PDF)</t>
        </is>
      </c>
      <c r="B5" s="5" t="inlineStr">
        <is>
          <t>Documento</t>
        </is>
      </c>
      <c r="C5" s="5" t="n">
        <v>0.8</v>
      </c>
      <c r="D5" s="5" t="inlineStr">
        <is>
          <t>Impresa y USB</t>
        </is>
      </c>
      <c r="E5" s="5" t="inlineStr">
        <is>
          <t>Sí</t>
        </is>
      </c>
      <c r="F5" s="5" t="inlineStr">
        <is>
          <t>Sí</t>
        </is>
      </c>
    </row>
    <row r="6">
      <c r="A6" s="5" t="inlineStr">
        <is>
          <t>Video de 3 minutos sobre la recta numérica</t>
        </is>
      </c>
      <c r="B6" s="5" t="inlineStr">
        <is>
          <t>Video</t>
        </is>
      </c>
      <c r="C6" s="5" t="n">
        <v>45</v>
      </c>
      <c r="D6" s="5" t="inlineStr">
        <is>
          <t>USB</t>
        </is>
      </c>
      <c r="E6" s="5" t="inlineStr">
        <is>
          <t>No</t>
        </is>
      </c>
      <c r="F6" s="5" t="inlineStr">
        <is>
          <t>No</t>
        </is>
      </c>
    </row>
    <row r="7">
      <c r="A7" s="5" t="inlineStr">
        <is>
          <t>Tarjetas de fracciones (PDF para imprimir)</t>
        </is>
      </c>
      <c r="B7" s="5" t="inlineStr">
        <is>
          <t>Documento</t>
        </is>
      </c>
      <c r="C7" s="5" t="n">
        <v>0.5</v>
      </c>
      <c r="D7" s="5" t="inlineStr">
        <is>
          <t>Impresas</t>
        </is>
      </c>
      <c r="E7" s="5" t="inlineStr">
        <is>
          <t>Sí</t>
        </is>
      </c>
      <c r="F7" s="5" t="inlineStr">
        <is>
          <t>Sí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1">
      <c r="A21" t="inlineStr">
        <is>
          <t>Total del paquete (MB)</t>
        </is>
      </c>
      <c r="C21">
        <f>SUM(C4:C19)</f>
        <v/>
      </c>
    </row>
    <row r="22">
      <c r="A22" t="inlineStr">
        <is>
          <t>Capacidad del dispositivo (MB)</t>
        </is>
      </c>
      <c r="C22" s="5" t="n">
        <v>8000</v>
      </c>
    </row>
    <row r="23">
      <c r="A23" t="inlineStr">
        <is>
          <t>¿Cabe?</t>
        </is>
      </c>
      <c r="C23">
        <f>IF(C21&lt;=C22,"Sí, con espacio libre del "&amp;TEXT(1-C21/C22,"0%"),"No cabe: reduce el paquete")</f>
        <v/>
      </c>
    </row>
    <row r="24">
      <c r="A24" t="inlineStr">
        <is>
          <t>Materiales sin copia de respaldo</t>
        </is>
      </c>
      <c r="C24">
        <f>COUNTIFS(A4:A19,"&lt;&gt;",E4:E19,"No")</f>
        <v/>
      </c>
    </row>
    <row r="25">
      <c r="A25" t="inlineStr">
        <is>
          <t>Materiales no probados sin conexión</t>
        </is>
      </c>
      <c r="C25">
        <f>COUNTIFS(A4:A19,"&lt;&gt;",F4:F19,"No")</f>
        <v/>
      </c>
    </row>
    <row r="27">
      <c r="A27" t="inlineStr">
        <is>
          <t>Probar sin conexión significa desconectar el equipo (modo avión) y abrir cada archivo: un video que «sí cargaba» puede depender de la red.</t>
        </is>
      </c>
    </row>
  </sheetData>
  <dataValidations count="1">
    <dataValidation sqref="E4:F19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52" customWidth="1" min="3" max="3"/>
    <col width="20" customWidth="1" min="4" max="4"/>
  </cols>
  <sheetData>
    <row r="1">
      <c r="A1" s="1" t="inlineStr">
        <is>
          <t>PLAN B: QUÉ HACER SI FALLA ALGO</t>
        </is>
      </c>
    </row>
    <row r="3">
      <c r="A3" s="7" t="inlineStr">
        <is>
          <t>Si falla…</t>
        </is>
      </c>
      <c r="B3" s="7" t="inlineStr">
        <is>
          <t>Qué pasa</t>
        </is>
      </c>
      <c r="C3" s="7" t="inlineStr">
        <is>
          <t>Plan B preparado</t>
        </is>
      </c>
      <c r="D3" s="7" t="inlineStr">
        <is>
          <t>Responsable</t>
        </is>
      </c>
    </row>
    <row r="4">
      <c r="A4" s="8" t="inlineStr">
        <is>
          <t>Internet</t>
        </is>
      </c>
      <c r="B4" s="8" t="inlineStr">
        <is>
          <t>No cargan videos, simulaciones ni plataformas</t>
        </is>
      </c>
      <c r="C4" s="8" t="inlineStr">
        <is>
          <t>Paquete descargado antes; actividades sin red</t>
        </is>
      </c>
      <c r="D4" s="5" t="n"/>
    </row>
    <row r="5">
      <c r="A5" s="8" t="inlineStr">
        <is>
          <t>Energía eléctrica</t>
        </is>
      </c>
      <c r="B5" s="8" t="inlineStr">
        <is>
          <t>No hay proyector, computador ni tomas</t>
        </is>
      </c>
      <c r="C5" s="8" t="inlineStr">
        <is>
          <t>Actividades en papel y tablero; luz natural</t>
        </is>
      </c>
      <c r="D5" s="5" t="n"/>
    </row>
    <row r="6">
      <c r="A6" s="8" t="inlineStr">
        <is>
          <t>Proyector o computador</t>
        </is>
      </c>
      <c r="B6" s="8" t="inlineStr">
        <is>
          <t>No se puede proyectar</t>
        </is>
      </c>
      <c r="C6" s="8" t="inlineStr">
        <is>
          <t>Material impreso por grupos</t>
        </is>
      </c>
      <c r="D6" s="5" t="n"/>
    </row>
    <row r="7">
      <c r="A7" s="8" t="inlineStr">
        <is>
          <t>Dispositivos de los estudiantes</t>
        </is>
      </c>
      <c r="B7" s="8" t="inlineStr">
        <is>
          <t>No hay equipos suficientes o sin batería</t>
        </is>
      </c>
      <c r="C7" s="8" t="inlineStr">
        <is>
          <t>Trabajo en parejas con material físico</t>
        </is>
      </c>
      <c r="D7" s="5" t="n"/>
    </row>
    <row r="8">
      <c r="A8" s="8" t="inlineStr">
        <is>
          <t>Archivo que no abre</t>
        </is>
      </c>
      <c r="B8" s="8" t="inlineStr">
        <is>
          <t>Formato o versión no compatible</t>
        </is>
      </c>
      <c r="C8" s="8" t="inlineStr">
        <is>
          <t>Segunda copia en formato abierto (PDF)</t>
        </is>
      </c>
      <c r="D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2026-10-10T01:33:56Z</dcterms:created>
  <dcterms:modified xmlns:dcterms="http://purl.org/dc/terms/" xmlns:xsi="http://www.w3.org/2001/XMLSchema-instance" xsi:type="dcterms:W3CDTF">2026-10-10T01:33:56Z</dcterms:modified>
</cp:coreProperties>
</file>