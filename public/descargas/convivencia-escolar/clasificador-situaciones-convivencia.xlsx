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dor" sheetId="1" state="visible" r:id="rId1"/>
    <sheet xmlns:r="http://schemas.openxmlformats.org/officeDocument/2006/relationships" name="Rutas" sheetId="2" state="visible" r:id="rId2"/>
    <sheet xmlns:r="http://schemas.openxmlformats.org/officeDocument/2006/relationships" name="Defini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20" customWidth="1" min="10" max="10"/>
    <col width="80" customWidth="1" min="11" max="11"/>
  </cols>
  <sheetData>
    <row r="1">
      <c r="A1" s="1" t="inlineStr">
        <is>
          <t>CLASIFICADOR DE SITUACIONES DE CONVIVENCIA (herramienta de formación con casos ficticios; no sustituye al Comité Escolar de Convivencia)</t>
        </is>
      </c>
    </row>
    <row r="2" ht="44" customHeight="1">
      <c r="A2" s="2" t="inlineStr">
        <is>
          <t>Responde Sí o No para cada caso. La clasificación sigue el Decreto 1075 de 2015, art. 2.3.5.4.2.6 (Decreto 1965 de 2013, art. 40); una situación real exige el análisis del comité, del manual de convivencia y, cuando corresponda, de las autoridades competentes. No escribas nombres reales.</t>
        </is>
      </c>
    </row>
    <row r="4" ht="76" customHeight="1">
      <c r="A4" s="3" t="inlineStr">
        <is>
          <t>Caso (ficticio)</t>
        </is>
      </c>
      <c r="B4" s="3" t="inlineStr">
        <is>
          <t>A. Hay incompatibilidad de intereses</t>
        </is>
      </c>
      <c r="C4" s="3" t="inlineStr">
        <is>
          <t>B. Hay una acción que busca afectar a otro (agresión)</t>
        </is>
      </c>
      <c r="D4" s="3" t="inlineStr">
        <is>
          <t>C. Se repite o es sistemática</t>
        </is>
      </c>
      <c r="E4" s="3" t="inlineStr">
        <is>
          <t>D. Hay daño al cuerpo o a la salud</t>
        </is>
      </c>
      <c r="F4" s="3" t="inlineStr">
        <is>
          <t>E. El daño genera incapacidad</t>
        </is>
      </c>
      <c r="G4" s="3" t="inlineStr">
        <is>
          <t>F. Puede ser un delito (por ejemplo, contra la integridad sexual)</t>
        </is>
      </c>
      <c r="H4" s="3" t="inlineStr">
        <is>
          <t>G. Incumple una norma del manual sin afectar a otro</t>
        </is>
      </c>
      <c r="I4" s="3" t="inlineStr">
        <is>
          <t>H. El conflicto escaló a altercado o riña</t>
        </is>
      </c>
      <c r="J4" s="3" t="inlineStr">
        <is>
          <t>Clasificación orientativa</t>
        </is>
      </c>
      <c r="K4" s="3" t="inlineStr">
        <is>
          <t>Primer paso del protocolo (resumen)</t>
        </is>
      </c>
    </row>
    <row r="5">
      <c r="A5" s="4" t="inlineStr">
        <is>
          <t>Empujón en la fila por el turno, una sola vez, sin lesión</t>
        </is>
      </c>
      <c r="B5" s="5" t="inlineStr">
        <is>
          <t>Sí</t>
        </is>
      </c>
      <c r="C5" s="5" t="inlineStr">
        <is>
          <t>Sí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Sí</t>
        </is>
      </c>
      <c r="J5">
        <f>IF(A5="","",IF(OR(G5="Sí",F5="Sí"),"Tipo III",IF(AND(C5="Sí",OR(D5="Sí",E5="Sí")),"Tipo II",IF(OR(C5="Sí",AND(B5="Sí",I5="Sí")),"Tipo I",IF(B5="Sí","Conflicto: mediar",IF(H5="Sí","Falta del manual","Sin clasificar"))))))</f>
        <v/>
      </c>
      <c r="K5" s="2">
        <f>IF(J5="","",IFERROR(VLOOKUP(J5,Rutas!$A$4:$B$9,2,FALSE),""))</f>
        <v/>
      </c>
    </row>
    <row r="6">
      <c r="A6" s="4" t="inlineStr">
        <is>
          <t>Apodos ofensivos a un compañero durante varias semanas</t>
        </is>
      </c>
      <c r="B6" s="5" t="inlineStr">
        <is>
          <t>No</t>
        </is>
      </c>
      <c r="C6" s="5" t="inlineStr">
        <is>
          <t>Sí</t>
        </is>
      </c>
      <c r="D6" s="5" t="inlineStr">
        <is>
          <t>Sí</t>
        </is>
      </c>
      <c r="E6" s="5" t="inlineStr">
        <is>
          <t>No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No</t>
        </is>
      </c>
      <c r="J6">
        <f>IF(A6="","",IF(OR(G6="Sí",F6="Sí"),"Tipo III",IF(AND(C6="Sí",OR(D6="Sí",E6="Sí")),"Tipo II",IF(OR(C6="Sí",AND(B6="Sí",I6="Sí")),"Tipo I",IF(B6="Sí","Conflicto: mediar",IF(H6="Sí","Falta del manual","Sin clasificar"))))))</f>
        <v/>
      </c>
      <c r="K6" s="2">
        <f>IF(J6="","",IFERROR(VLOOKUP(J6,Rutas!$A$4:$B$9,2,FALSE),""))</f>
        <v/>
      </c>
    </row>
    <row r="7">
      <c r="A7" s="4" t="inlineStr">
        <is>
          <t>Pelea a golpes con la nariz sangrando, una sola vez, sin incapacidad</t>
        </is>
      </c>
      <c r="B7" s="5" t="inlineStr">
        <is>
          <t>Sí</t>
        </is>
      </c>
      <c r="C7" s="5" t="inlineStr">
        <is>
          <t>Sí</t>
        </is>
      </c>
      <c r="D7" s="5" t="inlineStr">
        <is>
          <t>No</t>
        </is>
      </c>
      <c r="E7" s="5" t="inlineStr">
        <is>
          <t>Sí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Sí</t>
        </is>
      </c>
      <c r="J7">
        <f>IF(A7="","",IF(OR(G7="Sí",F7="Sí"),"Tipo III",IF(AND(C7="Sí",OR(D7="Sí",E7="Sí")),"Tipo II",IF(OR(C7="Sí",AND(B7="Sí",I7="Sí")),"Tipo I",IF(B7="Sí","Conflicto: mediar",IF(H7="Sí","Falta del manual","Sin clasificar"))))))</f>
        <v/>
      </c>
      <c r="K7" s="2">
        <f>IF(J7="","",IFERROR(VLOOKUP(J7,Rutas!$A$4:$B$9,2,FALSE),""))</f>
        <v/>
      </c>
    </row>
    <row r="8">
      <c r="A8" s="4" t="inlineStr">
        <is>
          <t>Pelea con una fractura que genera incapacidad</t>
        </is>
      </c>
      <c r="B8" s="5" t="inlineStr">
        <is>
          <t>Sí</t>
        </is>
      </c>
      <c r="C8" s="5" t="inlineStr">
        <is>
          <t>Sí</t>
        </is>
      </c>
      <c r="D8" s="5" t="inlineStr">
        <is>
          <t>No</t>
        </is>
      </c>
      <c r="E8" s="5" t="inlineStr">
        <is>
          <t>Sí</t>
        </is>
      </c>
      <c r="F8" s="5" t="inlineStr">
        <is>
          <t>Sí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Sí</t>
        </is>
      </c>
      <c r="J8">
        <f>IF(A8="","",IF(OR(G8="Sí",F8="Sí"),"Tipo III",IF(AND(C8="Sí",OR(D8="Sí",E8="Sí")),"Tipo II",IF(OR(C8="Sí",AND(B8="Sí",I8="Sí")),"Tipo I",IF(B8="Sí","Conflicto: mediar",IF(H8="Sí","Falta del manual","Sin clasificar"))))))</f>
        <v/>
      </c>
      <c r="K8" s="2">
        <f>IF(J8="","",IFERROR(VLOOKUP(J8,Rutas!$A$4:$B$9,2,FALSE),""))</f>
        <v/>
      </c>
    </row>
    <row r="9">
      <c r="A9" s="4" t="inlineStr">
        <is>
          <t>Difusión de fotos íntimas de una compañera por internet</t>
        </is>
      </c>
      <c r="B9" s="5" t="inlineStr">
        <is>
          <t>No</t>
        </is>
      </c>
      <c r="C9" s="5" t="inlineStr">
        <is>
          <t>Sí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Sí</t>
        </is>
      </c>
      <c r="H9" s="5" t="inlineStr">
        <is>
          <t>No</t>
        </is>
      </c>
      <c r="I9" s="5" t="inlineStr">
        <is>
          <t>No</t>
        </is>
      </c>
      <c r="J9">
        <f>IF(A9="","",IF(OR(G9="Sí",F9="Sí"),"Tipo III",IF(AND(C9="Sí",OR(D9="Sí",E9="Sí")),"Tipo II",IF(OR(C9="Sí",AND(B9="Sí",I9="Sí")),"Tipo I",IF(B9="Sí","Conflicto: mediar",IF(H9="Sí","Falta del manual","Sin clasificar"))))))</f>
        <v/>
      </c>
      <c r="K9" s="2">
        <f>IF(J9="","",IFERROR(VLOOKUP(J9,Rutas!$A$4:$B$9,2,FALSE),""))</f>
        <v/>
      </c>
    </row>
    <row r="10">
      <c r="A10" s="4" t="inlineStr">
        <is>
          <t>Llegadas tarde reiteradas y uso del celular en clase</t>
        </is>
      </c>
      <c r="B10" s="5" t="inlineStr">
        <is>
          <t>No</t>
        </is>
      </c>
      <c r="C10" s="5" t="inlineStr">
        <is>
          <t>No</t>
        </is>
      </c>
      <c r="D10" s="5" t="inlineStr">
        <is>
          <t>Sí</t>
        </is>
      </c>
      <c r="E10" s="5" t="inlineStr">
        <is>
          <t>No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Sí</t>
        </is>
      </c>
      <c r="I10" s="5" t="inlineStr">
        <is>
          <t>No</t>
        </is>
      </c>
      <c r="J10">
        <f>IF(A10="","",IF(OR(G10="Sí",F10="Sí"),"Tipo III",IF(AND(C10="Sí",OR(D10="Sí",E10="Sí")),"Tipo II",IF(OR(C10="Sí",AND(B10="Sí",I10="Sí")),"Tipo I",IF(B10="Sí","Conflicto: mediar",IF(H10="Sí","Falta del manual","Sin clasificar"))))))</f>
        <v/>
      </c>
      <c r="K10" s="2">
        <f>IF(J10="","",IFERROR(VLOOKUP(J10,Rutas!$A$4:$B$9,2,FALSE),""))</f>
        <v/>
      </c>
    </row>
    <row r="11">
      <c r="A11" s="4" t="inlineStr">
        <is>
          <t>Desacuerdo por el reparto de tareas en un trabajo en grupo</t>
        </is>
      </c>
      <c r="B11" s="5" t="inlineStr">
        <is>
          <t>Sí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>
        <f>IF(A11="","",IF(OR(G11="Sí",F11="Sí"),"Tipo III",IF(AND(C11="Sí",OR(D11="Sí",E11="Sí")),"Tipo II",IF(OR(C11="Sí",AND(B11="Sí",I11="Sí")),"Tipo I",IF(B11="Sí","Conflicto: mediar",IF(H11="Sí","Falta del manual","Sin clasificar"))))))</f>
        <v/>
      </c>
      <c r="K11" s="2">
        <f>IF(J11="","",IFERROR(VLOOKUP(J11,Rutas!$A$4:$B$9,2,FALSE),""))</f>
        <v/>
      </c>
    </row>
    <row r="12">
      <c r="A12" s="4" t="inlineStr">
        <is>
          <t>Amenazas repetidas por un chat de grupo</t>
        </is>
      </c>
      <c r="B12" s="5" t="inlineStr">
        <is>
          <t>No</t>
        </is>
      </c>
      <c r="C12" s="5" t="inlineStr">
        <is>
          <t>Sí</t>
        </is>
      </c>
      <c r="D12" s="5" t="inlineStr">
        <is>
          <t>Sí</t>
        </is>
      </c>
      <c r="E12" s="5" t="inlineStr">
        <is>
          <t>No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</t>
        </is>
      </c>
      <c r="I12" s="5" t="inlineStr">
        <is>
          <t>No</t>
        </is>
      </c>
      <c r="J12">
        <f>IF(A12="","",IF(OR(G12="Sí",F12="Sí"),"Tipo III",IF(AND(C12="Sí",OR(D12="Sí",E12="Sí")),"Tipo II",IF(OR(C12="Sí",AND(B12="Sí",I12="Sí")),"Tipo I",IF(B12="Sí","Conflicto: mediar",IF(H12="Sí","Falta del manual","Sin clasificar"))))))</f>
        <v/>
      </c>
      <c r="K12" s="2">
        <f>IF(J12="","",IFERROR(VLOOKUP(J12,Rutas!$A$4:$B$9,2,FALSE),""))</f>
        <v/>
      </c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>
        <f>IF(A13="","",IF(OR(G13="Sí",F13="Sí"),"Tipo III",IF(AND(C13="Sí",OR(D13="Sí",E13="Sí")),"Tipo II",IF(OR(C13="Sí",AND(B13="Sí",I13="Sí")),"Tipo I",IF(B13="Sí","Conflicto: mediar",IF(H13="Sí","Falta del manual","Sin clasificar"))))))</f>
        <v/>
      </c>
      <c r="K13" s="2">
        <f>IF(J13="","",IFERROR(VLOOKUP(J13,Rutas!$A$4:$B$9,2,FALSE),""))</f>
        <v/>
      </c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>
        <f>IF(A14="","",IF(OR(G14="Sí",F14="Sí"),"Tipo III",IF(AND(C14="Sí",OR(D14="Sí",E14="Sí")),"Tipo II",IF(OR(C14="Sí",AND(B14="Sí",I14="Sí")),"Tipo I",IF(B14="Sí","Conflicto: mediar",IF(H14="Sí","Falta del manual","Sin clasificar"))))))</f>
        <v/>
      </c>
      <c r="K14" s="2">
        <f>IF(J14="","",IFERROR(VLOOKUP(J14,Rutas!$A$4:$B$9,2,FALSE),""))</f>
        <v/>
      </c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>
        <f>IF(A15="","",IF(OR(G15="Sí",F15="Sí"),"Tipo III",IF(AND(C15="Sí",OR(D15="Sí",E15="Sí")),"Tipo II",IF(OR(C15="Sí",AND(B15="Sí",I15="Sí")),"Tipo I",IF(B15="Sí","Conflicto: mediar",IF(H15="Sí","Falta del manual","Sin clasificar"))))))</f>
        <v/>
      </c>
      <c r="K15" s="2">
        <f>IF(J15="","",IFERROR(VLOOKUP(J15,Rutas!$A$4:$B$9,2,FALSE),""))</f>
        <v/>
      </c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>
        <f>IF(A16="","",IF(OR(G16="Sí",F16="Sí"),"Tipo III",IF(AND(C16="Sí",OR(D16="Sí",E16="Sí")),"Tipo II",IF(OR(C16="Sí",AND(B16="Sí",I16="Sí")),"Tipo I",IF(B16="Sí","Conflicto: mediar",IF(H16="Sí","Falta del manual","Sin clasificar"))))))</f>
        <v/>
      </c>
      <c r="K16" s="2">
        <f>IF(J16="","",IFERROR(VLOOKUP(J16,Rutas!$A$4:$B$9,2,FALSE),""))</f>
        <v/>
      </c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>
        <f>IF(A17="","",IF(OR(G17="Sí",F17="Sí"),"Tipo III",IF(AND(C17="Sí",OR(D17="Sí",E17="Sí")),"Tipo II",IF(OR(C17="Sí",AND(B17="Sí",I17="Sí")),"Tipo I",IF(B17="Sí","Conflicto: mediar",IF(H17="Sí","Falta del manual","Sin clasificar"))))))</f>
        <v/>
      </c>
      <c r="K17" s="2">
        <f>IF(J17="","",IFERROR(VLOOKUP(J17,Rutas!$A$4:$B$9,2,FALSE),""))</f>
        <v/>
      </c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>
        <f>IF(A18="","",IF(OR(G18="Sí",F18="Sí"),"Tipo III",IF(AND(C18="Sí",OR(D18="Sí",E18="Sí")),"Tipo II",IF(OR(C18="Sí",AND(B18="Sí",I18="Sí")),"Tipo I",IF(B18="Sí","Conflicto: mediar",IF(H18="Sí","Falta del manual","Sin clasificar"))))))</f>
        <v/>
      </c>
      <c r="K18" s="2">
        <f>IF(J18="","",IFERROR(VLOOKUP(J18,Rutas!$A$4:$B$9,2,FALSE),""))</f>
        <v/>
      </c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>
        <f>IF(A19="","",IF(OR(G19="Sí",F19="Sí"),"Tipo III",IF(AND(C19="Sí",OR(D19="Sí",E19="Sí")),"Tipo II",IF(OR(C19="Sí",AND(B19="Sí",I19="Sí")),"Tipo I",IF(B19="Sí","Conflicto: mediar",IF(H19="Sí","Falta del manual","Sin clasificar"))))))</f>
        <v/>
      </c>
      <c r="K19" s="2">
        <f>IF(J19="","",IFERROR(VLOOKUP(J19,Rutas!$A$4:$B$9,2,FALSE),""))</f>
        <v/>
      </c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>
        <f>IF(A20="","",IF(OR(G20="Sí",F20="Sí"),"Tipo III",IF(AND(C20="Sí",OR(D20="Sí",E20="Sí")),"Tipo II",IF(OR(C20="Sí",AND(B20="Sí",I20="Sí")),"Tipo I",IF(B20="Sí","Conflicto: mediar",IF(H20="Sí","Falta del manual","Sin clasificar"))))))</f>
        <v/>
      </c>
      <c r="K20" s="2">
        <f>IF(J20="","",IFERROR(VLOOKUP(J20,Rutas!$A$4:$B$9,2,FALSE),""))</f>
        <v/>
      </c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>
        <f>IF(A21="","",IF(OR(G21="Sí",F21="Sí"),"Tipo III",IF(AND(C21="Sí",OR(D21="Sí",E21="Sí")),"Tipo II",IF(OR(C21="Sí",AND(B21="Sí",I21="Sí")),"Tipo I",IF(B21="Sí","Conflicto: mediar",IF(H21="Sí","Falta del manual","Sin clasificar"))))))</f>
        <v/>
      </c>
      <c r="K21" s="2">
        <f>IF(J21="","",IFERROR(VLOOKUP(J21,Rutas!$A$4:$B$9,2,FALSE),""))</f>
        <v/>
      </c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>
        <f>IF(A22="","",IF(OR(G22="Sí",F22="Sí"),"Tipo III",IF(AND(C22="Sí",OR(D22="Sí",E22="Sí")),"Tipo II",IF(OR(C22="Sí",AND(B22="Sí",I22="Sí")),"Tipo I",IF(B22="Sí","Conflicto: mediar",IF(H22="Sí","Falta del manual","Sin clasificar"))))))</f>
        <v/>
      </c>
      <c r="K22" s="2">
        <f>IF(J22="","",IFERROR(VLOOKUP(J22,Rutas!$A$4:$B$9,2,FALSE),""))</f>
        <v/>
      </c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>
        <f>IF(A23="","",IF(OR(G23="Sí",F23="Sí"),"Tipo III",IF(AND(C23="Sí",OR(D23="Sí",E23="Sí")),"Tipo II",IF(OR(C23="Sí",AND(B23="Sí",I23="Sí")),"Tipo I",IF(B23="Sí","Conflicto: mediar",IF(H23="Sí","Falta del manual","Sin clasificar"))))))</f>
        <v/>
      </c>
      <c r="K23" s="2">
        <f>IF(J23="","",IFERROR(VLOOKUP(J23,Rutas!$A$4:$B$9,2,FALSE),""))</f>
        <v/>
      </c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>
        <f>IF(A24="","",IF(OR(G24="Sí",F24="Sí"),"Tipo III",IF(AND(C24="Sí",OR(D24="Sí",E24="Sí")),"Tipo II",IF(OR(C24="Sí",AND(B24="Sí",I24="Sí")),"Tipo I",IF(B24="Sí","Conflicto: mediar",IF(H24="Sí","Falta del manual","Sin clasificar"))))))</f>
        <v/>
      </c>
      <c r="K24" s="2">
        <f>IF(J24="","",IFERROR(VLOOKUP(J24,Rutas!$A$4:$B$9,2,FALSE),""))</f>
        <v/>
      </c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>
        <f>IF(A25="","",IF(OR(G25="Sí",F25="Sí"),"Tipo III",IF(AND(C25="Sí",OR(D25="Sí",E25="Sí")),"Tipo II",IF(OR(C25="Sí",AND(B25="Sí",I25="Sí")),"Tipo I",IF(B25="Sí","Conflicto: mediar",IF(H25="Sí","Falta del manual","Sin clasificar"))))))</f>
        <v/>
      </c>
      <c r="K25" s="2">
        <f>IF(J25="","",IFERROR(VLOOKUP(J25,Rutas!$A$4:$B$9,2,FALSE),""))</f>
        <v/>
      </c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>
        <f>IF(A26="","",IF(OR(G26="Sí",F26="Sí"),"Tipo III",IF(AND(C26="Sí",OR(D26="Sí",E26="Sí")),"Tipo II",IF(OR(C26="Sí",AND(B26="Sí",I26="Sí")),"Tipo I",IF(B26="Sí","Conflicto: mediar",IF(H26="Sí","Falta del manual","Sin clasificar"))))))</f>
        <v/>
      </c>
      <c r="K26" s="2">
        <f>IF(J26="","",IFERROR(VLOOKUP(J26,Rutas!$A$4:$B$9,2,FALSE),""))</f>
        <v/>
      </c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>
        <f>IF(A27="","",IF(OR(G27="Sí",F27="Sí"),"Tipo III",IF(AND(C27="Sí",OR(D27="Sí",E27="Sí")),"Tipo II",IF(OR(C27="Sí",AND(B27="Sí",I27="Sí")),"Tipo I",IF(B27="Sí","Conflicto: mediar",IF(H27="Sí","Falta del manual","Sin clasificar"))))))</f>
        <v/>
      </c>
      <c r="K27" s="2">
        <f>IF(J27="","",IFERROR(VLOOKUP(J27,Rutas!$A$4:$B$9,2,FALSE),""))</f>
        <v/>
      </c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>
        <f>IF(A28="","",IF(OR(G28="Sí",F28="Sí"),"Tipo III",IF(AND(C28="Sí",OR(D28="Sí",E28="Sí")),"Tipo II",IF(OR(C28="Sí",AND(B28="Sí",I28="Sí")),"Tipo I",IF(B28="Sí","Conflicto: mediar",IF(H28="Sí","Falta del manual","Sin clasificar"))))))</f>
        <v/>
      </c>
      <c r="K28" s="2">
        <f>IF(J28="","",IFERROR(VLOOKUP(J28,Rutas!$A$4:$B$9,2,FALSE),""))</f>
        <v/>
      </c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>
        <f>IF(A29="","",IF(OR(G29="Sí",F29="Sí"),"Tipo III",IF(AND(C29="Sí",OR(D29="Sí",E29="Sí")),"Tipo II",IF(OR(C29="Sí",AND(B29="Sí",I29="Sí")),"Tipo I",IF(B29="Sí","Conflicto: mediar",IF(H29="Sí","Falta del manual","Sin clasificar"))))))</f>
        <v/>
      </c>
      <c r="K29" s="2">
        <f>IF(J29="","",IFERROR(VLOOKUP(J29,Rutas!$A$4:$B$9,2,FALSE),""))</f>
        <v/>
      </c>
    </row>
    <row r="31">
      <c r="A31" s="6" t="inlineStr">
        <is>
          <t>Conteo por clasificación</t>
        </is>
      </c>
    </row>
    <row r="32">
      <c r="A32" t="inlineStr">
        <is>
          <t>Tipo I</t>
        </is>
      </c>
      <c r="B32">
        <f>COUNTIF($J$5:$J$29,A32)</f>
        <v/>
      </c>
    </row>
    <row r="33">
      <c r="A33" t="inlineStr">
        <is>
          <t>Tipo II</t>
        </is>
      </c>
      <c r="B33">
        <f>COUNTIF($J$5:$J$29,A33)</f>
        <v/>
      </c>
    </row>
    <row r="34">
      <c r="A34" t="inlineStr">
        <is>
          <t>Tipo III</t>
        </is>
      </c>
      <c r="B34">
        <f>COUNTIF($J$5:$J$29,A34)</f>
        <v/>
      </c>
    </row>
    <row r="35">
      <c r="A35" t="inlineStr">
        <is>
          <t>Conflicto: mediar</t>
        </is>
      </c>
      <c r="B35">
        <f>COUNTIF($J$5:$J$29,A35)</f>
        <v/>
      </c>
    </row>
    <row r="36">
      <c r="A36" t="inlineStr">
        <is>
          <t>Falta del manual</t>
        </is>
      </c>
      <c r="B36">
        <f>COUNTIF($J$5:$J$29,A36)</f>
        <v/>
      </c>
    </row>
  </sheetData>
  <conditionalFormatting sqref="J5:J29">
    <cfRule type="cellIs" priority="1" operator="equal" dxfId="0">
      <formula>"Tipo III"</formula>
    </cfRule>
    <cfRule type="cellIs" priority="2" operator="equal" dxfId="1">
      <formula>"Tipo II"</formula>
    </cfRule>
    <cfRule type="cellIs" priority="3" operator="equal" dxfId="2">
      <formula>"Tipo I"</formula>
    </cfRule>
  </conditionalFormatting>
  <dataValidations count="1">
    <dataValidation sqref="B5:I29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30" customWidth="1" min="3" max="3"/>
  </cols>
  <sheetData>
    <row r="1">
      <c r="A1" s="1" t="inlineStr">
        <is>
          <t>RUTAS (resumen propio del Decreto 1075 de 2015, arts. 2.3.5.4.2.8 a 2.3.5.4.2.10; el protocolo completo está en el texto y en el manual de convivencia de cada colegio)</t>
        </is>
      </c>
    </row>
    <row r="3">
      <c r="A3" s="3" t="inlineStr">
        <is>
          <t>Clasificación</t>
        </is>
      </c>
      <c r="B3" s="3" t="inlineStr">
        <is>
          <t>Primer paso del protocolo (resumen)</t>
        </is>
      </c>
      <c r="C3" s="3" t="inlineStr">
        <is>
          <t>Norma</t>
        </is>
      </c>
    </row>
    <row r="4">
      <c r="A4" s="2" t="inlineStr">
        <is>
          <t>Tipo I</t>
        </is>
      </c>
      <c r="B4" s="2" t="inlineStr">
        <is>
          <t>Reunir de inmediato a las partes y mediar de manera pedagógica; fijar una solución imparcial y justa, dejar constancia y hacer seguimiento.</t>
        </is>
      </c>
      <c r="C4" s="2" t="inlineStr">
        <is>
          <t>Art. 2.3.5.4.2.8</t>
        </is>
      </c>
    </row>
    <row r="5">
      <c r="A5" s="2" t="inlineStr">
        <is>
          <t>Tipo II</t>
        </is>
      </c>
      <c r="B5" s="2" t="inlineStr">
        <is>
          <t>Si hay daño, garantizar atención en salud; informar de inmediato a los padres o acudientes; proteger a los involucrados; generar espacios para exponer lo ocurrido; acciones restaurativas; el comité deja acta y hace seguimiento.</t>
        </is>
      </c>
      <c r="C5" s="2" t="inlineStr">
        <is>
          <t>Art. 2.3.5.4.2.9</t>
        </is>
      </c>
    </row>
    <row r="6">
      <c r="A6" s="2" t="inlineStr">
        <is>
          <t>Tipo III</t>
        </is>
      </c>
      <c r="B6" s="2" t="inlineStr">
        <is>
          <t>Atención inmediata en salud si hay daño; informar de inmediato a los padres o acudientes; el presidente del comité informa a la Policía Nacional; el comité adopta medidas de protección; seguimiento por el comité y las autoridades.</t>
        </is>
      </c>
      <c r="C6" s="2" t="inlineStr">
        <is>
          <t>Art. 2.3.5.4.2.10</t>
        </is>
      </c>
    </row>
    <row r="7">
      <c r="A7" s="2" t="inlineStr">
        <is>
          <t>Conflicto: mediar</t>
        </is>
      </c>
      <c r="B7" s="2" t="inlineStr">
        <is>
          <t>Un conflicto es una incompatibilidad de intereses y puede resolverse de forma constructiva: mediación pedagógica antes de que escale.</t>
        </is>
      </c>
      <c r="C7" s="2" t="inlineStr">
        <is>
          <t>Art. 2.3.5.4.2.5 (definiciones)</t>
        </is>
      </c>
    </row>
    <row r="8">
      <c r="A8" s="2" t="inlineStr">
        <is>
          <t>Falta del manual</t>
        </is>
      </c>
      <c r="B8" s="2" t="inlineStr">
        <is>
          <t>Aplicar el procedimiento del manual de convivencia, con debido proceso y derecho a la defensa; revisar si además afecta el clima escolar.</t>
        </is>
      </c>
      <c r="C8" s="2" t="inlineStr">
        <is>
          <t>Art. 2.3.3.1.4.4 (manual)</t>
        </is>
      </c>
    </row>
    <row r="9">
      <c r="A9" s="2" t="inlineStr">
        <is>
          <t>Sin clasificar</t>
        </is>
      </c>
      <c r="B9" s="2" t="inlineStr">
        <is>
          <t>Falta información: analizar de nuevo con el comité.</t>
        </is>
      </c>
      <c r="C9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DEFINICIONES (resumen propio del Decreto 1075 de 2015, art. 2.3.5.4.2.5, y de la Ley 1620 de 2013)</t>
        </is>
      </c>
    </row>
    <row r="3">
      <c r="A3" s="3" t="inlineStr">
        <is>
          <t>Término</t>
        </is>
      </c>
      <c r="B3" s="3" t="inlineStr">
        <is>
          <t>Idea central</t>
        </is>
      </c>
    </row>
    <row r="4">
      <c r="A4" s="2" t="inlineStr">
        <is>
          <t>Conflicto</t>
        </is>
      </c>
      <c r="B4" s="2" t="inlineStr">
        <is>
          <t>Incompatibilidad real o percibida entre personas frente a sus intereses. No es en sí mismo una agresión.</t>
        </is>
      </c>
    </row>
    <row r="5">
      <c r="A5" s="2" t="inlineStr">
        <is>
          <t>Conflicto manejado inadecuadamente</t>
        </is>
      </c>
      <c r="B5" s="2" t="inlineStr">
        <is>
          <t>Un conflicto no resuelto de forma constructiva que da lugar a altercados, enfrentamientos o riñas, sin afectación al cuerpo o la salud.</t>
        </is>
      </c>
    </row>
    <row r="6">
      <c r="A6" s="2" t="inlineStr">
        <is>
          <t>Agresión escolar</t>
        </is>
      </c>
      <c r="B6" s="2" t="inlineStr">
        <is>
          <t>Acción de uno o más integrantes de la comunidad educativa que busca afectar negativamente a otros, entre los cuales al menos uno es estudiante: física, verbal, gestual, relacional o electrónica.</t>
        </is>
      </c>
    </row>
    <row r="7">
      <c r="A7" s="2" t="inlineStr">
        <is>
          <t>Acoso escolar (bullying)</t>
        </is>
      </c>
      <c r="B7" s="2" t="inlineStr">
        <is>
          <t>Conducta negativa, intencional, metódica y sistemática de agresión, intimidación, humillación o aislamiento contra un niño, niña o adolescente por pares con quienes mantiene una relación de poder asimétrica, de forma reiterada o a lo largo de un tiempo.</t>
        </is>
      </c>
    </row>
    <row r="8">
      <c r="A8" s="2" t="inlineStr">
        <is>
          <t>Ciberacoso (ciberbullying)</t>
        </is>
      </c>
      <c r="B8" s="2" t="inlineStr">
        <is>
          <t>Intimidación con uso deliberado de tecnologías de información (internet, redes, telefonía móvil, videojuegos en línea) para ejercer maltrato psicológico y continuado.</t>
        </is>
      </c>
    </row>
    <row r="9">
      <c r="A9" s="2" t="inlineStr">
        <is>
          <t>Indisciplina</t>
        </is>
      </c>
      <c r="B9" s="2" t="inlineStr">
        <is>
          <t>No es un término definido en la Ley 1620: se refiere al incumplimiento de normas del manual de convivencia. Cada institución define sus faltas y procedimientos con debido proceso.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2026-10-10T13:47:24Z</dcterms:created>
  <dcterms:modified xmlns:dcterms="http://purl.org/dc/terms/" xmlns:xsi="http://www.w3.org/2001/XMLSchema-instance" xsi:type="dcterms:W3CDTF">2026-10-10T13:47:24Z</dcterms:modified>
</cp:coreProperties>
</file>