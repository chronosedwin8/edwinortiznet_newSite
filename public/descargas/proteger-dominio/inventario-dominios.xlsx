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8" customWidth="1" min="4" max="4"/>
    <col width="12" customWidth="1" min="5" max="5"/>
    <col width="11" customWidth="1" min="6" max="6"/>
    <col width="14" customWidth="1" min="7" max="7"/>
    <col width="14" customWidth="1" min="8" max="8"/>
    <col width="16" customWidth="1" min="9" max="9"/>
    <col width="20" customWidth="1" min="10" max="10"/>
    <col width="16" customWidth="1" min="11" max="11"/>
    <col width="11" customWidth="1" min="12" max="12"/>
    <col width="12" customWidth="1" min="13" max="13"/>
  </cols>
  <sheetData>
    <row r="1">
      <c r="A1" s="1" t="inlineStr">
        <is>
          <t>INVENTARIO DE DOMINIOS (datos ficticios; los dominios .example no existen)</t>
        </is>
      </c>
    </row>
    <row r="2">
      <c r="A2" t="inlineStr">
        <is>
          <t>Fecha de revisión</t>
        </is>
      </c>
      <c r="B2" s="2" t="n">
        <v>46305</v>
      </c>
      <c r="C2" t="inlineStr">
        <is>
          <t>Escribe =HOY() (o =TODAY()) para que se actualice sola; aquí está fija para que los resultados del ejemplo no cambien.</t>
        </is>
      </c>
    </row>
    <row r="4" ht="52" customHeight="1">
      <c r="A4" s="3" t="inlineStr">
        <is>
          <t>Dominio</t>
        </is>
      </c>
      <c r="B4" s="3" t="inlineStr">
        <is>
          <t>Para qué sirve</t>
        </is>
      </c>
      <c r="C4" s="3" t="inlineStr">
        <is>
          <t>Registrador</t>
        </is>
      </c>
      <c r="D4" s="3" t="inlineStr">
        <is>
          <t>Correo de recuperación (de quién es)</t>
        </is>
      </c>
      <c r="E4" s="3" t="inlineStr">
        <is>
          <t>Vence</t>
        </is>
      </c>
      <c r="F4" s="3" t="inlineStr">
        <is>
          <t>Días para vencer</t>
        </is>
      </c>
      <c r="G4" s="3" t="inlineStr">
        <is>
          <t>Renovación automática</t>
        </is>
      </c>
      <c r="H4" s="3" t="inlineStr">
        <is>
          <t>Bloqueo de transferencia</t>
        </is>
      </c>
      <c r="I4" s="3" t="inlineStr">
        <is>
          <t>2FA en la cuenta del registrador</t>
        </is>
      </c>
      <c r="J4" s="3" t="inlineStr">
        <is>
          <t>DMARC (ninguno / none / quarantine / reject)</t>
        </is>
      </c>
      <c r="K4" s="3" t="inlineStr">
        <is>
          <t>Última copia de la zona DNS</t>
        </is>
      </c>
      <c r="L4" s="3" t="inlineStr">
        <is>
          <t>Puntos de riesgo</t>
        </is>
      </c>
      <c r="M4" s="3" t="inlineStr">
        <is>
          <t>Estado</t>
        </is>
      </c>
    </row>
    <row r="5">
      <c r="A5" s="4" t="inlineStr">
        <is>
          <t>colegioejemplo.example</t>
        </is>
      </c>
      <c r="B5" s="4" t="inlineStr">
        <is>
          <t>Sitio y correo institucional</t>
        </is>
      </c>
      <c r="C5" s="4" t="inlineStr">
        <is>
          <t>Registrador A</t>
        </is>
      </c>
      <c r="D5" s="4" t="inlineStr">
        <is>
          <t>secretaria@colegioejemplo.example (rectoría)</t>
        </is>
      </c>
      <c r="E5" s="2" t="n">
        <v>46407</v>
      </c>
      <c r="F5">
        <f>IF(E5="","",E5-$B$2)</f>
        <v/>
      </c>
      <c r="G5" s="4" t="inlineStr">
        <is>
          <t>Sí</t>
        </is>
      </c>
      <c r="H5" s="4" t="inlineStr">
        <is>
          <t>Sí</t>
        </is>
      </c>
      <c r="I5" s="4" t="inlineStr">
        <is>
          <t>Sí</t>
        </is>
      </c>
      <c r="J5" s="4" t="inlineStr">
        <is>
          <t>quarantine</t>
        </is>
      </c>
      <c r="K5" s="2" t="n">
        <v>46295</v>
      </c>
      <c r="L5">
        <f>IF(E5="","",IF(F5&lt;=30,3,IF(F5&lt;=60,1,0))+IF(G5="No",1,0)+IF(H5="No",2,0)+IF(I5="No",2,0)+IF(OR(J5="ninguno",J5="none"),1,0)+IF(K5="",1,0))</f>
        <v/>
      </c>
      <c r="M5">
        <f>IF(L5="","",IF(L5&gt;=5,"Crítico",IF(L5&gt;=3,"Atención","Bien")))</f>
        <v/>
      </c>
    </row>
    <row r="6">
      <c r="A6" s="4" t="inlineStr">
        <is>
          <t>plataformaejemplo.example</t>
        </is>
      </c>
      <c r="B6" s="4" t="inlineStr">
        <is>
          <t>Plataforma de aulas</t>
        </is>
      </c>
      <c r="C6" s="4" t="inlineStr">
        <is>
          <t>Registrador B</t>
        </is>
      </c>
      <c r="D6" s="4" t="inlineStr">
        <is>
          <t>cuenta personal de un docente</t>
        </is>
      </c>
      <c r="E6" s="2" t="n">
        <v>46328</v>
      </c>
      <c r="F6">
        <f>IF(E6="","",E6-$B$2)</f>
        <v/>
      </c>
      <c r="G6" s="4" t="inlineStr">
        <is>
          <t>No</t>
        </is>
      </c>
      <c r="H6" s="4" t="inlineStr">
        <is>
          <t>Sí</t>
        </is>
      </c>
      <c r="I6" s="4" t="inlineStr">
        <is>
          <t>No</t>
        </is>
      </c>
      <c r="J6" s="4" t="inlineStr">
        <is>
          <t>none</t>
        </is>
      </c>
      <c r="K6" s="2" t="n"/>
      <c r="L6">
        <f>IF(E6="","",IF(F6&lt;=30,3,IF(F6&lt;=60,1,0))+IF(G6="No",1,0)+IF(H6="No",2,0)+IF(I6="No",2,0)+IF(OR(J6="ninguno",J6="none"),1,0)+IF(K6="",1,0))</f>
        <v/>
      </c>
      <c r="M6">
        <f>IF(L6="","",IF(L6&gt;=5,"Crítico",IF(L6&gt;=3,"Atención","Bien")))</f>
        <v/>
      </c>
    </row>
    <row r="7">
      <c r="A7" s="4" t="inlineStr">
        <is>
          <t>egresadosejemplo.example</t>
        </is>
      </c>
      <c r="B7" s="4" t="inlineStr">
        <is>
          <t>Red de egresados</t>
        </is>
      </c>
      <c r="C7" s="4" t="inlineStr">
        <is>
          <t>Registrador A</t>
        </is>
      </c>
      <c r="D7" s="4" t="inlineStr">
        <is>
          <t>secretaria@colegioejemplo.example (rectoría)</t>
        </is>
      </c>
      <c r="E7" s="2" t="n">
        <v>46461</v>
      </c>
      <c r="F7">
        <f>IF(E7="","",E7-$B$2)</f>
        <v/>
      </c>
      <c r="G7" s="4" t="inlineStr">
        <is>
          <t>Sí</t>
        </is>
      </c>
      <c r="H7" s="4" t="inlineStr">
        <is>
          <t>No</t>
        </is>
      </c>
      <c r="I7" s="4" t="inlineStr">
        <is>
          <t>Sí</t>
        </is>
      </c>
      <c r="J7" s="4" t="inlineStr">
        <is>
          <t>ninguno</t>
        </is>
      </c>
      <c r="K7" s="2" t="n">
        <v>46174</v>
      </c>
      <c r="L7">
        <f>IF(E7="","",IF(F7&lt;=30,3,IF(F7&lt;=60,1,0))+IF(G7="No",1,0)+IF(H7="No",2,0)+IF(I7="No",2,0)+IF(OR(J7="ninguno",J7="none"),1,0)+IF(K7="",1,0))</f>
        <v/>
      </c>
      <c r="M7">
        <f>IF(L7="","",IF(L7&gt;=5,"Crítico",IF(L7&gt;=3,"Atención","Bien")))</f>
        <v/>
      </c>
    </row>
    <row r="8">
      <c r="A8" s="4" t="inlineStr">
        <is>
          <t>proyectoejemplo.example</t>
        </is>
      </c>
      <c r="B8" s="4" t="inlineStr">
        <is>
          <t>Proyecto de aula</t>
        </is>
      </c>
      <c r="C8" s="4" t="inlineStr">
        <is>
          <t>Registrador C</t>
        </is>
      </c>
      <c r="D8" s="4" t="inlineStr">
        <is>
          <t>coordinación@colegioejemplo.example</t>
        </is>
      </c>
      <c r="E8" s="2" t="n">
        <v>46361</v>
      </c>
      <c r="F8">
        <f>IF(E8="","",E8-$B$2)</f>
        <v/>
      </c>
      <c r="G8" s="4" t="inlineStr">
        <is>
          <t>Sí</t>
        </is>
      </c>
      <c r="H8" s="4" t="inlineStr">
        <is>
          <t>Sí</t>
        </is>
      </c>
      <c r="I8" s="4" t="inlineStr">
        <is>
          <t>Sí</t>
        </is>
      </c>
      <c r="J8" s="4" t="inlineStr">
        <is>
          <t>reject</t>
        </is>
      </c>
      <c r="K8" s="2" t="n">
        <v>46296</v>
      </c>
      <c r="L8">
        <f>IF(E8="","",IF(F8&lt;=30,3,IF(F8&lt;=60,1,0))+IF(G8="No",1,0)+IF(H8="No",2,0)+IF(I8="No",2,0)+IF(OR(J8="ninguno",J8="none"),1,0)+IF(K8="",1,0))</f>
        <v/>
      </c>
      <c r="M8">
        <f>IF(L8="","",IF(L8&gt;=5,"Crítico",IF(L8&gt;=3,"Atención","Bien")))</f>
        <v/>
      </c>
    </row>
    <row r="9">
      <c r="A9" s="4" t="n"/>
      <c r="B9" s="4" t="n"/>
      <c r="C9" s="4" t="n"/>
      <c r="D9" s="4" t="n"/>
      <c r="E9" s="2" t="n"/>
      <c r="F9">
        <f>IF(E9="","",E9-$B$2)</f>
        <v/>
      </c>
      <c r="G9" s="4" t="n"/>
      <c r="H9" s="4" t="n"/>
      <c r="I9" s="4" t="n"/>
      <c r="J9" s="4" t="n"/>
      <c r="K9" s="2" t="n"/>
      <c r="L9">
        <f>IF(E9="","",IF(F9&lt;=30,3,IF(F9&lt;=60,1,0))+IF(G9="No",1,0)+IF(H9="No",2,0)+IF(I9="No",2,0)+IF(OR(J9="ninguno",J9="none"),1,0)+IF(K9="",1,0))</f>
        <v/>
      </c>
      <c r="M9">
        <f>IF(L9="","",IF(L9&gt;=5,"Crítico",IF(L9&gt;=3,"Atención","Bien")))</f>
        <v/>
      </c>
    </row>
    <row r="10">
      <c r="A10" s="4" t="n"/>
      <c r="B10" s="4" t="n"/>
      <c r="C10" s="4" t="n"/>
      <c r="D10" s="4" t="n"/>
      <c r="E10" s="2" t="n"/>
      <c r="F10">
        <f>IF(E10="","",E10-$B$2)</f>
        <v/>
      </c>
      <c r="G10" s="4" t="n"/>
      <c r="H10" s="4" t="n"/>
      <c r="I10" s="4" t="n"/>
      <c r="J10" s="4" t="n"/>
      <c r="K10" s="2" t="n"/>
      <c r="L10">
        <f>IF(E10="","",IF(F10&lt;=30,3,IF(F10&lt;=60,1,0))+IF(G10="No",1,0)+IF(H10="No",2,0)+IF(I10="No",2,0)+IF(OR(J10="ninguno",J10="none"),1,0)+IF(K10="",1,0))</f>
        <v/>
      </c>
      <c r="M10">
        <f>IF(L10="","",IF(L10&gt;=5,"Crítico",IF(L10&gt;=3,"Atención","Bien")))</f>
        <v/>
      </c>
    </row>
    <row r="11">
      <c r="A11" s="4" t="n"/>
      <c r="B11" s="4" t="n"/>
      <c r="C11" s="4" t="n"/>
      <c r="D11" s="4" t="n"/>
      <c r="E11" s="2" t="n"/>
      <c r="F11">
        <f>IF(E11="","",E11-$B$2)</f>
        <v/>
      </c>
      <c r="G11" s="4" t="n"/>
      <c r="H11" s="4" t="n"/>
      <c r="I11" s="4" t="n"/>
      <c r="J11" s="4" t="n"/>
      <c r="K11" s="2" t="n"/>
      <c r="L11">
        <f>IF(E11="","",IF(F11&lt;=30,3,IF(F11&lt;=60,1,0))+IF(G11="No",1,0)+IF(H11="No",2,0)+IF(I11="No",2,0)+IF(OR(J11="ninguno",J11="none"),1,0)+IF(K11="",1,0))</f>
        <v/>
      </c>
      <c r="M11">
        <f>IF(L11="","",IF(L11&gt;=5,"Crítico",IF(L11&gt;=3,"Atención","Bien")))</f>
        <v/>
      </c>
    </row>
    <row r="12">
      <c r="A12" s="4" t="n"/>
      <c r="B12" s="4" t="n"/>
      <c r="C12" s="4" t="n"/>
      <c r="D12" s="4" t="n"/>
      <c r="E12" s="2" t="n"/>
      <c r="F12">
        <f>IF(E12="","",E12-$B$2)</f>
        <v/>
      </c>
      <c r="G12" s="4" t="n"/>
      <c r="H12" s="4" t="n"/>
      <c r="I12" s="4" t="n"/>
      <c r="J12" s="4" t="n"/>
      <c r="K12" s="2" t="n"/>
      <c r="L12">
        <f>IF(E12="","",IF(F12&lt;=30,3,IF(F12&lt;=60,1,0))+IF(G12="No",1,0)+IF(H12="No",2,0)+IF(I12="No",2,0)+IF(OR(J12="ninguno",J12="none"),1,0)+IF(K12="",1,0))</f>
        <v/>
      </c>
      <c r="M12">
        <f>IF(L12="","",IF(L12&gt;=5,"Crítico",IF(L12&gt;=3,"Atención","Bien")))</f>
        <v/>
      </c>
    </row>
    <row r="13">
      <c r="A13" s="4" t="n"/>
      <c r="B13" s="4" t="n"/>
      <c r="C13" s="4" t="n"/>
      <c r="D13" s="4" t="n"/>
      <c r="E13" s="2" t="n"/>
      <c r="F13">
        <f>IF(E13="","",E13-$B$2)</f>
        <v/>
      </c>
      <c r="G13" s="4" t="n"/>
      <c r="H13" s="4" t="n"/>
      <c r="I13" s="4" t="n"/>
      <c r="J13" s="4" t="n"/>
      <c r="K13" s="2" t="n"/>
      <c r="L13">
        <f>IF(E13="","",IF(F13&lt;=30,3,IF(F13&lt;=60,1,0))+IF(G13="No",1,0)+IF(H13="No",2,0)+IF(I13="No",2,0)+IF(OR(J13="ninguno",J13="none"),1,0)+IF(K13="",1,0))</f>
        <v/>
      </c>
      <c r="M13">
        <f>IF(L13="","",IF(L13&gt;=5,"Crítico",IF(L13&gt;=3,"Atención","Bien")))</f>
        <v/>
      </c>
    </row>
    <row r="14">
      <c r="A14" s="4" t="n"/>
      <c r="B14" s="4" t="n"/>
      <c r="C14" s="4" t="n"/>
      <c r="D14" s="4" t="n"/>
      <c r="E14" s="2" t="n"/>
      <c r="F14">
        <f>IF(E14="","",E14-$B$2)</f>
        <v/>
      </c>
      <c r="G14" s="4" t="n"/>
      <c r="H14" s="4" t="n"/>
      <c r="I14" s="4" t="n"/>
      <c r="J14" s="4" t="n"/>
      <c r="K14" s="2" t="n"/>
      <c r="L14">
        <f>IF(E14="","",IF(F14&lt;=30,3,IF(F14&lt;=60,1,0))+IF(G14="No",1,0)+IF(H14="No",2,0)+IF(I14="No",2,0)+IF(OR(J14="ninguno",J14="none"),1,0)+IF(K14="",1,0))</f>
        <v/>
      </c>
      <c r="M14">
        <f>IF(L14="","",IF(L14&gt;=5,"Crítico",IF(L14&gt;=3,"Atención","Bien")))</f>
        <v/>
      </c>
    </row>
    <row r="15">
      <c r="A15" s="4" t="n"/>
      <c r="B15" s="4" t="n"/>
      <c r="C15" s="4" t="n"/>
      <c r="D15" s="4" t="n"/>
      <c r="E15" s="2" t="n"/>
      <c r="F15">
        <f>IF(E15="","",E15-$B$2)</f>
        <v/>
      </c>
      <c r="G15" s="4" t="n"/>
      <c r="H15" s="4" t="n"/>
      <c r="I15" s="4" t="n"/>
      <c r="J15" s="4" t="n"/>
      <c r="K15" s="2" t="n"/>
      <c r="L15">
        <f>IF(E15="","",IF(F15&lt;=30,3,IF(F15&lt;=60,1,0))+IF(G15="No",1,0)+IF(H15="No",2,0)+IF(I15="No",2,0)+IF(OR(J15="ninguno",J15="none"),1,0)+IF(K15="",1,0))</f>
        <v/>
      </c>
      <c r="M15">
        <f>IF(L15="","",IF(L15&gt;=5,"Crítico",IF(L15&gt;=3,"Atención","Bien")))</f>
        <v/>
      </c>
    </row>
    <row r="16">
      <c r="A16" s="4" t="n"/>
      <c r="B16" s="4" t="n"/>
      <c r="C16" s="4" t="n"/>
      <c r="D16" s="4" t="n"/>
      <c r="E16" s="2" t="n"/>
      <c r="F16">
        <f>IF(E16="","",E16-$B$2)</f>
        <v/>
      </c>
      <c r="G16" s="4" t="n"/>
      <c r="H16" s="4" t="n"/>
      <c r="I16" s="4" t="n"/>
      <c r="J16" s="4" t="n"/>
      <c r="K16" s="2" t="n"/>
      <c r="L16">
        <f>IF(E16="","",IF(F16&lt;=30,3,IF(F16&lt;=60,1,0))+IF(G16="No",1,0)+IF(H16="No",2,0)+IF(I16="No",2,0)+IF(OR(J16="ninguno",J16="none"),1,0)+IF(K16="",1,0))</f>
        <v/>
      </c>
      <c r="M16">
        <f>IF(L16="","",IF(L16&gt;=5,"Crítico",IF(L16&gt;=3,"Atención","Bien")))</f>
        <v/>
      </c>
    </row>
    <row r="17">
      <c r="A17" s="4" t="n"/>
      <c r="B17" s="4" t="n"/>
      <c r="C17" s="4" t="n"/>
      <c r="D17" s="4" t="n"/>
      <c r="E17" s="2" t="n"/>
      <c r="F17">
        <f>IF(E17="","",E17-$B$2)</f>
        <v/>
      </c>
      <c r="G17" s="4" t="n"/>
      <c r="H17" s="4" t="n"/>
      <c r="I17" s="4" t="n"/>
      <c r="J17" s="4" t="n"/>
      <c r="K17" s="2" t="n"/>
      <c r="L17">
        <f>IF(E17="","",IF(F17&lt;=30,3,IF(F17&lt;=60,1,0))+IF(G17="No",1,0)+IF(H17="No",2,0)+IF(I17="No",2,0)+IF(OR(J17="ninguno",J17="none"),1,0)+IF(K17="",1,0))</f>
        <v/>
      </c>
      <c r="M17">
        <f>IF(L17="","",IF(L17&gt;=5,"Crítico",IF(L17&gt;=3,"Atención","Bien")))</f>
        <v/>
      </c>
    </row>
    <row r="18">
      <c r="A18" s="4" t="n"/>
      <c r="B18" s="4" t="n"/>
      <c r="C18" s="4" t="n"/>
      <c r="D18" s="4" t="n"/>
      <c r="E18" s="2" t="n"/>
      <c r="F18">
        <f>IF(E18="","",E18-$B$2)</f>
        <v/>
      </c>
      <c r="G18" s="4" t="n"/>
      <c r="H18" s="4" t="n"/>
      <c r="I18" s="4" t="n"/>
      <c r="J18" s="4" t="n"/>
      <c r="K18" s="2" t="n"/>
      <c r="L18">
        <f>IF(E18="","",IF(F18&lt;=30,3,IF(F18&lt;=60,1,0))+IF(G18="No",1,0)+IF(H18="No",2,0)+IF(I18="No",2,0)+IF(OR(J18="ninguno",J18="none"),1,0)+IF(K18="",1,0))</f>
        <v/>
      </c>
      <c r="M18">
        <f>IF(L18="","",IF(L18&gt;=5,"Crítico",IF(L18&gt;=3,"Atención","Bien")))</f>
        <v/>
      </c>
    </row>
    <row r="19">
      <c r="A19" s="4" t="n"/>
      <c r="B19" s="4" t="n"/>
      <c r="C19" s="4" t="n"/>
      <c r="D19" s="4" t="n"/>
      <c r="E19" s="2" t="n"/>
      <c r="F19">
        <f>IF(E19="","",E19-$B$2)</f>
        <v/>
      </c>
      <c r="G19" s="4" t="n"/>
      <c r="H19" s="4" t="n"/>
      <c r="I19" s="4" t="n"/>
      <c r="J19" s="4" t="n"/>
      <c r="K19" s="2" t="n"/>
      <c r="L19">
        <f>IF(E19="","",IF(F19&lt;=30,3,IF(F19&lt;=60,1,0))+IF(G19="No",1,0)+IF(H19="No",2,0)+IF(I19="No",2,0)+IF(OR(J19="ninguno",J19="none"),1,0)+IF(K19="",1,0))</f>
        <v/>
      </c>
      <c r="M19">
        <f>IF(L19="","",IF(L19&gt;=5,"Crítico",IF(L19&gt;=3,"Atención","Bien")))</f>
        <v/>
      </c>
    </row>
    <row r="20">
      <c r="A20" s="4" t="n"/>
      <c r="B20" s="4" t="n"/>
      <c r="C20" s="4" t="n"/>
      <c r="D20" s="4" t="n"/>
      <c r="E20" s="2" t="n"/>
      <c r="F20">
        <f>IF(E20="","",E20-$B$2)</f>
        <v/>
      </c>
      <c r="G20" s="4" t="n"/>
      <c r="H20" s="4" t="n"/>
      <c r="I20" s="4" t="n"/>
      <c r="J20" s="4" t="n"/>
      <c r="K20" s="2" t="n"/>
      <c r="L20">
        <f>IF(E20="","",IF(F20&lt;=30,3,IF(F20&lt;=60,1,0))+IF(G20="No",1,0)+IF(H20="No",2,0)+IF(I20="No",2,0)+IF(OR(J20="ninguno",J20="none"),1,0)+IF(K20="",1,0))</f>
        <v/>
      </c>
      <c r="M20">
        <f>IF(L20="","",IF(L20&gt;=5,"Crítico",IF(L20&gt;=3,"Atención","Bien")))</f>
        <v/>
      </c>
    </row>
    <row r="21">
      <c r="A21" s="4" t="n"/>
      <c r="B21" s="4" t="n"/>
      <c r="C21" s="4" t="n"/>
      <c r="D21" s="4" t="n"/>
      <c r="E21" s="2" t="n"/>
      <c r="F21">
        <f>IF(E21="","",E21-$B$2)</f>
        <v/>
      </c>
      <c r="G21" s="4" t="n"/>
      <c r="H21" s="4" t="n"/>
      <c r="I21" s="4" t="n"/>
      <c r="J21" s="4" t="n"/>
      <c r="K21" s="2" t="n"/>
      <c r="L21">
        <f>IF(E21="","",IF(F21&lt;=30,3,IF(F21&lt;=60,1,0))+IF(G21="No",1,0)+IF(H21="No",2,0)+IF(I21="No",2,0)+IF(OR(J21="ninguno",J21="none"),1,0)+IF(K21="",1,0))</f>
        <v/>
      </c>
      <c r="M21">
        <f>IF(L21="","",IF(L21&gt;=5,"Crítico",IF(L21&gt;=3,"Atención","Bien")))</f>
        <v/>
      </c>
    </row>
    <row r="22">
      <c r="A22" s="4" t="n"/>
      <c r="B22" s="4" t="n"/>
      <c r="C22" s="4" t="n"/>
      <c r="D22" s="4" t="n"/>
      <c r="E22" s="2" t="n"/>
      <c r="F22">
        <f>IF(E22="","",E22-$B$2)</f>
        <v/>
      </c>
      <c r="G22" s="4" t="n"/>
      <c r="H22" s="4" t="n"/>
      <c r="I22" s="4" t="n"/>
      <c r="J22" s="4" t="n"/>
      <c r="K22" s="2" t="n"/>
      <c r="L22">
        <f>IF(E22="","",IF(F22&lt;=30,3,IF(F22&lt;=60,1,0))+IF(G22="No",1,0)+IF(H22="No",2,0)+IF(I22="No",2,0)+IF(OR(J22="ninguno",J22="none"),1,0)+IF(K22="",1,0))</f>
        <v/>
      </c>
      <c r="M22">
        <f>IF(L22="","",IF(L22&gt;=5,"Crítico",IF(L22&gt;=3,"Atención","Bien")))</f>
        <v/>
      </c>
    </row>
    <row r="23">
      <c r="A23" s="4" t="n"/>
      <c r="B23" s="4" t="n"/>
      <c r="C23" s="4" t="n"/>
      <c r="D23" s="4" t="n"/>
      <c r="E23" s="2" t="n"/>
      <c r="F23">
        <f>IF(E23="","",E23-$B$2)</f>
        <v/>
      </c>
      <c r="G23" s="4" t="n"/>
      <c r="H23" s="4" t="n"/>
      <c r="I23" s="4" t="n"/>
      <c r="J23" s="4" t="n"/>
      <c r="K23" s="2" t="n"/>
      <c r="L23">
        <f>IF(E23="","",IF(F23&lt;=30,3,IF(F23&lt;=60,1,0))+IF(G23="No",1,0)+IF(H23="No",2,0)+IF(I23="No",2,0)+IF(OR(J23="ninguno",J23="none"),1,0)+IF(K23="",1,0))</f>
        <v/>
      </c>
      <c r="M23">
        <f>IF(L23="","",IF(L23&gt;=5,"Crítico",IF(L23&gt;=3,"Atención","Bien")))</f>
        <v/>
      </c>
    </row>
    <row r="24">
      <c r="A24" s="4" t="n"/>
      <c r="B24" s="4" t="n"/>
      <c r="C24" s="4" t="n"/>
      <c r="D24" s="4" t="n"/>
      <c r="E24" s="2" t="n"/>
      <c r="F24">
        <f>IF(E24="","",E24-$B$2)</f>
        <v/>
      </c>
      <c r="G24" s="4" t="n"/>
      <c r="H24" s="4" t="n"/>
      <c r="I24" s="4" t="n"/>
      <c r="J24" s="4" t="n"/>
      <c r="K24" s="2" t="n"/>
      <c r="L24">
        <f>IF(E24="","",IF(F24&lt;=30,3,IF(F24&lt;=60,1,0))+IF(G24="No",1,0)+IF(H24="No",2,0)+IF(I24="No",2,0)+IF(OR(J24="ninguno",J24="none"),1,0)+IF(K24="",1,0))</f>
        <v/>
      </c>
      <c r="M24">
        <f>IF(L24="","",IF(L24&gt;=5,"Crítico",IF(L24&gt;=3,"Atención","Bien")))</f>
        <v/>
      </c>
    </row>
    <row r="26">
      <c r="A26" t="inlineStr">
        <is>
          <t>Dominios críticos</t>
        </is>
      </c>
      <c r="C26">
        <f>COUNTIF(M5:M24,"Crítico")</f>
        <v/>
      </c>
    </row>
    <row r="27">
      <c r="A27" t="inlineStr">
        <is>
          <t>En atención</t>
        </is>
      </c>
      <c r="C27">
        <f>COUNTIF(M5:M24,"Atención")</f>
        <v/>
      </c>
    </row>
    <row r="28">
      <c r="A28" t="inlineStr">
        <is>
          <t>Vencen en 60 días o menos</t>
        </is>
      </c>
      <c r="C28">
        <f>COUNTIFS(F5:F24,"&lt;=60",F5:F24,"&gt;=0")</f>
        <v/>
      </c>
    </row>
    <row r="30">
      <c r="A30" t="inlineStr">
        <is>
          <t>Puntos: vence en 30 días o menos 3; en 31 a 60 días 1; sin renovación automática 1; sin bloqueo de transferencia 2; sin 2FA 2; DMARC ninguno o none 1; sin copia de la zona DNS 1. Crítico: 5 o más; Atención: 3 o 4. Es un criterio orientativo, ajústalo a tu caso.</t>
        </is>
      </c>
    </row>
  </sheetData>
  <conditionalFormatting sqref="M5:M24">
    <cfRule type="cellIs" priority="1" operator="equal" dxfId="0">
      <formula>"Crítico"</formula>
    </cfRule>
    <cfRule type="cellIs" priority="2" operator="equal" dxfId="1">
      <formula>"Atención"</formula>
    </cfRule>
    <cfRule type="cellIs" priority="3" operator="equal" dxfId="2">
      <formula>"Bien"</formula>
    </cfRule>
  </conditionalFormatting>
  <dataValidations count="2">
    <dataValidation sqref="G5:I24" showDropDown="0" showInputMessage="0" showErrorMessage="0" allowBlank="0" type="list">
      <formula1>"Sí,No"</formula1>
    </dataValidation>
    <dataValidation sqref="J5:J24" showDropDown="0" showInputMessage="0" showErrorMessage="0" allowBlank="0" type="list">
      <formula1>"ninguno,none,quarantine,reject"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2026-10-10T13:07:11Z</dcterms:created>
  <dcterms:modified xmlns:dcterms="http://purl.org/dc/terms/" xmlns:xsi="http://www.w3.org/2001/XMLSchema-instance" xsi:type="dcterms:W3CDTF">2026-10-10T13:07:11Z</dcterms:modified>
</cp:coreProperties>
</file>