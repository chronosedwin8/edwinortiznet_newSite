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spuestas" sheetId="2" state="visible" r:id="rId2"/>
    <sheet xmlns:r="http://schemas.openxmlformats.org/officeDocument/2006/relationships" name="Puntajes" sheetId="3" state="visible" r:id="rId3"/>
    <sheet xmlns:r="http://schemas.openxmlformats.org/officeDocument/2006/relationships" name="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</cols>
  <sheetData>
    <row r="1">
      <c r="A1" s="1" t="inlineStr">
        <is>
          <t>RESUMEN DE LA PRUEBA</t>
        </is>
      </c>
    </row>
    <row r="3">
      <c r="A3" t="inlineStr">
        <is>
          <t>Estudiantes</t>
        </is>
      </c>
      <c r="B3">
        <f>COUNTA(Respuestas!A4:A33)</f>
        <v/>
      </c>
    </row>
    <row r="4">
      <c r="A4" t="inlineStr">
        <is>
          <t>Ítems</t>
        </is>
      </c>
      <c r="B4">
        <f>COUNTA(Respuestas!B3:U3)</f>
        <v/>
      </c>
    </row>
    <row r="5">
      <c r="A5" t="inlineStr">
        <is>
          <t>Media del puntaje total</t>
        </is>
      </c>
      <c r="B5" s="2">
        <f>AVERAGE(Puntajes!$V$3:$V$32)</f>
        <v/>
      </c>
    </row>
    <row r="6">
      <c r="A6" t="inlineStr">
        <is>
          <t>Desviación estándar (población)</t>
        </is>
      </c>
      <c r="B6" s="2">
        <f>_xlfn.STDEV.P(Puntajes!$V$3:$V$32)</f>
        <v/>
      </c>
    </row>
    <row r="7">
      <c r="A7" t="inlineStr">
        <is>
          <t>Dificultad media (p)</t>
        </is>
      </c>
      <c r="B7" s="2">
        <f>AVERAGE(Items!C4:C23)</f>
        <v/>
      </c>
    </row>
    <row r="8">
      <c r="A8" t="inlineStr">
        <is>
          <t>Confiabilidad KR-20</t>
        </is>
      </c>
      <c r="B8" s="2">
        <f>(B4/(B4-1))*(1-SUMPRODUCT(Items!C4:C23,1-Items!C4:C23)/B6^2)</f>
        <v/>
      </c>
    </row>
    <row r="9">
      <c r="A9" t="inlineStr">
        <is>
          <t>Ítems aceptables</t>
        </is>
      </c>
      <c r="B9">
        <f>COUNTIF(Items!N4:N23,"Aceptable")</f>
        <v/>
      </c>
    </row>
    <row r="10">
      <c r="A10" t="inlineStr">
        <is>
          <t>Ítems a revisar</t>
        </is>
      </c>
      <c r="B10">
        <f>B4-B9</f>
        <v/>
      </c>
    </row>
    <row r="11">
      <c r="A11" t="inlineStr">
        <is>
          <t>Posibles errores de clave</t>
        </is>
      </c>
      <c r="B11">
        <f>COUNTIF(Items!N4:N23,"Posible error de clave")</f>
        <v/>
      </c>
    </row>
    <row r="13" ht="52" customHeight="1">
      <c r="A13" s="3" t="inlineStr">
        <is>
          <t>Criterios (orientativos): p entre 0,30 y 0,80 suele considerarse deseable; D de 0,40 o más, excelente; 0,30 a 0,39, buena; 0,20 a 0,29, marginal; menos de 0,20, pobre. Dependen del propósito y del tamaño del grupo.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>
      <c r="A1" s="4" t="inlineStr">
        <is>
          <t>RESPUESTAS DE UN GRUPO (ejemplo ficticio: 30 estudiantes, 20 ítems de opción múltiple). La fila 3 es la clave publicada.</t>
        </is>
      </c>
    </row>
    <row r="2">
      <c r="A2" s="5" t="inlineStr">
        <is>
          <t>Ítem</t>
        </is>
      </c>
      <c r="B2" s="5" t="n">
        <v>1</v>
      </c>
      <c r="C2" s="5" t="n">
        <v>2</v>
      </c>
      <c r="D2" s="5" t="n">
        <v>3</v>
      </c>
      <c r="E2" s="5" t="n">
        <v>4</v>
      </c>
      <c r="F2" s="5" t="n">
        <v>5</v>
      </c>
      <c r="G2" s="5" t="n">
        <v>6</v>
      </c>
      <c r="H2" s="5" t="n">
        <v>7</v>
      </c>
      <c r="I2" s="5" t="n">
        <v>8</v>
      </c>
      <c r="J2" s="5" t="n">
        <v>9</v>
      </c>
      <c r="K2" s="5" t="n">
        <v>10</v>
      </c>
      <c r="L2" s="5" t="n">
        <v>11</v>
      </c>
      <c r="M2" s="5" t="n">
        <v>12</v>
      </c>
      <c r="N2" s="5" t="n">
        <v>13</v>
      </c>
      <c r="O2" s="5" t="n">
        <v>14</v>
      </c>
      <c r="P2" s="5" t="n">
        <v>15</v>
      </c>
      <c r="Q2" s="5" t="n">
        <v>16</v>
      </c>
      <c r="R2" s="5" t="n">
        <v>17</v>
      </c>
      <c r="S2" s="5" t="n">
        <v>18</v>
      </c>
      <c r="T2" s="5" t="n">
        <v>19</v>
      </c>
      <c r="U2" s="5" t="n">
        <v>20</v>
      </c>
    </row>
    <row r="3">
      <c r="A3" s="5" t="inlineStr">
        <is>
          <t>Clave</t>
        </is>
      </c>
      <c r="B3" s="6" t="inlineStr">
        <is>
          <t>A</t>
        </is>
      </c>
      <c r="C3" s="6" t="inlineStr">
        <is>
          <t>B</t>
        </is>
      </c>
      <c r="D3" s="6" t="inlineStr">
        <is>
          <t>A</t>
        </is>
      </c>
      <c r="E3" s="6" t="inlineStr">
        <is>
          <t>C</t>
        </is>
      </c>
      <c r="F3" s="6" t="inlineStr">
        <is>
          <t>D</t>
        </is>
      </c>
      <c r="G3" s="6" t="inlineStr">
        <is>
          <t>C</t>
        </is>
      </c>
      <c r="H3" s="6" t="inlineStr">
        <is>
          <t>A</t>
        </is>
      </c>
      <c r="I3" s="6" t="inlineStr">
        <is>
          <t>C</t>
        </is>
      </c>
      <c r="J3" s="6" t="inlineStr">
        <is>
          <t>D</t>
        </is>
      </c>
      <c r="K3" s="6" t="inlineStr">
        <is>
          <t>D</t>
        </is>
      </c>
      <c r="L3" s="6" t="inlineStr">
        <is>
          <t>A</t>
        </is>
      </c>
      <c r="M3" s="6" t="inlineStr">
        <is>
          <t>B</t>
        </is>
      </c>
      <c r="N3" s="6" t="inlineStr">
        <is>
          <t>C</t>
        </is>
      </c>
      <c r="O3" s="6" t="inlineStr">
        <is>
          <t>A</t>
        </is>
      </c>
      <c r="P3" s="6" t="inlineStr">
        <is>
          <t>A</t>
        </is>
      </c>
      <c r="Q3" s="6" t="inlineStr">
        <is>
          <t>D</t>
        </is>
      </c>
      <c r="R3" s="6" t="inlineStr">
        <is>
          <t>A</t>
        </is>
      </c>
      <c r="S3" s="6" t="inlineStr">
        <is>
          <t>D</t>
        </is>
      </c>
      <c r="T3" s="6" t="inlineStr">
        <is>
          <t>B</t>
        </is>
      </c>
      <c r="U3" s="6" t="inlineStr">
        <is>
          <t>B</t>
        </is>
      </c>
    </row>
    <row r="4">
      <c r="A4" t="inlineStr">
        <is>
          <t>E01</t>
        </is>
      </c>
      <c r="B4" s="6" t="inlineStr">
        <is>
          <t>A</t>
        </is>
      </c>
      <c r="C4" s="6" t="inlineStr">
        <is>
          <t>B</t>
        </is>
      </c>
      <c r="D4" s="6" t="inlineStr">
        <is>
          <t>D</t>
        </is>
      </c>
      <c r="E4" s="6" t="inlineStr">
        <is>
          <t>C</t>
        </is>
      </c>
      <c r="F4" s="6" t="inlineStr">
        <is>
          <t>D</t>
        </is>
      </c>
      <c r="G4" s="6" t="inlineStr">
        <is>
          <t>C</t>
        </is>
      </c>
      <c r="H4" s="6" t="inlineStr">
        <is>
          <t>C</t>
        </is>
      </c>
      <c r="I4" s="6" t="inlineStr">
        <is>
          <t>C</t>
        </is>
      </c>
      <c r="J4" s="6" t="inlineStr">
        <is>
          <t>D</t>
        </is>
      </c>
      <c r="K4" s="6" t="inlineStr">
        <is>
          <t>D</t>
        </is>
      </c>
      <c r="L4" s="6" t="inlineStr">
        <is>
          <t>A</t>
        </is>
      </c>
      <c r="M4" s="6" t="inlineStr">
        <is>
          <t>B</t>
        </is>
      </c>
      <c r="N4" s="6" t="inlineStr">
        <is>
          <t>C</t>
        </is>
      </c>
      <c r="O4" s="6" t="inlineStr">
        <is>
          <t>A</t>
        </is>
      </c>
      <c r="P4" s="6" t="inlineStr">
        <is>
          <t>A</t>
        </is>
      </c>
      <c r="Q4" s="6" t="inlineStr">
        <is>
          <t>D</t>
        </is>
      </c>
      <c r="R4" s="6" t="inlineStr">
        <is>
          <t>A</t>
        </is>
      </c>
      <c r="S4" s="6" t="inlineStr">
        <is>
          <t>B</t>
        </is>
      </c>
      <c r="T4" s="6" t="inlineStr">
        <is>
          <t>B</t>
        </is>
      </c>
      <c r="U4" s="6" t="inlineStr">
        <is>
          <t>B</t>
        </is>
      </c>
    </row>
    <row r="5">
      <c r="A5" t="inlineStr">
        <is>
          <t>E02</t>
        </is>
      </c>
      <c r="B5" s="6" t="inlineStr">
        <is>
          <t>A</t>
        </is>
      </c>
      <c r="C5" s="6" t="inlineStr">
        <is>
          <t>B</t>
        </is>
      </c>
      <c r="D5" s="6" t="inlineStr">
        <is>
          <t>C</t>
        </is>
      </c>
      <c r="E5" s="6" t="inlineStr">
        <is>
          <t>D</t>
        </is>
      </c>
      <c r="F5" s="6" t="inlineStr">
        <is>
          <t>D</t>
        </is>
      </c>
      <c r="G5" s="6" t="inlineStr">
        <is>
          <t>C</t>
        </is>
      </c>
      <c r="H5" s="6" t="inlineStr">
        <is>
          <t>C</t>
        </is>
      </c>
      <c r="I5" s="6" t="inlineStr">
        <is>
          <t>C</t>
        </is>
      </c>
      <c r="J5" s="6" t="inlineStr">
        <is>
          <t>D</t>
        </is>
      </c>
      <c r="K5" s="6" t="inlineStr">
        <is>
          <t>B</t>
        </is>
      </c>
      <c r="L5" s="6" t="inlineStr">
        <is>
          <t>A</t>
        </is>
      </c>
      <c r="M5" s="6" t="inlineStr">
        <is>
          <t>B</t>
        </is>
      </c>
      <c r="N5" s="6" t="inlineStr">
        <is>
          <t>C</t>
        </is>
      </c>
      <c r="O5" s="6" t="inlineStr">
        <is>
          <t>A</t>
        </is>
      </c>
      <c r="P5" s="6" t="inlineStr">
        <is>
          <t>A</t>
        </is>
      </c>
      <c r="Q5" s="6" t="inlineStr">
        <is>
          <t>D</t>
        </is>
      </c>
      <c r="R5" s="6" t="inlineStr">
        <is>
          <t>A</t>
        </is>
      </c>
      <c r="S5" s="6" t="inlineStr">
        <is>
          <t>D</t>
        </is>
      </c>
      <c r="T5" s="6" t="inlineStr">
        <is>
          <t>B</t>
        </is>
      </c>
      <c r="U5" s="6" t="inlineStr">
        <is>
          <t>D</t>
        </is>
      </c>
    </row>
    <row r="6">
      <c r="A6" t="inlineStr">
        <is>
          <t>E03</t>
        </is>
      </c>
      <c r="B6" s="6" t="inlineStr">
        <is>
          <t>A</t>
        </is>
      </c>
      <c r="C6" s="6" t="inlineStr">
        <is>
          <t>B</t>
        </is>
      </c>
      <c r="D6" s="6" t="inlineStr">
        <is>
          <t>D</t>
        </is>
      </c>
      <c r="E6" s="6" t="inlineStr">
        <is>
          <t>C</t>
        </is>
      </c>
      <c r="F6" s="6" t="inlineStr">
        <is>
          <t>D</t>
        </is>
      </c>
      <c r="G6" s="6" t="inlineStr">
        <is>
          <t>B</t>
        </is>
      </c>
      <c r="H6" s="6" t="inlineStr">
        <is>
          <t>A</t>
        </is>
      </c>
      <c r="I6" s="6" t="inlineStr">
        <is>
          <t>C</t>
        </is>
      </c>
      <c r="J6" s="6" t="inlineStr">
        <is>
          <t>D</t>
        </is>
      </c>
      <c r="K6" s="6" t="inlineStr">
        <is>
          <t>D</t>
        </is>
      </c>
      <c r="L6" s="6" t="inlineStr">
        <is>
          <t>B</t>
        </is>
      </c>
      <c r="M6" s="6" t="inlineStr">
        <is>
          <t>B</t>
        </is>
      </c>
      <c r="N6" s="6" t="inlineStr">
        <is>
          <t>C</t>
        </is>
      </c>
      <c r="O6" s="6" t="inlineStr">
        <is>
          <t>A</t>
        </is>
      </c>
      <c r="P6" s="6" t="inlineStr">
        <is>
          <t>A</t>
        </is>
      </c>
      <c r="Q6" s="6" t="inlineStr">
        <is>
          <t>A</t>
        </is>
      </c>
      <c r="R6" s="6" t="inlineStr">
        <is>
          <t>A</t>
        </is>
      </c>
      <c r="S6" s="6" t="inlineStr">
        <is>
          <t>D</t>
        </is>
      </c>
      <c r="T6" s="6" t="inlineStr">
        <is>
          <t>B</t>
        </is>
      </c>
      <c r="U6" s="6" t="inlineStr">
        <is>
          <t>B</t>
        </is>
      </c>
    </row>
    <row r="7">
      <c r="A7" t="inlineStr">
        <is>
          <t>E04</t>
        </is>
      </c>
      <c r="B7" s="6" t="inlineStr">
        <is>
          <t>A</t>
        </is>
      </c>
      <c r="C7" s="6" t="inlineStr">
        <is>
          <t>B</t>
        </is>
      </c>
      <c r="D7" s="6" t="inlineStr">
        <is>
          <t>B</t>
        </is>
      </c>
      <c r="E7" s="6" t="inlineStr">
        <is>
          <t>C</t>
        </is>
      </c>
      <c r="F7" s="6" t="inlineStr">
        <is>
          <t>C</t>
        </is>
      </c>
      <c r="G7" s="6" t="inlineStr">
        <is>
          <t>C</t>
        </is>
      </c>
      <c r="H7" s="6" t="inlineStr">
        <is>
          <t>D</t>
        </is>
      </c>
      <c r="I7" s="6" t="inlineStr">
        <is>
          <t>B</t>
        </is>
      </c>
      <c r="J7" s="6" t="inlineStr">
        <is>
          <t>A</t>
        </is>
      </c>
      <c r="K7" s="6" t="inlineStr">
        <is>
          <t>C</t>
        </is>
      </c>
      <c r="L7" s="6" t="inlineStr">
        <is>
          <t>D</t>
        </is>
      </c>
      <c r="M7" s="6" t="inlineStr">
        <is>
          <t>B</t>
        </is>
      </c>
      <c r="N7" s="6" t="inlineStr">
        <is>
          <t>C</t>
        </is>
      </c>
      <c r="O7" s="6" t="inlineStr">
        <is>
          <t>A</t>
        </is>
      </c>
      <c r="P7" s="6" t="inlineStr">
        <is>
          <t>C</t>
        </is>
      </c>
      <c r="Q7" s="6" t="inlineStr">
        <is>
          <t>B</t>
        </is>
      </c>
      <c r="R7" s="6" t="inlineStr">
        <is>
          <t>B</t>
        </is>
      </c>
      <c r="S7" s="6" t="inlineStr">
        <is>
          <t>A</t>
        </is>
      </c>
      <c r="T7" s="6" t="inlineStr">
        <is>
          <t>B</t>
        </is>
      </c>
      <c r="U7" s="6" t="inlineStr">
        <is>
          <t>B</t>
        </is>
      </c>
    </row>
    <row r="8">
      <c r="A8" t="inlineStr">
        <is>
          <t>E05</t>
        </is>
      </c>
      <c r="B8" s="6" t="inlineStr">
        <is>
          <t>C</t>
        </is>
      </c>
      <c r="C8" s="6" t="inlineStr">
        <is>
          <t>B</t>
        </is>
      </c>
      <c r="D8" s="6" t="inlineStr">
        <is>
          <t>B</t>
        </is>
      </c>
      <c r="E8" s="6" t="inlineStr">
        <is>
          <t>C</t>
        </is>
      </c>
      <c r="F8" s="6" t="inlineStr">
        <is>
          <t>D</t>
        </is>
      </c>
      <c r="G8" s="6" t="inlineStr">
        <is>
          <t>C</t>
        </is>
      </c>
      <c r="H8" s="6" t="inlineStr">
        <is>
          <t>A</t>
        </is>
      </c>
      <c r="I8" s="6" t="inlineStr">
        <is>
          <t>C</t>
        </is>
      </c>
      <c r="J8" s="6" t="inlineStr">
        <is>
          <t>C</t>
        </is>
      </c>
      <c r="K8" s="6" t="inlineStr">
        <is>
          <t>B</t>
        </is>
      </c>
      <c r="L8" s="6" t="inlineStr">
        <is>
          <t>A</t>
        </is>
      </c>
      <c r="M8" s="6" t="inlineStr">
        <is>
          <t>B</t>
        </is>
      </c>
      <c r="N8" s="6" t="inlineStr">
        <is>
          <t>D</t>
        </is>
      </c>
      <c r="O8" s="6" t="inlineStr">
        <is>
          <t>A</t>
        </is>
      </c>
      <c r="P8" s="6" t="inlineStr">
        <is>
          <t>A</t>
        </is>
      </c>
      <c r="Q8" s="6" t="inlineStr">
        <is>
          <t>A</t>
        </is>
      </c>
      <c r="R8" s="6" t="inlineStr">
        <is>
          <t>A</t>
        </is>
      </c>
      <c r="S8" s="6" t="inlineStr">
        <is>
          <t>C</t>
        </is>
      </c>
      <c r="T8" s="6" t="inlineStr">
        <is>
          <t>A</t>
        </is>
      </c>
      <c r="U8" s="6" t="inlineStr">
        <is>
          <t>D</t>
        </is>
      </c>
    </row>
    <row r="9">
      <c r="A9" t="inlineStr">
        <is>
          <t>E06</t>
        </is>
      </c>
      <c r="B9" s="6" t="inlineStr">
        <is>
          <t>A</t>
        </is>
      </c>
      <c r="C9" s="6" t="inlineStr">
        <is>
          <t>B</t>
        </is>
      </c>
      <c r="D9" s="6" t="inlineStr">
        <is>
          <t>B</t>
        </is>
      </c>
      <c r="E9" s="6" t="inlineStr">
        <is>
          <t>D</t>
        </is>
      </c>
      <c r="F9" s="6" t="inlineStr">
        <is>
          <t>D</t>
        </is>
      </c>
      <c r="G9" s="6" t="inlineStr">
        <is>
          <t>C</t>
        </is>
      </c>
      <c r="H9" s="6" t="inlineStr">
        <is>
          <t>C</t>
        </is>
      </c>
      <c r="I9" s="6" t="inlineStr">
        <is>
          <t>C</t>
        </is>
      </c>
      <c r="J9" s="6" t="inlineStr">
        <is>
          <t>D</t>
        </is>
      </c>
      <c r="K9" s="6" t="inlineStr">
        <is>
          <t>D</t>
        </is>
      </c>
      <c r="L9" s="6" t="inlineStr">
        <is>
          <t>B</t>
        </is>
      </c>
      <c r="M9" s="6" t="inlineStr">
        <is>
          <t>B</t>
        </is>
      </c>
      <c r="N9" s="6" t="inlineStr">
        <is>
          <t>D</t>
        </is>
      </c>
      <c r="O9" s="6" t="inlineStr">
        <is>
          <t>A</t>
        </is>
      </c>
      <c r="P9" s="6" t="inlineStr">
        <is>
          <t>A</t>
        </is>
      </c>
      <c r="Q9" s="6" t="inlineStr">
        <is>
          <t>D</t>
        </is>
      </c>
      <c r="R9" s="6" t="inlineStr">
        <is>
          <t>A</t>
        </is>
      </c>
      <c r="S9" s="6" t="inlineStr">
        <is>
          <t>D</t>
        </is>
      </c>
      <c r="T9" s="6" t="inlineStr">
        <is>
          <t>D</t>
        </is>
      </c>
      <c r="U9" s="6" t="inlineStr">
        <is>
          <t>B</t>
        </is>
      </c>
    </row>
    <row r="10">
      <c r="A10" t="inlineStr">
        <is>
          <t>E07</t>
        </is>
      </c>
      <c r="B10" s="6" t="inlineStr">
        <is>
          <t>A</t>
        </is>
      </c>
      <c r="C10" s="6" t="inlineStr">
        <is>
          <t>B</t>
        </is>
      </c>
      <c r="D10" s="6" t="inlineStr">
        <is>
          <t>A</t>
        </is>
      </c>
      <c r="E10" s="6" t="inlineStr">
        <is>
          <t>C</t>
        </is>
      </c>
      <c r="F10" s="6" t="inlineStr">
        <is>
          <t>D</t>
        </is>
      </c>
      <c r="G10" s="6" t="inlineStr">
        <is>
          <t>A</t>
        </is>
      </c>
      <c r="H10" s="6" t="inlineStr">
        <is>
          <t>C</t>
        </is>
      </c>
      <c r="I10" s="6" t="inlineStr">
        <is>
          <t>A</t>
        </is>
      </c>
      <c r="J10" s="6" t="inlineStr">
        <is>
          <t>C</t>
        </is>
      </c>
      <c r="K10" s="6" t="inlineStr">
        <is>
          <t>C</t>
        </is>
      </c>
      <c r="L10" s="6" t="inlineStr">
        <is>
          <t>B</t>
        </is>
      </c>
      <c r="M10" s="6" t="inlineStr">
        <is>
          <t>B</t>
        </is>
      </c>
      <c r="N10" s="6" t="inlineStr">
        <is>
          <t>B</t>
        </is>
      </c>
      <c r="O10" s="6" t="inlineStr">
        <is>
          <t>A</t>
        </is>
      </c>
      <c r="P10" s="6" t="inlineStr">
        <is>
          <t>C</t>
        </is>
      </c>
      <c r="Q10" s="6" t="inlineStr">
        <is>
          <t>A</t>
        </is>
      </c>
      <c r="R10" s="6" t="inlineStr">
        <is>
          <t>A</t>
        </is>
      </c>
      <c r="S10" s="6" t="inlineStr">
        <is>
          <t>A</t>
        </is>
      </c>
      <c r="T10" s="6" t="inlineStr">
        <is>
          <t>D</t>
        </is>
      </c>
      <c r="U10" s="6" t="inlineStr">
        <is>
          <t>C</t>
        </is>
      </c>
    </row>
    <row r="11">
      <c r="A11" t="inlineStr">
        <is>
          <t>E08</t>
        </is>
      </c>
      <c r="B11" s="6" t="inlineStr">
        <is>
          <t>A</t>
        </is>
      </c>
      <c r="C11" s="6" t="inlineStr">
        <is>
          <t>B</t>
        </is>
      </c>
      <c r="D11" s="6" t="inlineStr">
        <is>
          <t>C</t>
        </is>
      </c>
      <c r="E11" s="6" t="inlineStr">
        <is>
          <t>C</t>
        </is>
      </c>
      <c r="F11" s="6" t="inlineStr">
        <is>
          <t>A</t>
        </is>
      </c>
      <c r="G11" s="6" t="inlineStr">
        <is>
          <t>C</t>
        </is>
      </c>
      <c r="H11" s="6" t="inlineStr">
        <is>
          <t>C</t>
        </is>
      </c>
      <c r="I11" s="6" t="inlineStr">
        <is>
          <t>B</t>
        </is>
      </c>
      <c r="J11" s="6" t="inlineStr">
        <is>
          <t>D</t>
        </is>
      </c>
      <c r="K11" s="6" t="inlineStr">
        <is>
          <t>D</t>
        </is>
      </c>
      <c r="L11" s="6" t="inlineStr">
        <is>
          <t>A</t>
        </is>
      </c>
      <c r="M11" s="6" t="inlineStr">
        <is>
          <t>B</t>
        </is>
      </c>
      <c r="N11" s="6" t="inlineStr">
        <is>
          <t>C</t>
        </is>
      </c>
      <c r="O11" s="6" t="inlineStr">
        <is>
          <t>A</t>
        </is>
      </c>
      <c r="P11" s="6" t="inlineStr">
        <is>
          <t>A</t>
        </is>
      </c>
      <c r="Q11" s="6" t="inlineStr">
        <is>
          <t>D</t>
        </is>
      </c>
      <c r="R11" s="6" t="inlineStr">
        <is>
          <t>A</t>
        </is>
      </c>
      <c r="S11" s="6" t="inlineStr">
        <is>
          <t>A</t>
        </is>
      </c>
      <c r="T11" s="6" t="inlineStr">
        <is>
          <t>A</t>
        </is>
      </c>
      <c r="U11" s="6" t="inlineStr">
        <is>
          <t>B</t>
        </is>
      </c>
    </row>
    <row r="12">
      <c r="A12" t="inlineStr">
        <is>
          <t>E09</t>
        </is>
      </c>
      <c r="B12" s="6" t="inlineStr">
        <is>
          <t>A</t>
        </is>
      </c>
      <c r="C12" s="6" t="inlineStr">
        <is>
          <t>A</t>
        </is>
      </c>
      <c r="D12" s="6" t="inlineStr">
        <is>
          <t>B</t>
        </is>
      </c>
      <c r="E12" s="6" t="inlineStr">
        <is>
          <t>C</t>
        </is>
      </c>
      <c r="F12" s="6" t="inlineStr">
        <is>
          <t>B</t>
        </is>
      </c>
      <c r="G12" s="6" t="inlineStr">
        <is>
          <t>C</t>
        </is>
      </c>
      <c r="H12" s="6" t="inlineStr">
        <is>
          <t>B</t>
        </is>
      </c>
      <c r="I12" s="6" t="inlineStr">
        <is>
          <t>C</t>
        </is>
      </c>
      <c r="J12" s="6" t="inlineStr">
        <is>
          <t>D</t>
        </is>
      </c>
      <c r="K12" s="6" t="inlineStr">
        <is>
          <t>C</t>
        </is>
      </c>
      <c r="L12" s="6" t="inlineStr">
        <is>
          <t>C</t>
        </is>
      </c>
      <c r="M12" s="6" t="inlineStr">
        <is>
          <t>B</t>
        </is>
      </c>
      <c r="N12" s="6" t="inlineStr">
        <is>
          <t>B</t>
        </is>
      </c>
      <c r="O12" s="6" t="inlineStr">
        <is>
          <t>A</t>
        </is>
      </c>
      <c r="P12" s="6" t="inlineStr">
        <is>
          <t>A</t>
        </is>
      </c>
      <c r="Q12" s="6" t="inlineStr">
        <is>
          <t>D</t>
        </is>
      </c>
      <c r="R12" s="6" t="inlineStr">
        <is>
          <t>A</t>
        </is>
      </c>
      <c r="S12" s="6" t="inlineStr">
        <is>
          <t>A</t>
        </is>
      </c>
      <c r="T12" s="6" t="inlineStr">
        <is>
          <t>D</t>
        </is>
      </c>
      <c r="U12" s="6" t="inlineStr">
        <is>
          <t>A</t>
        </is>
      </c>
    </row>
    <row r="13">
      <c r="A13" t="inlineStr">
        <is>
          <t>E10</t>
        </is>
      </c>
      <c r="B13" s="6" t="inlineStr">
        <is>
          <t>A</t>
        </is>
      </c>
      <c r="C13" s="6" t="inlineStr">
        <is>
          <t>B</t>
        </is>
      </c>
      <c r="D13" s="6" t="inlineStr">
        <is>
          <t>B</t>
        </is>
      </c>
      <c r="E13" s="6" t="inlineStr">
        <is>
          <t>C</t>
        </is>
      </c>
      <c r="F13" s="6" t="inlineStr">
        <is>
          <t>D</t>
        </is>
      </c>
      <c r="G13" s="6" t="inlineStr">
        <is>
          <t>A</t>
        </is>
      </c>
      <c r="H13" s="6" t="inlineStr">
        <is>
          <t>B</t>
        </is>
      </c>
      <c r="I13" s="6" t="inlineStr">
        <is>
          <t>A</t>
        </is>
      </c>
      <c r="J13" s="6" t="inlineStr">
        <is>
          <t>A</t>
        </is>
      </c>
      <c r="K13" s="6" t="inlineStr">
        <is>
          <t>A</t>
        </is>
      </c>
      <c r="L13" s="6" t="inlineStr">
        <is>
          <t>D</t>
        </is>
      </c>
      <c r="M13" s="6" t="inlineStr">
        <is>
          <t>B</t>
        </is>
      </c>
      <c r="N13" s="6" t="inlineStr">
        <is>
          <t>B</t>
        </is>
      </c>
      <c r="O13" s="6" t="inlineStr">
        <is>
          <t>A</t>
        </is>
      </c>
      <c r="P13" s="6" t="inlineStr">
        <is>
          <t>C</t>
        </is>
      </c>
      <c r="Q13" s="6" t="inlineStr">
        <is>
          <t>A</t>
        </is>
      </c>
      <c r="R13" s="6" t="inlineStr">
        <is>
          <t>D</t>
        </is>
      </c>
      <c r="S13" s="6" t="inlineStr">
        <is>
          <t>B</t>
        </is>
      </c>
      <c r="T13" s="6" t="inlineStr">
        <is>
          <t>B</t>
        </is>
      </c>
      <c r="U13" s="6" t="inlineStr">
        <is>
          <t>C</t>
        </is>
      </c>
    </row>
    <row r="14">
      <c r="A14" t="inlineStr">
        <is>
          <t>E11</t>
        </is>
      </c>
      <c r="B14" s="6" t="inlineStr">
        <is>
          <t>A</t>
        </is>
      </c>
      <c r="C14" s="6" t="inlineStr">
        <is>
          <t>B</t>
        </is>
      </c>
      <c r="D14" s="6" t="inlineStr">
        <is>
          <t>A</t>
        </is>
      </c>
      <c r="E14" s="6" t="inlineStr">
        <is>
          <t>B</t>
        </is>
      </c>
      <c r="F14" s="6" t="inlineStr">
        <is>
          <t>C</t>
        </is>
      </c>
      <c r="G14" s="6" t="inlineStr">
        <is>
          <t>D</t>
        </is>
      </c>
      <c r="H14" s="6" t="inlineStr">
        <is>
          <t>D</t>
        </is>
      </c>
      <c r="I14" s="6" t="inlineStr">
        <is>
          <t>C</t>
        </is>
      </c>
      <c r="J14" s="6" t="inlineStr">
        <is>
          <t>B</t>
        </is>
      </c>
      <c r="K14" s="6" t="inlineStr">
        <is>
          <t>D</t>
        </is>
      </c>
      <c r="L14" s="6" t="inlineStr">
        <is>
          <t>C</t>
        </is>
      </c>
      <c r="M14" s="6" t="inlineStr">
        <is>
          <t>B</t>
        </is>
      </c>
      <c r="N14" s="6" t="inlineStr">
        <is>
          <t>D</t>
        </is>
      </c>
      <c r="O14" s="6" t="inlineStr">
        <is>
          <t>A</t>
        </is>
      </c>
      <c r="P14" s="6" t="inlineStr">
        <is>
          <t>A</t>
        </is>
      </c>
      <c r="Q14" s="6" t="inlineStr">
        <is>
          <t>B</t>
        </is>
      </c>
      <c r="R14" s="6" t="inlineStr">
        <is>
          <t>D</t>
        </is>
      </c>
      <c r="S14" s="6" t="inlineStr">
        <is>
          <t>D</t>
        </is>
      </c>
      <c r="T14" s="6" t="inlineStr">
        <is>
          <t>C</t>
        </is>
      </c>
      <c r="U14" s="6" t="inlineStr">
        <is>
          <t>D</t>
        </is>
      </c>
    </row>
    <row r="15">
      <c r="A15" t="inlineStr">
        <is>
          <t>E12</t>
        </is>
      </c>
      <c r="B15" s="6" t="inlineStr">
        <is>
          <t>A</t>
        </is>
      </c>
      <c r="C15" s="6" t="inlineStr">
        <is>
          <t>C</t>
        </is>
      </c>
      <c r="D15" s="6" t="inlineStr">
        <is>
          <t>A</t>
        </is>
      </c>
      <c r="E15" s="6" t="inlineStr">
        <is>
          <t>D</t>
        </is>
      </c>
      <c r="F15" s="6" t="inlineStr">
        <is>
          <t>D</t>
        </is>
      </c>
      <c r="G15" s="6" t="inlineStr">
        <is>
          <t>D</t>
        </is>
      </c>
      <c r="H15" s="6" t="inlineStr">
        <is>
          <t>D</t>
        </is>
      </c>
      <c r="I15" s="6" t="inlineStr">
        <is>
          <t>C</t>
        </is>
      </c>
      <c r="J15" s="6" t="inlineStr">
        <is>
          <t>D</t>
        </is>
      </c>
      <c r="K15" s="6" t="inlineStr">
        <is>
          <t>C</t>
        </is>
      </c>
      <c r="L15" s="6" t="inlineStr">
        <is>
          <t>A</t>
        </is>
      </c>
      <c r="M15" s="6" t="inlineStr">
        <is>
          <t>A</t>
        </is>
      </c>
      <c r="N15" s="6" t="inlineStr">
        <is>
          <t>D</t>
        </is>
      </c>
      <c r="O15" s="6" t="inlineStr">
        <is>
          <t>A</t>
        </is>
      </c>
      <c r="P15" s="6" t="inlineStr">
        <is>
          <t>A</t>
        </is>
      </c>
      <c r="Q15" s="6" t="inlineStr">
        <is>
          <t>B</t>
        </is>
      </c>
      <c r="R15" s="6" t="inlineStr">
        <is>
          <t>A</t>
        </is>
      </c>
      <c r="S15" s="6" t="inlineStr">
        <is>
          <t>C</t>
        </is>
      </c>
      <c r="T15" s="6" t="inlineStr">
        <is>
          <t>B</t>
        </is>
      </c>
      <c r="U15" s="6" t="inlineStr">
        <is>
          <t>A</t>
        </is>
      </c>
    </row>
    <row r="16">
      <c r="A16" t="inlineStr">
        <is>
          <t>E13</t>
        </is>
      </c>
      <c r="B16" s="6" t="inlineStr">
        <is>
          <t>A</t>
        </is>
      </c>
      <c r="C16" s="6" t="inlineStr">
        <is>
          <t>B</t>
        </is>
      </c>
      <c r="D16" s="6" t="inlineStr">
        <is>
          <t>A</t>
        </is>
      </c>
      <c r="E16" s="6" t="inlineStr">
        <is>
          <t>C</t>
        </is>
      </c>
      <c r="F16" s="6" t="inlineStr">
        <is>
          <t>D</t>
        </is>
      </c>
      <c r="G16" s="6" t="inlineStr">
        <is>
          <t>C</t>
        </is>
      </c>
      <c r="H16" s="6" t="inlineStr">
        <is>
          <t>C</t>
        </is>
      </c>
      <c r="I16" s="6" t="inlineStr">
        <is>
          <t>B</t>
        </is>
      </c>
      <c r="J16" s="6" t="inlineStr">
        <is>
          <t>C</t>
        </is>
      </c>
      <c r="K16" s="6" t="inlineStr">
        <is>
          <t>B</t>
        </is>
      </c>
      <c r="L16" s="6" t="inlineStr">
        <is>
          <t>D</t>
        </is>
      </c>
      <c r="M16" s="6" t="inlineStr">
        <is>
          <t>B</t>
        </is>
      </c>
      <c r="N16" s="6" t="inlineStr">
        <is>
          <t>B</t>
        </is>
      </c>
      <c r="O16" s="6" t="inlineStr">
        <is>
          <t>A</t>
        </is>
      </c>
      <c r="P16" s="6" t="inlineStr">
        <is>
          <t>D</t>
        </is>
      </c>
      <c r="Q16" s="6" t="inlineStr">
        <is>
          <t>B</t>
        </is>
      </c>
      <c r="R16" s="6" t="inlineStr">
        <is>
          <t>A</t>
        </is>
      </c>
      <c r="S16" s="6" t="inlineStr">
        <is>
          <t>A</t>
        </is>
      </c>
      <c r="T16" s="6" t="inlineStr">
        <is>
          <t>B</t>
        </is>
      </c>
      <c r="U16" s="6" t="inlineStr">
        <is>
          <t>B</t>
        </is>
      </c>
    </row>
    <row r="17">
      <c r="A17" t="inlineStr">
        <is>
          <t>E14</t>
        </is>
      </c>
      <c r="B17" s="6" t="inlineStr">
        <is>
          <t>A</t>
        </is>
      </c>
      <c r="C17" s="6" t="inlineStr">
        <is>
          <t>B</t>
        </is>
      </c>
      <c r="D17" s="6" t="inlineStr">
        <is>
          <t>A</t>
        </is>
      </c>
      <c r="E17" s="6" t="inlineStr">
        <is>
          <t>A</t>
        </is>
      </c>
      <c r="F17" s="6" t="inlineStr">
        <is>
          <t>D</t>
        </is>
      </c>
      <c r="G17" s="6" t="inlineStr">
        <is>
          <t>D</t>
        </is>
      </c>
      <c r="H17" s="6" t="inlineStr">
        <is>
          <t>B</t>
        </is>
      </c>
      <c r="I17" s="6" t="inlineStr">
        <is>
          <t>A</t>
        </is>
      </c>
      <c r="J17" s="6" t="inlineStr">
        <is>
          <t>A</t>
        </is>
      </c>
      <c r="K17" s="6" t="inlineStr">
        <is>
          <t>C</t>
        </is>
      </c>
      <c r="L17" s="6" t="inlineStr">
        <is>
          <t>A</t>
        </is>
      </c>
      <c r="M17" s="6" t="inlineStr">
        <is>
          <t>B</t>
        </is>
      </c>
      <c r="N17" s="6" t="inlineStr">
        <is>
          <t>C</t>
        </is>
      </c>
      <c r="O17" s="6" t="inlineStr">
        <is>
          <t>A</t>
        </is>
      </c>
      <c r="P17" s="6" t="inlineStr">
        <is>
          <t>D</t>
        </is>
      </c>
      <c r="Q17" s="6" t="inlineStr">
        <is>
          <t>B</t>
        </is>
      </c>
      <c r="R17" s="6" t="inlineStr">
        <is>
          <t>A</t>
        </is>
      </c>
      <c r="S17" s="6" t="inlineStr">
        <is>
          <t>A</t>
        </is>
      </c>
      <c r="T17" s="6" t="inlineStr">
        <is>
          <t>B</t>
        </is>
      </c>
      <c r="U17" s="6" t="inlineStr">
        <is>
          <t>A</t>
        </is>
      </c>
    </row>
    <row r="18">
      <c r="A18" t="inlineStr">
        <is>
          <t>E15</t>
        </is>
      </c>
      <c r="B18" s="6" t="inlineStr">
        <is>
          <t>C</t>
        </is>
      </c>
      <c r="C18" s="6" t="inlineStr">
        <is>
          <t>B</t>
        </is>
      </c>
      <c r="D18" s="6" t="inlineStr">
        <is>
          <t>D</t>
        </is>
      </c>
      <c r="E18" s="6" t="inlineStr">
        <is>
          <t>D</t>
        </is>
      </c>
      <c r="F18" s="6" t="inlineStr">
        <is>
          <t>A</t>
        </is>
      </c>
      <c r="G18" s="6" t="inlineStr">
        <is>
          <t>C</t>
        </is>
      </c>
      <c r="H18" s="6" t="inlineStr">
        <is>
          <t>C</t>
        </is>
      </c>
      <c r="I18" s="6" t="inlineStr">
        <is>
          <t>B</t>
        </is>
      </c>
      <c r="J18" s="6" t="inlineStr">
        <is>
          <t>D</t>
        </is>
      </c>
      <c r="K18" s="6" t="inlineStr">
        <is>
          <t>D</t>
        </is>
      </c>
      <c r="L18" s="6" t="inlineStr">
        <is>
          <t>D</t>
        </is>
      </c>
      <c r="M18" s="6" t="inlineStr">
        <is>
          <t>B</t>
        </is>
      </c>
      <c r="N18" s="6" t="inlineStr">
        <is>
          <t>C</t>
        </is>
      </c>
      <c r="O18" s="6" t="inlineStr">
        <is>
          <t>A</t>
        </is>
      </c>
      <c r="P18" s="6" t="inlineStr">
        <is>
          <t>A</t>
        </is>
      </c>
      <c r="Q18" s="6" t="inlineStr">
        <is>
          <t>D</t>
        </is>
      </c>
      <c r="R18" s="6" t="inlineStr">
        <is>
          <t>A</t>
        </is>
      </c>
      <c r="S18" s="6" t="inlineStr">
        <is>
          <t>A</t>
        </is>
      </c>
      <c r="T18" s="6" t="inlineStr">
        <is>
          <t>D</t>
        </is>
      </c>
      <c r="U18" s="6" t="inlineStr">
        <is>
          <t>B</t>
        </is>
      </c>
    </row>
    <row r="19">
      <c r="A19" t="inlineStr">
        <is>
          <t>E16</t>
        </is>
      </c>
      <c r="B19" s="6" t="inlineStr">
        <is>
          <t>A</t>
        </is>
      </c>
      <c r="C19" s="6" t="inlineStr">
        <is>
          <t>B</t>
        </is>
      </c>
      <c r="D19" s="6" t="inlineStr">
        <is>
          <t>D</t>
        </is>
      </c>
      <c r="E19" s="6" t="inlineStr">
        <is>
          <t>C</t>
        </is>
      </c>
      <c r="F19" s="6" t="inlineStr">
        <is>
          <t>D</t>
        </is>
      </c>
      <c r="G19" s="6" t="inlineStr">
        <is>
          <t>C</t>
        </is>
      </c>
      <c r="H19" s="6" t="inlineStr">
        <is>
          <t>C</t>
        </is>
      </c>
      <c r="I19" s="6" t="inlineStr">
        <is>
          <t>C</t>
        </is>
      </c>
      <c r="J19" s="6" t="inlineStr">
        <is>
          <t>D</t>
        </is>
      </c>
      <c r="K19" s="6" t="inlineStr">
        <is>
          <t>B</t>
        </is>
      </c>
      <c r="L19" s="6" t="inlineStr">
        <is>
          <t>C</t>
        </is>
      </c>
      <c r="M19" s="6" t="inlineStr">
        <is>
          <t>B</t>
        </is>
      </c>
      <c r="N19" s="6" t="inlineStr">
        <is>
          <t>C</t>
        </is>
      </c>
      <c r="O19" s="6" t="inlineStr">
        <is>
          <t>A</t>
        </is>
      </c>
      <c r="P19" s="6" t="inlineStr">
        <is>
          <t>A</t>
        </is>
      </c>
      <c r="Q19" s="6" t="inlineStr">
        <is>
          <t>D</t>
        </is>
      </c>
      <c r="R19" s="6" t="inlineStr">
        <is>
          <t>A</t>
        </is>
      </c>
      <c r="S19" s="6" t="inlineStr">
        <is>
          <t>D</t>
        </is>
      </c>
      <c r="T19" s="6" t="inlineStr">
        <is>
          <t>B</t>
        </is>
      </c>
      <c r="U19" s="6" t="inlineStr">
        <is>
          <t>B</t>
        </is>
      </c>
    </row>
    <row r="20">
      <c r="A20" t="inlineStr">
        <is>
          <t>E17</t>
        </is>
      </c>
      <c r="B20" s="6" t="inlineStr">
        <is>
          <t>A</t>
        </is>
      </c>
      <c r="C20" s="6" t="inlineStr">
        <is>
          <t>B</t>
        </is>
      </c>
      <c r="D20" s="6" t="inlineStr">
        <is>
          <t>D</t>
        </is>
      </c>
      <c r="E20" s="6" t="inlineStr">
        <is>
          <t>C</t>
        </is>
      </c>
      <c r="F20" s="6" t="inlineStr">
        <is>
          <t>A</t>
        </is>
      </c>
      <c r="G20" s="6" t="inlineStr">
        <is>
          <t>C</t>
        </is>
      </c>
      <c r="H20" s="6" t="inlineStr">
        <is>
          <t>C</t>
        </is>
      </c>
      <c r="I20" s="6" t="inlineStr">
        <is>
          <t>C</t>
        </is>
      </c>
      <c r="J20" s="6" t="inlineStr">
        <is>
          <t>D</t>
        </is>
      </c>
      <c r="K20" s="6" t="inlineStr">
        <is>
          <t>D</t>
        </is>
      </c>
      <c r="L20" s="6" t="inlineStr">
        <is>
          <t>B</t>
        </is>
      </c>
      <c r="M20" s="6" t="inlineStr">
        <is>
          <t>B</t>
        </is>
      </c>
      <c r="N20" s="6" t="inlineStr">
        <is>
          <t>C</t>
        </is>
      </c>
      <c r="O20" s="6" t="inlineStr">
        <is>
          <t>A</t>
        </is>
      </c>
      <c r="P20" s="6" t="inlineStr">
        <is>
          <t>A</t>
        </is>
      </c>
      <c r="Q20" s="6" t="inlineStr">
        <is>
          <t>D</t>
        </is>
      </c>
      <c r="R20" s="6" t="inlineStr">
        <is>
          <t>A</t>
        </is>
      </c>
      <c r="S20" s="6" t="inlineStr">
        <is>
          <t>D</t>
        </is>
      </c>
      <c r="T20" s="6" t="inlineStr">
        <is>
          <t>C</t>
        </is>
      </c>
      <c r="U20" s="6" t="inlineStr">
        <is>
          <t>B</t>
        </is>
      </c>
    </row>
    <row r="21">
      <c r="A21" t="inlineStr">
        <is>
          <t>E18</t>
        </is>
      </c>
      <c r="B21" s="6" t="inlineStr">
        <is>
          <t>A</t>
        </is>
      </c>
      <c r="C21" s="6" t="inlineStr">
        <is>
          <t>B</t>
        </is>
      </c>
      <c r="D21" s="6" t="inlineStr">
        <is>
          <t>D</t>
        </is>
      </c>
      <c r="E21" s="6" t="inlineStr">
        <is>
          <t>B</t>
        </is>
      </c>
      <c r="F21" s="6" t="inlineStr">
        <is>
          <t>B</t>
        </is>
      </c>
      <c r="G21" s="6" t="inlineStr">
        <is>
          <t>D</t>
        </is>
      </c>
      <c r="H21" s="6" t="inlineStr">
        <is>
          <t>B</t>
        </is>
      </c>
      <c r="I21" s="6" t="inlineStr">
        <is>
          <t>D</t>
        </is>
      </c>
      <c r="J21" s="6" t="inlineStr">
        <is>
          <t>D</t>
        </is>
      </c>
      <c r="K21" s="6" t="inlineStr">
        <is>
          <t>C</t>
        </is>
      </c>
      <c r="L21" s="6" t="inlineStr">
        <is>
          <t>A</t>
        </is>
      </c>
      <c r="M21" s="6" t="inlineStr">
        <is>
          <t>B</t>
        </is>
      </c>
      <c r="N21" s="6" t="inlineStr">
        <is>
          <t>C</t>
        </is>
      </c>
      <c r="O21" s="6" t="inlineStr">
        <is>
          <t>A</t>
        </is>
      </c>
      <c r="P21" s="6" t="inlineStr">
        <is>
          <t>D</t>
        </is>
      </c>
      <c r="Q21" s="6" t="inlineStr">
        <is>
          <t>A</t>
        </is>
      </c>
      <c r="R21" s="6" t="inlineStr">
        <is>
          <t>A</t>
        </is>
      </c>
      <c r="S21" s="6" t="inlineStr">
        <is>
          <t>B</t>
        </is>
      </c>
      <c r="T21" s="6" t="inlineStr">
        <is>
          <t>A</t>
        </is>
      </c>
      <c r="U21" s="6" t="inlineStr">
        <is>
          <t>B</t>
        </is>
      </c>
    </row>
    <row r="22">
      <c r="A22" t="inlineStr">
        <is>
          <t>E19</t>
        </is>
      </c>
      <c r="B22" s="6" t="inlineStr">
        <is>
          <t>D</t>
        </is>
      </c>
      <c r="C22" s="6" t="inlineStr">
        <is>
          <t>B</t>
        </is>
      </c>
      <c r="D22" s="6" t="inlineStr">
        <is>
          <t>A</t>
        </is>
      </c>
      <c r="E22" s="6" t="inlineStr">
        <is>
          <t>C</t>
        </is>
      </c>
      <c r="F22" s="6" t="inlineStr">
        <is>
          <t>D</t>
        </is>
      </c>
      <c r="G22" s="6" t="inlineStr">
        <is>
          <t>C</t>
        </is>
      </c>
      <c r="H22" s="6" t="inlineStr">
        <is>
          <t>D</t>
        </is>
      </c>
      <c r="I22" s="6" t="inlineStr">
        <is>
          <t>D</t>
        </is>
      </c>
      <c r="J22" s="6" t="inlineStr">
        <is>
          <t>D</t>
        </is>
      </c>
      <c r="K22" s="6" t="inlineStr">
        <is>
          <t>A</t>
        </is>
      </c>
      <c r="L22" s="6" t="inlineStr">
        <is>
          <t>C</t>
        </is>
      </c>
      <c r="M22" s="6" t="inlineStr">
        <is>
          <t>A</t>
        </is>
      </c>
      <c r="N22" s="6" t="inlineStr">
        <is>
          <t>D</t>
        </is>
      </c>
      <c r="O22" s="6" t="inlineStr">
        <is>
          <t>A</t>
        </is>
      </c>
      <c r="P22" s="6" t="inlineStr">
        <is>
          <t>A</t>
        </is>
      </c>
      <c r="Q22" s="6" t="inlineStr">
        <is>
          <t>B</t>
        </is>
      </c>
      <c r="R22" s="6" t="inlineStr">
        <is>
          <t>A</t>
        </is>
      </c>
      <c r="S22" s="6" t="inlineStr">
        <is>
          <t>D</t>
        </is>
      </c>
      <c r="T22" s="6" t="inlineStr">
        <is>
          <t>C</t>
        </is>
      </c>
      <c r="U22" s="6" t="inlineStr">
        <is>
          <t>B</t>
        </is>
      </c>
    </row>
    <row r="23">
      <c r="A23" t="inlineStr">
        <is>
          <t>E20</t>
        </is>
      </c>
      <c r="B23" s="6" t="inlineStr">
        <is>
          <t>A</t>
        </is>
      </c>
      <c r="C23" s="6" t="inlineStr">
        <is>
          <t>B</t>
        </is>
      </c>
      <c r="D23" s="6" t="inlineStr">
        <is>
          <t>C</t>
        </is>
      </c>
      <c r="E23" s="6" t="inlineStr">
        <is>
          <t>C</t>
        </is>
      </c>
      <c r="F23" s="6" t="inlineStr">
        <is>
          <t>D</t>
        </is>
      </c>
      <c r="G23" s="6" t="inlineStr">
        <is>
          <t>C</t>
        </is>
      </c>
      <c r="H23" s="6" t="inlineStr">
        <is>
          <t>C</t>
        </is>
      </c>
      <c r="I23" s="6" t="inlineStr">
        <is>
          <t>C</t>
        </is>
      </c>
      <c r="J23" s="6" t="inlineStr">
        <is>
          <t>D</t>
        </is>
      </c>
      <c r="K23" s="6" t="inlineStr">
        <is>
          <t>D</t>
        </is>
      </c>
      <c r="L23" s="6" t="inlineStr">
        <is>
          <t>B</t>
        </is>
      </c>
      <c r="M23" s="6" t="inlineStr">
        <is>
          <t>B</t>
        </is>
      </c>
      <c r="N23" s="6" t="inlineStr">
        <is>
          <t>D</t>
        </is>
      </c>
      <c r="O23" s="6" t="inlineStr">
        <is>
          <t>A</t>
        </is>
      </c>
      <c r="P23" s="6" t="inlineStr">
        <is>
          <t>A</t>
        </is>
      </c>
      <c r="Q23" s="6" t="inlineStr">
        <is>
          <t>D</t>
        </is>
      </c>
      <c r="R23" s="6" t="inlineStr">
        <is>
          <t>A</t>
        </is>
      </c>
      <c r="S23" s="6" t="inlineStr">
        <is>
          <t>B</t>
        </is>
      </c>
      <c r="T23" s="6" t="inlineStr">
        <is>
          <t>B</t>
        </is>
      </c>
      <c r="U23" s="6" t="inlineStr">
        <is>
          <t>B</t>
        </is>
      </c>
    </row>
    <row r="24">
      <c r="A24" t="inlineStr">
        <is>
          <t>E21</t>
        </is>
      </c>
      <c r="B24" s="6" t="inlineStr">
        <is>
          <t>A</t>
        </is>
      </c>
      <c r="C24" s="6" t="inlineStr">
        <is>
          <t>B</t>
        </is>
      </c>
      <c r="D24" s="6" t="inlineStr">
        <is>
          <t>B</t>
        </is>
      </c>
      <c r="E24" s="6" t="inlineStr">
        <is>
          <t>D</t>
        </is>
      </c>
      <c r="F24" s="6" t="inlineStr">
        <is>
          <t>D</t>
        </is>
      </c>
      <c r="G24" s="6" t="inlineStr">
        <is>
          <t>C</t>
        </is>
      </c>
      <c r="H24" s="6" t="inlineStr">
        <is>
          <t>D</t>
        </is>
      </c>
      <c r="I24" s="6" t="inlineStr">
        <is>
          <t>C</t>
        </is>
      </c>
      <c r="J24" s="6" t="inlineStr">
        <is>
          <t>D</t>
        </is>
      </c>
      <c r="K24" s="6" t="inlineStr">
        <is>
          <t>B</t>
        </is>
      </c>
      <c r="L24" s="6" t="inlineStr">
        <is>
          <t>C</t>
        </is>
      </c>
      <c r="M24" s="6" t="inlineStr">
        <is>
          <t>B</t>
        </is>
      </c>
      <c r="N24" s="6" t="inlineStr">
        <is>
          <t>C</t>
        </is>
      </c>
      <c r="O24" s="6" t="inlineStr">
        <is>
          <t>A</t>
        </is>
      </c>
      <c r="P24" s="6" t="inlineStr">
        <is>
          <t>A</t>
        </is>
      </c>
      <c r="Q24" s="6" t="inlineStr">
        <is>
          <t>B</t>
        </is>
      </c>
      <c r="R24" s="6" t="inlineStr">
        <is>
          <t>A</t>
        </is>
      </c>
      <c r="S24" s="6" t="inlineStr">
        <is>
          <t>D</t>
        </is>
      </c>
      <c r="T24" s="6" t="inlineStr">
        <is>
          <t>C</t>
        </is>
      </c>
      <c r="U24" s="6" t="inlineStr">
        <is>
          <t>B</t>
        </is>
      </c>
    </row>
    <row r="25">
      <c r="A25" t="inlineStr">
        <is>
          <t>E22</t>
        </is>
      </c>
      <c r="B25" s="6" t="inlineStr">
        <is>
          <t>B</t>
        </is>
      </c>
      <c r="C25" s="6" t="inlineStr">
        <is>
          <t>C</t>
        </is>
      </c>
      <c r="D25" s="6" t="inlineStr">
        <is>
          <t>B</t>
        </is>
      </c>
      <c r="E25" s="6" t="inlineStr">
        <is>
          <t>B</t>
        </is>
      </c>
      <c r="F25" s="6" t="inlineStr">
        <is>
          <t>D</t>
        </is>
      </c>
      <c r="G25" s="6" t="inlineStr">
        <is>
          <t>D</t>
        </is>
      </c>
      <c r="H25" s="6" t="inlineStr">
        <is>
          <t>B</t>
        </is>
      </c>
      <c r="I25" s="6" t="inlineStr">
        <is>
          <t>C</t>
        </is>
      </c>
      <c r="J25" s="6" t="inlineStr">
        <is>
          <t>C</t>
        </is>
      </c>
      <c r="K25" s="6" t="inlineStr">
        <is>
          <t>C</t>
        </is>
      </c>
      <c r="L25" s="6" t="inlineStr">
        <is>
          <t>B</t>
        </is>
      </c>
      <c r="M25" s="6" t="inlineStr">
        <is>
          <t>A</t>
        </is>
      </c>
      <c r="N25" s="6" t="inlineStr">
        <is>
          <t>A</t>
        </is>
      </c>
      <c r="O25" s="6" t="inlineStr">
        <is>
          <t>A</t>
        </is>
      </c>
      <c r="P25" s="6" t="inlineStr">
        <is>
          <t>A</t>
        </is>
      </c>
      <c r="Q25" s="6" t="inlineStr">
        <is>
          <t>B</t>
        </is>
      </c>
      <c r="R25" s="6" t="inlineStr">
        <is>
          <t>A</t>
        </is>
      </c>
      <c r="S25" s="6" t="inlineStr">
        <is>
          <t>C</t>
        </is>
      </c>
      <c r="T25" s="6" t="inlineStr">
        <is>
          <t>B</t>
        </is>
      </c>
      <c r="U25" s="6" t="inlineStr">
        <is>
          <t>B</t>
        </is>
      </c>
    </row>
    <row r="26">
      <c r="A26" t="inlineStr">
        <is>
          <t>E23</t>
        </is>
      </c>
      <c r="B26" s="6" t="inlineStr">
        <is>
          <t>A</t>
        </is>
      </c>
      <c r="C26" s="6" t="inlineStr">
        <is>
          <t>B</t>
        </is>
      </c>
      <c r="D26" s="6" t="inlineStr">
        <is>
          <t>A</t>
        </is>
      </c>
      <c r="E26" s="6" t="inlineStr">
        <is>
          <t>C</t>
        </is>
      </c>
      <c r="F26" s="6" t="inlineStr">
        <is>
          <t>D</t>
        </is>
      </c>
      <c r="G26" s="6" t="inlineStr">
        <is>
          <t>C</t>
        </is>
      </c>
      <c r="H26" s="6" t="inlineStr">
        <is>
          <t>C</t>
        </is>
      </c>
      <c r="I26" s="6" t="inlineStr">
        <is>
          <t>D</t>
        </is>
      </c>
      <c r="J26" s="6" t="inlineStr">
        <is>
          <t>D</t>
        </is>
      </c>
      <c r="K26" s="6" t="inlineStr">
        <is>
          <t>D</t>
        </is>
      </c>
      <c r="L26" s="6" t="inlineStr">
        <is>
          <t>D</t>
        </is>
      </c>
      <c r="M26" s="6" t="inlineStr">
        <is>
          <t>B</t>
        </is>
      </c>
      <c r="N26" s="6" t="inlineStr">
        <is>
          <t>A</t>
        </is>
      </c>
      <c r="O26" s="6" t="inlineStr">
        <is>
          <t>A</t>
        </is>
      </c>
      <c r="P26" s="6" t="inlineStr">
        <is>
          <t>C</t>
        </is>
      </c>
      <c r="Q26" s="6" t="inlineStr">
        <is>
          <t>B</t>
        </is>
      </c>
      <c r="R26" s="6" t="inlineStr">
        <is>
          <t>C</t>
        </is>
      </c>
      <c r="S26" s="6" t="inlineStr">
        <is>
          <t>D</t>
        </is>
      </c>
      <c r="T26" s="6" t="inlineStr">
        <is>
          <t>B</t>
        </is>
      </c>
      <c r="U26" s="6" t="inlineStr">
        <is>
          <t>C</t>
        </is>
      </c>
    </row>
    <row r="27">
      <c r="A27" t="inlineStr">
        <is>
          <t>E24</t>
        </is>
      </c>
      <c r="B27" s="6" t="inlineStr">
        <is>
          <t>A</t>
        </is>
      </c>
      <c r="C27" s="6" t="inlineStr">
        <is>
          <t>B</t>
        </is>
      </c>
      <c r="D27" s="6" t="inlineStr">
        <is>
          <t>C</t>
        </is>
      </c>
      <c r="E27" s="6" t="inlineStr">
        <is>
          <t>B</t>
        </is>
      </c>
      <c r="F27" s="6" t="inlineStr">
        <is>
          <t>D</t>
        </is>
      </c>
      <c r="G27" s="6" t="inlineStr">
        <is>
          <t>C</t>
        </is>
      </c>
      <c r="H27" s="6" t="inlineStr">
        <is>
          <t>C</t>
        </is>
      </c>
      <c r="I27" s="6" t="inlineStr">
        <is>
          <t>C</t>
        </is>
      </c>
      <c r="J27" s="6" t="inlineStr">
        <is>
          <t>D</t>
        </is>
      </c>
      <c r="K27" s="6" t="inlineStr">
        <is>
          <t>B</t>
        </is>
      </c>
      <c r="L27" s="6" t="inlineStr">
        <is>
          <t>A</t>
        </is>
      </c>
      <c r="M27" s="6" t="inlineStr">
        <is>
          <t>B</t>
        </is>
      </c>
      <c r="N27" s="6" t="inlineStr">
        <is>
          <t>C</t>
        </is>
      </c>
      <c r="O27" s="6" t="inlineStr">
        <is>
          <t>C</t>
        </is>
      </c>
      <c r="P27" s="6" t="inlineStr">
        <is>
          <t>A</t>
        </is>
      </c>
      <c r="Q27" s="6" t="inlineStr">
        <is>
          <t>B</t>
        </is>
      </c>
      <c r="R27" s="6" t="inlineStr">
        <is>
          <t>A</t>
        </is>
      </c>
      <c r="S27" s="6" t="inlineStr">
        <is>
          <t>D</t>
        </is>
      </c>
      <c r="T27" s="6" t="inlineStr">
        <is>
          <t>B</t>
        </is>
      </c>
      <c r="U27" s="6" t="inlineStr">
        <is>
          <t>B</t>
        </is>
      </c>
    </row>
    <row r="28">
      <c r="A28" t="inlineStr">
        <is>
          <t>E25</t>
        </is>
      </c>
      <c r="B28" s="6" t="inlineStr">
        <is>
          <t>D</t>
        </is>
      </c>
      <c r="C28" s="6" t="inlineStr">
        <is>
          <t>A</t>
        </is>
      </c>
      <c r="D28" s="6" t="inlineStr">
        <is>
          <t>A</t>
        </is>
      </c>
      <c r="E28" s="6" t="inlineStr">
        <is>
          <t>C</t>
        </is>
      </c>
      <c r="F28" s="6" t="inlineStr">
        <is>
          <t>D</t>
        </is>
      </c>
      <c r="G28" s="6" t="inlineStr">
        <is>
          <t>B</t>
        </is>
      </c>
      <c r="H28" s="6" t="inlineStr">
        <is>
          <t>C</t>
        </is>
      </c>
      <c r="I28" s="6" t="inlineStr">
        <is>
          <t>A</t>
        </is>
      </c>
      <c r="J28" s="6" t="inlineStr">
        <is>
          <t>D</t>
        </is>
      </c>
      <c r="K28" s="6" t="inlineStr">
        <is>
          <t>A</t>
        </is>
      </c>
      <c r="L28" s="6" t="inlineStr">
        <is>
          <t>D</t>
        </is>
      </c>
      <c r="M28" s="6" t="inlineStr">
        <is>
          <t>D</t>
        </is>
      </c>
      <c r="N28" s="6" t="inlineStr">
        <is>
          <t>A</t>
        </is>
      </c>
      <c r="O28" s="6" t="inlineStr">
        <is>
          <t>A</t>
        </is>
      </c>
      <c r="P28" s="6" t="inlineStr">
        <is>
          <t>A</t>
        </is>
      </c>
      <c r="Q28" s="6" t="inlineStr">
        <is>
          <t>B</t>
        </is>
      </c>
      <c r="R28" s="6" t="inlineStr">
        <is>
          <t>C</t>
        </is>
      </c>
      <c r="S28" s="6" t="inlineStr">
        <is>
          <t>B</t>
        </is>
      </c>
      <c r="T28" s="6" t="inlineStr">
        <is>
          <t>B</t>
        </is>
      </c>
      <c r="U28" s="6" t="inlineStr">
        <is>
          <t>B</t>
        </is>
      </c>
    </row>
    <row r="29">
      <c r="A29" t="inlineStr">
        <is>
          <t>E26</t>
        </is>
      </c>
      <c r="B29" s="6" t="inlineStr">
        <is>
          <t>A</t>
        </is>
      </c>
      <c r="C29" s="6" t="inlineStr">
        <is>
          <t>B</t>
        </is>
      </c>
      <c r="D29" s="6" t="inlineStr">
        <is>
          <t>A</t>
        </is>
      </c>
      <c r="E29" s="6" t="inlineStr">
        <is>
          <t>C</t>
        </is>
      </c>
      <c r="F29" s="6" t="inlineStr">
        <is>
          <t>D</t>
        </is>
      </c>
      <c r="G29" s="6" t="inlineStr">
        <is>
          <t>C</t>
        </is>
      </c>
      <c r="H29" s="6" t="inlineStr">
        <is>
          <t>C</t>
        </is>
      </c>
      <c r="I29" s="6" t="inlineStr">
        <is>
          <t>C</t>
        </is>
      </c>
      <c r="J29" s="6" t="inlineStr">
        <is>
          <t>D</t>
        </is>
      </c>
      <c r="K29" s="6" t="inlineStr">
        <is>
          <t>D</t>
        </is>
      </c>
      <c r="L29" s="6" t="inlineStr">
        <is>
          <t>B</t>
        </is>
      </c>
      <c r="M29" s="6" t="inlineStr">
        <is>
          <t>B</t>
        </is>
      </c>
      <c r="N29" s="6" t="inlineStr">
        <is>
          <t>A</t>
        </is>
      </c>
      <c r="O29" s="6" t="inlineStr">
        <is>
          <t>A</t>
        </is>
      </c>
      <c r="P29" s="6" t="inlineStr">
        <is>
          <t>D</t>
        </is>
      </c>
      <c r="Q29" s="6" t="inlineStr">
        <is>
          <t>D</t>
        </is>
      </c>
      <c r="R29" s="6" t="inlineStr">
        <is>
          <t>C</t>
        </is>
      </c>
      <c r="S29" s="6" t="inlineStr">
        <is>
          <t>C</t>
        </is>
      </c>
      <c r="T29" s="6" t="inlineStr">
        <is>
          <t>B</t>
        </is>
      </c>
      <c r="U29" s="6" t="inlineStr">
        <is>
          <t>B</t>
        </is>
      </c>
    </row>
    <row r="30">
      <c r="A30" t="inlineStr">
        <is>
          <t>E27</t>
        </is>
      </c>
      <c r="B30" s="6" t="inlineStr">
        <is>
          <t>A</t>
        </is>
      </c>
      <c r="C30" s="6" t="inlineStr">
        <is>
          <t>B</t>
        </is>
      </c>
      <c r="D30" s="6" t="inlineStr">
        <is>
          <t>D</t>
        </is>
      </c>
      <c r="E30" s="6" t="inlineStr">
        <is>
          <t>C</t>
        </is>
      </c>
      <c r="F30" s="6" t="inlineStr">
        <is>
          <t>D</t>
        </is>
      </c>
      <c r="G30" s="6" t="inlineStr">
        <is>
          <t>C</t>
        </is>
      </c>
      <c r="H30" s="6" t="inlineStr">
        <is>
          <t>C</t>
        </is>
      </c>
      <c r="I30" s="6" t="inlineStr">
        <is>
          <t>A</t>
        </is>
      </c>
      <c r="J30" s="6" t="inlineStr">
        <is>
          <t>D</t>
        </is>
      </c>
      <c r="K30" s="6" t="inlineStr">
        <is>
          <t>C</t>
        </is>
      </c>
      <c r="L30" s="6" t="inlineStr">
        <is>
          <t>C</t>
        </is>
      </c>
      <c r="M30" s="6" t="inlineStr">
        <is>
          <t>A</t>
        </is>
      </c>
      <c r="N30" s="6" t="inlineStr">
        <is>
          <t>C</t>
        </is>
      </c>
      <c r="O30" s="6" t="inlineStr">
        <is>
          <t>A</t>
        </is>
      </c>
      <c r="P30" s="6" t="inlineStr">
        <is>
          <t>A</t>
        </is>
      </c>
      <c r="Q30" s="6" t="inlineStr">
        <is>
          <t>A</t>
        </is>
      </c>
      <c r="R30" s="6" t="inlineStr">
        <is>
          <t>A</t>
        </is>
      </c>
      <c r="S30" s="6" t="inlineStr">
        <is>
          <t>D</t>
        </is>
      </c>
      <c r="T30" s="6" t="inlineStr">
        <is>
          <t>B</t>
        </is>
      </c>
      <c r="U30" s="6" t="inlineStr">
        <is>
          <t>B</t>
        </is>
      </c>
    </row>
    <row r="31">
      <c r="A31" t="inlineStr">
        <is>
          <t>E28</t>
        </is>
      </c>
      <c r="B31" s="6" t="inlineStr">
        <is>
          <t>A</t>
        </is>
      </c>
      <c r="C31" s="6" t="inlineStr">
        <is>
          <t>C</t>
        </is>
      </c>
      <c r="D31" s="6" t="inlineStr">
        <is>
          <t>B</t>
        </is>
      </c>
      <c r="E31" s="6" t="inlineStr">
        <is>
          <t>A</t>
        </is>
      </c>
      <c r="F31" s="6" t="inlineStr">
        <is>
          <t>B</t>
        </is>
      </c>
      <c r="G31" s="6" t="inlineStr">
        <is>
          <t>B</t>
        </is>
      </c>
      <c r="H31" s="6" t="inlineStr">
        <is>
          <t>A</t>
        </is>
      </c>
      <c r="I31" s="6" t="inlineStr">
        <is>
          <t>D</t>
        </is>
      </c>
      <c r="J31" s="6" t="inlineStr">
        <is>
          <t>D</t>
        </is>
      </c>
      <c r="K31" s="6" t="inlineStr">
        <is>
          <t>B</t>
        </is>
      </c>
      <c r="L31" s="6" t="inlineStr">
        <is>
          <t>D</t>
        </is>
      </c>
      <c r="M31" s="6" t="inlineStr">
        <is>
          <t>B</t>
        </is>
      </c>
      <c r="N31" s="6" t="inlineStr">
        <is>
          <t>A</t>
        </is>
      </c>
      <c r="O31" s="6" t="inlineStr">
        <is>
          <t>C</t>
        </is>
      </c>
      <c r="P31" s="6" t="inlineStr">
        <is>
          <t>A</t>
        </is>
      </c>
      <c r="Q31" s="6" t="inlineStr">
        <is>
          <t>C</t>
        </is>
      </c>
      <c r="R31" s="6" t="inlineStr">
        <is>
          <t>A</t>
        </is>
      </c>
      <c r="S31" s="6" t="inlineStr">
        <is>
          <t>D</t>
        </is>
      </c>
      <c r="T31" s="6" t="inlineStr">
        <is>
          <t>C</t>
        </is>
      </c>
      <c r="U31" s="6" t="inlineStr">
        <is>
          <t>B</t>
        </is>
      </c>
    </row>
    <row r="32">
      <c r="A32" t="inlineStr">
        <is>
          <t>E29</t>
        </is>
      </c>
      <c r="B32" s="6" t="inlineStr">
        <is>
          <t>A</t>
        </is>
      </c>
      <c r="C32" s="6" t="inlineStr">
        <is>
          <t>B</t>
        </is>
      </c>
      <c r="D32" s="6" t="inlineStr">
        <is>
          <t>D</t>
        </is>
      </c>
      <c r="E32" s="6" t="inlineStr">
        <is>
          <t>C</t>
        </is>
      </c>
      <c r="F32" s="6" t="inlineStr">
        <is>
          <t>D</t>
        </is>
      </c>
      <c r="G32" s="6" t="inlineStr">
        <is>
          <t>C</t>
        </is>
      </c>
      <c r="H32" s="6" t="inlineStr">
        <is>
          <t>C</t>
        </is>
      </c>
      <c r="I32" s="6" t="inlineStr">
        <is>
          <t>C</t>
        </is>
      </c>
      <c r="J32" s="6" t="inlineStr">
        <is>
          <t>C</t>
        </is>
      </c>
      <c r="K32" s="6" t="inlineStr">
        <is>
          <t>D</t>
        </is>
      </c>
      <c r="L32" s="6" t="inlineStr">
        <is>
          <t>C</t>
        </is>
      </c>
      <c r="M32" s="6" t="inlineStr">
        <is>
          <t>B</t>
        </is>
      </c>
      <c r="N32" s="6" t="inlineStr">
        <is>
          <t>C</t>
        </is>
      </c>
      <c r="O32" s="6" t="inlineStr">
        <is>
          <t>A</t>
        </is>
      </c>
      <c r="P32" s="6" t="inlineStr">
        <is>
          <t>A</t>
        </is>
      </c>
      <c r="Q32" s="6" t="inlineStr">
        <is>
          <t>D</t>
        </is>
      </c>
      <c r="R32" s="6" t="inlineStr">
        <is>
          <t>A</t>
        </is>
      </c>
      <c r="S32" s="6" t="inlineStr">
        <is>
          <t>D</t>
        </is>
      </c>
      <c r="T32" s="6" t="inlineStr">
        <is>
          <t>B</t>
        </is>
      </c>
      <c r="U32" s="6" t="inlineStr">
        <is>
          <t>C</t>
        </is>
      </c>
    </row>
    <row r="33">
      <c r="A33" t="inlineStr">
        <is>
          <t>E30</t>
        </is>
      </c>
      <c r="B33" s="6" t="inlineStr">
        <is>
          <t>A</t>
        </is>
      </c>
      <c r="C33" s="6" t="inlineStr">
        <is>
          <t>B</t>
        </is>
      </c>
      <c r="D33" s="6" t="inlineStr">
        <is>
          <t>D</t>
        </is>
      </c>
      <c r="E33" s="6" t="inlineStr">
        <is>
          <t>A</t>
        </is>
      </c>
      <c r="F33" s="6" t="inlineStr">
        <is>
          <t>C</t>
        </is>
      </c>
      <c r="G33" s="6" t="inlineStr">
        <is>
          <t>D</t>
        </is>
      </c>
      <c r="H33" s="6" t="inlineStr">
        <is>
          <t>C</t>
        </is>
      </c>
      <c r="I33" s="6" t="inlineStr">
        <is>
          <t>B</t>
        </is>
      </c>
      <c r="J33" s="6" t="inlineStr">
        <is>
          <t>A</t>
        </is>
      </c>
      <c r="K33" s="6" t="inlineStr">
        <is>
          <t>A</t>
        </is>
      </c>
      <c r="L33" s="6" t="inlineStr">
        <is>
          <t>B</t>
        </is>
      </c>
      <c r="M33" s="6" t="inlineStr">
        <is>
          <t>B</t>
        </is>
      </c>
      <c r="N33" s="6" t="inlineStr">
        <is>
          <t>A</t>
        </is>
      </c>
      <c r="O33" s="6" t="inlineStr">
        <is>
          <t>A</t>
        </is>
      </c>
      <c r="P33" s="6" t="inlineStr">
        <is>
          <t>D</t>
        </is>
      </c>
      <c r="Q33" s="6" t="inlineStr">
        <is>
          <t>B</t>
        </is>
      </c>
      <c r="R33" s="6" t="inlineStr">
        <is>
          <t>A</t>
        </is>
      </c>
      <c r="S33" s="6" t="inlineStr">
        <is>
          <t>D</t>
        </is>
      </c>
      <c r="T33" s="6" t="inlineStr">
        <is>
          <t>B</t>
        </is>
      </c>
      <c r="U33" s="6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14" customWidth="1" min="23" max="23"/>
    <col width="5.5" customWidth="1" min="24" max="24"/>
    <col width="8" customWidth="1" min="25" max="25"/>
  </cols>
  <sheetData>
    <row r="1">
      <c r="A1" s="7" t="inlineStr">
        <is>
          <t>PUNTAJES (1 = acierto, 0 = error) y TOTAL; "Total para ordenar" desempata por el orden de la lista</t>
        </is>
      </c>
    </row>
    <row r="2">
      <c r="A2" s="5" t="inlineStr">
        <is>
          <t>Estudiante</t>
        </is>
      </c>
      <c r="B2" s="5" t="n">
        <v>1</v>
      </c>
      <c r="C2" s="5" t="n">
        <v>2</v>
      </c>
      <c r="D2" s="5" t="n">
        <v>3</v>
      </c>
      <c r="E2" s="5" t="n">
        <v>4</v>
      </c>
      <c r="F2" s="5" t="n">
        <v>5</v>
      </c>
      <c r="G2" s="5" t="n">
        <v>6</v>
      </c>
      <c r="H2" s="5" t="n">
        <v>7</v>
      </c>
      <c r="I2" s="5" t="n">
        <v>8</v>
      </c>
      <c r="J2" s="5" t="n">
        <v>9</v>
      </c>
      <c r="K2" s="5" t="n">
        <v>10</v>
      </c>
      <c r="L2" s="5" t="n">
        <v>11</v>
      </c>
      <c r="M2" s="5" t="n">
        <v>12</v>
      </c>
      <c r="N2" s="5" t="n">
        <v>13</v>
      </c>
      <c r="O2" s="5" t="n">
        <v>14</v>
      </c>
      <c r="P2" s="5" t="n">
        <v>15</v>
      </c>
      <c r="Q2" s="5" t="n">
        <v>16</v>
      </c>
      <c r="R2" s="5" t="n">
        <v>17</v>
      </c>
      <c r="S2" s="5" t="n">
        <v>18</v>
      </c>
      <c r="T2" s="5" t="n">
        <v>19</v>
      </c>
      <c r="U2" s="5" t="n">
        <v>20</v>
      </c>
      <c r="V2" s="5" t="inlineStr">
        <is>
          <t>Total</t>
        </is>
      </c>
      <c r="W2" s="5" t="inlineStr">
        <is>
          <t>Total para ordenar</t>
        </is>
      </c>
      <c r="X2" s="5" t="inlineStr">
        <is>
          <t>Puesto</t>
        </is>
      </c>
      <c r="Y2" s="5" t="inlineStr">
        <is>
          <t>Grupo</t>
        </is>
      </c>
    </row>
    <row r="3">
      <c r="A3">
        <f>Respuestas!A4</f>
        <v/>
      </c>
      <c r="B3">
        <f>IF(Respuestas!B4=Respuestas!B$3,1,0)</f>
        <v/>
      </c>
      <c r="C3">
        <f>IF(Respuestas!C4=Respuestas!C$3,1,0)</f>
        <v/>
      </c>
      <c r="D3">
        <f>IF(Respuestas!D4=Respuestas!D$3,1,0)</f>
        <v/>
      </c>
      <c r="E3">
        <f>IF(Respuestas!E4=Respuestas!E$3,1,0)</f>
        <v/>
      </c>
      <c r="F3">
        <f>IF(Respuestas!F4=Respuestas!F$3,1,0)</f>
        <v/>
      </c>
      <c r="G3">
        <f>IF(Respuestas!G4=Respuestas!G$3,1,0)</f>
        <v/>
      </c>
      <c r="H3">
        <f>IF(Respuestas!H4=Respuestas!H$3,1,0)</f>
        <v/>
      </c>
      <c r="I3">
        <f>IF(Respuestas!I4=Respuestas!I$3,1,0)</f>
        <v/>
      </c>
      <c r="J3">
        <f>IF(Respuestas!J4=Respuestas!J$3,1,0)</f>
        <v/>
      </c>
      <c r="K3">
        <f>IF(Respuestas!K4=Respuestas!K$3,1,0)</f>
        <v/>
      </c>
      <c r="L3">
        <f>IF(Respuestas!L4=Respuestas!L$3,1,0)</f>
        <v/>
      </c>
      <c r="M3">
        <f>IF(Respuestas!M4=Respuestas!M$3,1,0)</f>
        <v/>
      </c>
      <c r="N3">
        <f>IF(Respuestas!N4=Respuestas!N$3,1,0)</f>
        <v/>
      </c>
      <c r="O3">
        <f>IF(Respuestas!O4=Respuestas!O$3,1,0)</f>
        <v/>
      </c>
      <c r="P3">
        <f>IF(Respuestas!P4=Respuestas!P$3,1,0)</f>
        <v/>
      </c>
      <c r="Q3">
        <f>IF(Respuestas!Q4=Respuestas!Q$3,1,0)</f>
        <v/>
      </c>
      <c r="R3">
        <f>IF(Respuestas!R4=Respuestas!R$3,1,0)</f>
        <v/>
      </c>
      <c r="S3">
        <f>IF(Respuestas!S4=Respuestas!S$3,1,0)</f>
        <v/>
      </c>
      <c r="T3">
        <f>IF(Respuestas!T4=Respuestas!T$3,1,0)</f>
        <v/>
      </c>
      <c r="U3">
        <f>IF(Respuestas!U4=Respuestas!U$3,1,0)</f>
        <v/>
      </c>
      <c r="V3">
        <f>SUM(B3:U3)</f>
        <v/>
      </c>
      <c r="W3">
        <f>V3+(31-ROW()+2)/1000</f>
        <v/>
      </c>
      <c r="X3">
        <f>RANK(W3,$W$3:$W$32,0)</f>
        <v/>
      </c>
      <c r="Y3">
        <f>IF(X3&lt;=8,"Alto",IF(X3&gt;30-8,"Bajo","Medio"))</f>
        <v/>
      </c>
    </row>
    <row r="4">
      <c r="A4">
        <f>Respuestas!A5</f>
        <v/>
      </c>
      <c r="B4">
        <f>IF(Respuestas!B5=Respuestas!B$3,1,0)</f>
        <v/>
      </c>
      <c r="C4">
        <f>IF(Respuestas!C5=Respuestas!C$3,1,0)</f>
        <v/>
      </c>
      <c r="D4">
        <f>IF(Respuestas!D5=Respuestas!D$3,1,0)</f>
        <v/>
      </c>
      <c r="E4">
        <f>IF(Respuestas!E5=Respuestas!E$3,1,0)</f>
        <v/>
      </c>
      <c r="F4">
        <f>IF(Respuestas!F5=Respuestas!F$3,1,0)</f>
        <v/>
      </c>
      <c r="G4">
        <f>IF(Respuestas!G5=Respuestas!G$3,1,0)</f>
        <v/>
      </c>
      <c r="H4">
        <f>IF(Respuestas!H5=Respuestas!H$3,1,0)</f>
        <v/>
      </c>
      <c r="I4">
        <f>IF(Respuestas!I5=Respuestas!I$3,1,0)</f>
        <v/>
      </c>
      <c r="J4">
        <f>IF(Respuestas!J5=Respuestas!J$3,1,0)</f>
        <v/>
      </c>
      <c r="K4">
        <f>IF(Respuestas!K5=Respuestas!K$3,1,0)</f>
        <v/>
      </c>
      <c r="L4">
        <f>IF(Respuestas!L5=Respuestas!L$3,1,0)</f>
        <v/>
      </c>
      <c r="M4">
        <f>IF(Respuestas!M5=Respuestas!M$3,1,0)</f>
        <v/>
      </c>
      <c r="N4">
        <f>IF(Respuestas!N5=Respuestas!N$3,1,0)</f>
        <v/>
      </c>
      <c r="O4">
        <f>IF(Respuestas!O5=Respuestas!O$3,1,0)</f>
        <v/>
      </c>
      <c r="P4">
        <f>IF(Respuestas!P5=Respuestas!P$3,1,0)</f>
        <v/>
      </c>
      <c r="Q4">
        <f>IF(Respuestas!Q5=Respuestas!Q$3,1,0)</f>
        <v/>
      </c>
      <c r="R4">
        <f>IF(Respuestas!R5=Respuestas!R$3,1,0)</f>
        <v/>
      </c>
      <c r="S4">
        <f>IF(Respuestas!S5=Respuestas!S$3,1,0)</f>
        <v/>
      </c>
      <c r="T4">
        <f>IF(Respuestas!T5=Respuestas!T$3,1,0)</f>
        <v/>
      </c>
      <c r="U4">
        <f>IF(Respuestas!U5=Respuestas!U$3,1,0)</f>
        <v/>
      </c>
      <c r="V4">
        <f>SUM(B4:U4)</f>
        <v/>
      </c>
      <c r="W4">
        <f>V4+(31-ROW()+2)/1000</f>
        <v/>
      </c>
      <c r="X4">
        <f>RANK(W4,$W$3:$W$32,0)</f>
        <v/>
      </c>
      <c r="Y4">
        <f>IF(X4&lt;=8,"Alto",IF(X4&gt;30-8,"Bajo","Medio"))</f>
        <v/>
      </c>
    </row>
    <row r="5">
      <c r="A5">
        <f>Respuestas!A6</f>
        <v/>
      </c>
      <c r="B5">
        <f>IF(Respuestas!B6=Respuestas!B$3,1,0)</f>
        <v/>
      </c>
      <c r="C5">
        <f>IF(Respuestas!C6=Respuestas!C$3,1,0)</f>
        <v/>
      </c>
      <c r="D5">
        <f>IF(Respuestas!D6=Respuestas!D$3,1,0)</f>
        <v/>
      </c>
      <c r="E5">
        <f>IF(Respuestas!E6=Respuestas!E$3,1,0)</f>
        <v/>
      </c>
      <c r="F5">
        <f>IF(Respuestas!F6=Respuestas!F$3,1,0)</f>
        <v/>
      </c>
      <c r="G5">
        <f>IF(Respuestas!G6=Respuestas!G$3,1,0)</f>
        <v/>
      </c>
      <c r="H5">
        <f>IF(Respuestas!H6=Respuestas!H$3,1,0)</f>
        <v/>
      </c>
      <c r="I5">
        <f>IF(Respuestas!I6=Respuestas!I$3,1,0)</f>
        <v/>
      </c>
      <c r="J5">
        <f>IF(Respuestas!J6=Respuestas!J$3,1,0)</f>
        <v/>
      </c>
      <c r="K5">
        <f>IF(Respuestas!K6=Respuestas!K$3,1,0)</f>
        <v/>
      </c>
      <c r="L5">
        <f>IF(Respuestas!L6=Respuestas!L$3,1,0)</f>
        <v/>
      </c>
      <c r="M5">
        <f>IF(Respuestas!M6=Respuestas!M$3,1,0)</f>
        <v/>
      </c>
      <c r="N5">
        <f>IF(Respuestas!N6=Respuestas!N$3,1,0)</f>
        <v/>
      </c>
      <c r="O5">
        <f>IF(Respuestas!O6=Respuestas!O$3,1,0)</f>
        <v/>
      </c>
      <c r="P5">
        <f>IF(Respuestas!P6=Respuestas!P$3,1,0)</f>
        <v/>
      </c>
      <c r="Q5">
        <f>IF(Respuestas!Q6=Respuestas!Q$3,1,0)</f>
        <v/>
      </c>
      <c r="R5">
        <f>IF(Respuestas!R6=Respuestas!R$3,1,0)</f>
        <v/>
      </c>
      <c r="S5">
        <f>IF(Respuestas!S6=Respuestas!S$3,1,0)</f>
        <v/>
      </c>
      <c r="T5">
        <f>IF(Respuestas!T6=Respuestas!T$3,1,0)</f>
        <v/>
      </c>
      <c r="U5">
        <f>IF(Respuestas!U6=Respuestas!U$3,1,0)</f>
        <v/>
      </c>
      <c r="V5">
        <f>SUM(B5:U5)</f>
        <v/>
      </c>
      <c r="W5">
        <f>V5+(31-ROW()+2)/1000</f>
        <v/>
      </c>
      <c r="X5">
        <f>RANK(W5,$W$3:$W$32,0)</f>
        <v/>
      </c>
      <c r="Y5">
        <f>IF(X5&lt;=8,"Alto",IF(X5&gt;30-8,"Bajo","Medio"))</f>
        <v/>
      </c>
    </row>
    <row r="6">
      <c r="A6">
        <f>Respuestas!A7</f>
        <v/>
      </c>
      <c r="B6">
        <f>IF(Respuestas!B7=Respuestas!B$3,1,0)</f>
        <v/>
      </c>
      <c r="C6">
        <f>IF(Respuestas!C7=Respuestas!C$3,1,0)</f>
        <v/>
      </c>
      <c r="D6">
        <f>IF(Respuestas!D7=Respuestas!D$3,1,0)</f>
        <v/>
      </c>
      <c r="E6">
        <f>IF(Respuestas!E7=Respuestas!E$3,1,0)</f>
        <v/>
      </c>
      <c r="F6">
        <f>IF(Respuestas!F7=Respuestas!F$3,1,0)</f>
        <v/>
      </c>
      <c r="G6">
        <f>IF(Respuestas!G7=Respuestas!G$3,1,0)</f>
        <v/>
      </c>
      <c r="H6">
        <f>IF(Respuestas!H7=Respuestas!H$3,1,0)</f>
        <v/>
      </c>
      <c r="I6">
        <f>IF(Respuestas!I7=Respuestas!I$3,1,0)</f>
        <v/>
      </c>
      <c r="J6">
        <f>IF(Respuestas!J7=Respuestas!J$3,1,0)</f>
        <v/>
      </c>
      <c r="K6">
        <f>IF(Respuestas!K7=Respuestas!K$3,1,0)</f>
        <v/>
      </c>
      <c r="L6">
        <f>IF(Respuestas!L7=Respuestas!L$3,1,0)</f>
        <v/>
      </c>
      <c r="M6">
        <f>IF(Respuestas!M7=Respuestas!M$3,1,0)</f>
        <v/>
      </c>
      <c r="N6">
        <f>IF(Respuestas!N7=Respuestas!N$3,1,0)</f>
        <v/>
      </c>
      <c r="O6">
        <f>IF(Respuestas!O7=Respuestas!O$3,1,0)</f>
        <v/>
      </c>
      <c r="P6">
        <f>IF(Respuestas!P7=Respuestas!P$3,1,0)</f>
        <v/>
      </c>
      <c r="Q6">
        <f>IF(Respuestas!Q7=Respuestas!Q$3,1,0)</f>
        <v/>
      </c>
      <c r="R6">
        <f>IF(Respuestas!R7=Respuestas!R$3,1,0)</f>
        <v/>
      </c>
      <c r="S6">
        <f>IF(Respuestas!S7=Respuestas!S$3,1,0)</f>
        <v/>
      </c>
      <c r="T6">
        <f>IF(Respuestas!T7=Respuestas!T$3,1,0)</f>
        <v/>
      </c>
      <c r="U6">
        <f>IF(Respuestas!U7=Respuestas!U$3,1,0)</f>
        <v/>
      </c>
      <c r="V6">
        <f>SUM(B6:U6)</f>
        <v/>
      </c>
      <c r="W6">
        <f>V6+(31-ROW()+2)/1000</f>
        <v/>
      </c>
      <c r="X6">
        <f>RANK(W6,$W$3:$W$32,0)</f>
        <v/>
      </c>
      <c r="Y6">
        <f>IF(X6&lt;=8,"Alto",IF(X6&gt;30-8,"Bajo","Medio"))</f>
        <v/>
      </c>
    </row>
    <row r="7">
      <c r="A7">
        <f>Respuestas!A8</f>
        <v/>
      </c>
      <c r="B7">
        <f>IF(Respuestas!B8=Respuestas!B$3,1,0)</f>
        <v/>
      </c>
      <c r="C7">
        <f>IF(Respuestas!C8=Respuestas!C$3,1,0)</f>
        <v/>
      </c>
      <c r="D7">
        <f>IF(Respuestas!D8=Respuestas!D$3,1,0)</f>
        <v/>
      </c>
      <c r="E7">
        <f>IF(Respuestas!E8=Respuestas!E$3,1,0)</f>
        <v/>
      </c>
      <c r="F7">
        <f>IF(Respuestas!F8=Respuestas!F$3,1,0)</f>
        <v/>
      </c>
      <c r="G7">
        <f>IF(Respuestas!G8=Respuestas!G$3,1,0)</f>
        <v/>
      </c>
      <c r="H7">
        <f>IF(Respuestas!H8=Respuestas!H$3,1,0)</f>
        <v/>
      </c>
      <c r="I7">
        <f>IF(Respuestas!I8=Respuestas!I$3,1,0)</f>
        <v/>
      </c>
      <c r="J7">
        <f>IF(Respuestas!J8=Respuestas!J$3,1,0)</f>
        <v/>
      </c>
      <c r="K7">
        <f>IF(Respuestas!K8=Respuestas!K$3,1,0)</f>
        <v/>
      </c>
      <c r="L7">
        <f>IF(Respuestas!L8=Respuestas!L$3,1,0)</f>
        <v/>
      </c>
      <c r="M7">
        <f>IF(Respuestas!M8=Respuestas!M$3,1,0)</f>
        <v/>
      </c>
      <c r="N7">
        <f>IF(Respuestas!N8=Respuestas!N$3,1,0)</f>
        <v/>
      </c>
      <c r="O7">
        <f>IF(Respuestas!O8=Respuestas!O$3,1,0)</f>
        <v/>
      </c>
      <c r="P7">
        <f>IF(Respuestas!P8=Respuestas!P$3,1,0)</f>
        <v/>
      </c>
      <c r="Q7">
        <f>IF(Respuestas!Q8=Respuestas!Q$3,1,0)</f>
        <v/>
      </c>
      <c r="R7">
        <f>IF(Respuestas!R8=Respuestas!R$3,1,0)</f>
        <v/>
      </c>
      <c r="S7">
        <f>IF(Respuestas!S8=Respuestas!S$3,1,0)</f>
        <v/>
      </c>
      <c r="T7">
        <f>IF(Respuestas!T8=Respuestas!T$3,1,0)</f>
        <v/>
      </c>
      <c r="U7">
        <f>IF(Respuestas!U8=Respuestas!U$3,1,0)</f>
        <v/>
      </c>
      <c r="V7">
        <f>SUM(B7:U7)</f>
        <v/>
      </c>
      <c r="W7">
        <f>V7+(31-ROW()+2)/1000</f>
        <v/>
      </c>
      <c r="X7">
        <f>RANK(W7,$W$3:$W$32,0)</f>
        <v/>
      </c>
      <c r="Y7">
        <f>IF(X7&lt;=8,"Alto",IF(X7&gt;30-8,"Bajo","Medio"))</f>
        <v/>
      </c>
    </row>
    <row r="8">
      <c r="A8">
        <f>Respuestas!A9</f>
        <v/>
      </c>
      <c r="B8">
        <f>IF(Respuestas!B9=Respuestas!B$3,1,0)</f>
        <v/>
      </c>
      <c r="C8">
        <f>IF(Respuestas!C9=Respuestas!C$3,1,0)</f>
        <v/>
      </c>
      <c r="D8">
        <f>IF(Respuestas!D9=Respuestas!D$3,1,0)</f>
        <v/>
      </c>
      <c r="E8">
        <f>IF(Respuestas!E9=Respuestas!E$3,1,0)</f>
        <v/>
      </c>
      <c r="F8">
        <f>IF(Respuestas!F9=Respuestas!F$3,1,0)</f>
        <v/>
      </c>
      <c r="G8">
        <f>IF(Respuestas!G9=Respuestas!G$3,1,0)</f>
        <v/>
      </c>
      <c r="H8">
        <f>IF(Respuestas!H9=Respuestas!H$3,1,0)</f>
        <v/>
      </c>
      <c r="I8">
        <f>IF(Respuestas!I9=Respuestas!I$3,1,0)</f>
        <v/>
      </c>
      <c r="J8">
        <f>IF(Respuestas!J9=Respuestas!J$3,1,0)</f>
        <v/>
      </c>
      <c r="K8">
        <f>IF(Respuestas!K9=Respuestas!K$3,1,0)</f>
        <v/>
      </c>
      <c r="L8">
        <f>IF(Respuestas!L9=Respuestas!L$3,1,0)</f>
        <v/>
      </c>
      <c r="M8">
        <f>IF(Respuestas!M9=Respuestas!M$3,1,0)</f>
        <v/>
      </c>
      <c r="N8">
        <f>IF(Respuestas!N9=Respuestas!N$3,1,0)</f>
        <v/>
      </c>
      <c r="O8">
        <f>IF(Respuestas!O9=Respuestas!O$3,1,0)</f>
        <v/>
      </c>
      <c r="P8">
        <f>IF(Respuestas!P9=Respuestas!P$3,1,0)</f>
        <v/>
      </c>
      <c r="Q8">
        <f>IF(Respuestas!Q9=Respuestas!Q$3,1,0)</f>
        <v/>
      </c>
      <c r="R8">
        <f>IF(Respuestas!R9=Respuestas!R$3,1,0)</f>
        <v/>
      </c>
      <c r="S8">
        <f>IF(Respuestas!S9=Respuestas!S$3,1,0)</f>
        <v/>
      </c>
      <c r="T8">
        <f>IF(Respuestas!T9=Respuestas!T$3,1,0)</f>
        <v/>
      </c>
      <c r="U8">
        <f>IF(Respuestas!U9=Respuestas!U$3,1,0)</f>
        <v/>
      </c>
      <c r="V8">
        <f>SUM(B8:U8)</f>
        <v/>
      </c>
      <c r="W8">
        <f>V8+(31-ROW()+2)/1000</f>
        <v/>
      </c>
      <c r="X8">
        <f>RANK(W8,$W$3:$W$32,0)</f>
        <v/>
      </c>
      <c r="Y8">
        <f>IF(X8&lt;=8,"Alto",IF(X8&gt;30-8,"Bajo","Medio"))</f>
        <v/>
      </c>
    </row>
    <row r="9">
      <c r="A9">
        <f>Respuestas!A10</f>
        <v/>
      </c>
      <c r="B9">
        <f>IF(Respuestas!B10=Respuestas!B$3,1,0)</f>
        <v/>
      </c>
      <c r="C9">
        <f>IF(Respuestas!C10=Respuestas!C$3,1,0)</f>
        <v/>
      </c>
      <c r="D9">
        <f>IF(Respuestas!D10=Respuestas!D$3,1,0)</f>
        <v/>
      </c>
      <c r="E9">
        <f>IF(Respuestas!E10=Respuestas!E$3,1,0)</f>
        <v/>
      </c>
      <c r="F9">
        <f>IF(Respuestas!F10=Respuestas!F$3,1,0)</f>
        <v/>
      </c>
      <c r="G9">
        <f>IF(Respuestas!G10=Respuestas!G$3,1,0)</f>
        <v/>
      </c>
      <c r="H9">
        <f>IF(Respuestas!H10=Respuestas!H$3,1,0)</f>
        <v/>
      </c>
      <c r="I9">
        <f>IF(Respuestas!I10=Respuestas!I$3,1,0)</f>
        <v/>
      </c>
      <c r="J9">
        <f>IF(Respuestas!J10=Respuestas!J$3,1,0)</f>
        <v/>
      </c>
      <c r="K9">
        <f>IF(Respuestas!K10=Respuestas!K$3,1,0)</f>
        <v/>
      </c>
      <c r="L9">
        <f>IF(Respuestas!L10=Respuestas!L$3,1,0)</f>
        <v/>
      </c>
      <c r="M9">
        <f>IF(Respuestas!M10=Respuestas!M$3,1,0)</f>
        <v/>
      </c>
      <c r="N9">
        <f>IF(Respuestas!N10=Respuestas!N$3,1,0)</f>
        <v/>
      </c>
      <c r="O9">
        <f>IF(Respuestas!O10=Respuestas!O$3,1,0)</f>
        <v/>
      </c>
      <c r="P9">
        <f>IF(Respuestas!P10=Respuestas!P$3,1,0)</f>
        <v/>
      </c>
      <c r="Q9">
        <f>IF(Respuestas!Q10=Respuestas!Q$3,1,0)</f>
        <v/>
      </c>
      <c r="R9">
        <f>IF(Respuestas!R10=Respuestas!R$3,1,0)</f>
        <v/>
      </c>
      <c r="S9">
        <f>IF(Respuestas!S10=Respuestas!S$3,1,0)</f>
        <v/>
      </c>
      <c r="T9">
        <f>IF(Respuestas!T10=Respuestas!T$3,1,0)</f>
        <v/>
      </c>
      <c r="U9">
        <f>IF(Respuestas!U10=Respuestas!U$3,1,0)</f>
        <v/>
      </c>
      <c r="V9">
        <f>SUM(B9:U9)</f>
        <v/>
      </c>
      <c r="W9">
        <f>V9+(31-ROW()+2)/1000</f>
        <v/>
      </c>
      <c r="X9">
        <f>RANK(W9,$W$3:$W$32,0)</f>
        <v/>
      </c>
      <c r="Y9">
        <f>IF(X9&lt;=8,"Alto",IF(X9&gt;30-8,"Bajo","Medio"))</f>
        <v/>
      </c>
    </row>
    <row r="10">
      <c r="A10">
        <f>Respuestas!A11</f>
        <v/>
      </c>
      <c r="B10">
        <f>IF(Respuestas!B11=Respuestas!B$3,1,0)</f>
        <v/>
      </c>
      <c r="C10">
        <f>IF(Respuestas!C11=Respuestas!C$3,1,0)</f>
        <v/>
      </c>
      <c r="D10">
        <f>IF(Respuestas!D11=Respuestas!D$3,1,0)</f>
        <v/>
      </c>
      <c r="E10">
        <f>IF(Respuestas!E11=Respuestas!E$3,1,0)</f>
        <v/>
      </c>
      <c r="F10">
        <f>IF(Respuestas!F11=Respuestas!F$3,1,0)</f>
        <v/>
      </c>
      <c r="G10">
        <f>IF(Respuestas!G11=Respuestas!G$3,1,0)</f>
        <v/>
      </c>
      <c r="H10">
        <f>IF(Respuestas!H11=Respuestas!H$3,1,0)</f>
        <v/>
      </c>
      <c r="I10">
        <f>IF(Respuestas!I11=Respuestas!I$3,1,0)</f>
        <v/>
      </c>
      <c r="J10">
        <f>IF(Respuestas!J11=Respuestas!J$3,1,0)</f>
        <v/>
      </c>
      <c r="K10">
        <f>IF(Respuestas!K11=Respuestas!K$3,1,0)</f>
        <v/>
      </c>
      <c r="L10">
        <f>IF(Respuestas!L11=Respuestas!L$3,1,0)</f>
        <v/>
      </c>
      <c r="M10">
        <f>IF(Respuestas!M11=Respuestas!M$3,1,0)</f>
        <v/>
      </c>
      <c r="N10">
        <f>IF(Respuestas!N11=Respuestas!N$3,1,0)</f>
        <v/>
      </c>
      <c r="O10">
        <f>IF(Respuestas!O11=Respuestas!O$3,1,0)</f>
        <v/>
      </c>
      <c r="P10">
        <f>IF(Respuestas!P11=Respuestas!P$3,1,0)</f>
        <v/>
      </c>
      <c r="Q10">
        <f>IF(Respuestas!Q11=Respuestas!Q$3,1,0)</f>
        <v/>
      </c>
      <c r="R10">
        <f>IF(Respuestas!R11=Respuestas!R$3,1,0)</f>
        <v/>
      </c>
      <c r="S10">
        <f>IF(Respuestas!S11=Respuestas!S$3,1,0)</f>
        <v/>
      </c>
      <c r="T10">
        <f>IF(Respuestas!T11=Respuestas!T$3,1,0)</f>
        <v/>
      </c>
      <c r="U10">
        <f>IF(Respuestas!U11=Respuestas!U$3,1,0)</f>
        <v/>
      </c>
      <c r="V10">
        <f>SUM(B10:U10)</f>
        <v/>
      </c>
      <c r="W10">
        <f>V10+(31-ROW()+2)/1000</f>
        <v/>
      </c>
      <c r="X10">
        <f>RANK(W10,$W$3:$W$32,0)</f>
        <v/>
      </c>
      <c r="Y10">
        <f>IF(X10&lt;=8,"Alto",IF(X10&gt;30-8,"Bajo","Medio"))</f>
        <v/>
      </c>
    </row>
    <row r="11">
      <c r="A11">
        <f>Respuestas!A12</f>
        <v/>
      </c>
      <c r="B11">
        <f>IF(Respuestas!B12=Respuestas!B$3,1,0)</f>
        <v/>
      </c>
      <c r="C11">
        <f>IF(Respuestas!C12=Respuestas!C$3,1,0)</f>
        <v/>
      </c>
      <c r="D11">
        <f>IF(Respuestas!D12=Respuestas!D$3,1,0)</f>
        <v/>
      </c>
      <c r="E11">
        <f>IF(Respuestas!E12=Respuestas!E$3,1,0)</f>
        <v/>
      </c>
      <c r="F11">
        <f>IF(Respuestas!F12=Respuestas!F$3,1,0)</f>
        <v/>
      </c>
      <c r="G11">
        <f>IF(Respuestas!G12=Respuestas!G$3,1,0)</f>
        <v/>
      </c>
      <c r="H11">
        <f>IF(Respuestas!H12=Respuestas!H$3,1,0)</f>
        <v/>
      </c>
      <c r="I11">
        <f>IF(Respuestas!I12=Respuestas!I$3,1,0)</f>
        <v/>
      </c>
      <c r="J11">
        <f>IF(Respuestas!J12=Respuestas!J$3,1,0)</f>
        <v/>
      </c>
      <c r="K11">
        <f>IF(Respuestas!K12=Respuestas!K$3,1,0)</f>
        <v/>
      </c>
      <c r="L11">
        <f>IF(Respuestas!L12=Respuestas!L$3,1,0)</f>
        <v/>
      </c>
      <c r="M11">
        <f>IF(Respuestas!M12=Respuestas!M$3,1,0)</f>
        <v/>
      </c>
      <c r="N11">
        <f>IF(Respuestas!N12=Respuestas!N$3,1,0)</f>
        <v/>
      </c>
      <c r="O11">
        <f>IF(Respuestas!O12=Respuestas!O$3,1,0)</f>
        <v/>
      </c>
      <c r="P11">
        <f>IF(Respuestas!P12=Respuestas!P$3,1,0)</f>
        <v/>
      </c>
      <c r="Q11">
        <f>IF(Respuestas!Q12=Respuestas!Q$3,1,0)</f>
        <v/>
      </c>
      <c r="R11">
        <f>IF(Respuestas!R12=Respuestas!R$3,1,0)</f>
        <v/>
      </c>
      <c r="S11">
        <f>IF(Respuestas!S12=Respuestas!S$3,1,0)</f>
        <v/>
      </c>
      <c r="T11">
        <f>IF(Respuestas!T12=Respuestas!T$3,1,0)</f>
        <v/>
      </c>
      <c r="U11">
        <f>IF(Respuestas!U12=Respuestas!U$3,1,0)</f>
        <v/>
      </c>
      <c r="V11">
        <f>SUM(B11:U11)</f>
        <v/>
      </c>
      <c r="W11">
        <f>V11+(31-ROW()+2)/1000</f>
        <v/>
      </c>
      <c r="X11">
        <f>RANK(W11,$W$3:$W$32,0)</f>
        <v/>
      </c>
      <c r="Y11">
        <f>IF(X11&lt;=8,"Alto",IF(X11&gt;30-8,"Bajo","Medio"))</f>
        <v/>
      </c>
    </row>
    <row r="12">
      <c r="A12">
        <f>Respuestas!A13</f>
        <v/>
      </c>
      <c r="B12">
        <f>IF(Respuestas!B13=Respuestas!B$3,1,0)</f>
        <v/>
      </c>
      <c r="C12">
        <f>IF(Respuestas!C13=Respuestas!C$3,1,0)</f>
        <v/>
      </c>
      <c r="D12">
        <f>IF(Respuestas!D13=Respuestas!D$3,1,0)</f>
        <v/>
      </c>
      <c r="E12">
        <f>IF(Respuestas!E13=Respuestas!E$3,1,0)</f>
        <v/>
      </c>
      <c r="F12">
        <f>IF(Respuestas!F13=Respuestas!F$3,1,0)</f>
        <v/>
      </c>
      <c r="G12">
        <f>IF(Respuestas!G13=Respuestas!G$3,1,0)</f>
        <v/>
      </c>
      <c r="H12">
        <f>IF(Respuestas!H13=Respuestas!H$3,1,0)</f>
        <v/>
      </c>
      <c r="I12">
        <f>IF(Respuestas!I13=Respuestas!I$3,1,0)</f>
        <v/>
      </c>
      <c r="J12">
        <f>IF(Respuestas!J13=Respuestas!J$3,1,0)</f>
        <v/>
      </c>
      <c r="K12">
        <f>IF(Respuestas!K13=Respuestas!K$3,1,0)</f>
        <v/>
      </c>
      <c r="L12">
        <f>IF(Respuestas!L13=Respuestas!L$3,1,0)</f>
        <v/>
      </c>
      <c r="M12">
        <f>IF(Respuestas!M13=Respuestas!M$3,1,0)</f>
        <v/>
      </c>
      <c r="N12">
        <f>IF(Respuestas!N13=Respuestas!N$3,1,0)</f>
        <v/>
      </c>
      <c r="O12">
        <f>IF(Respuestas!O13=Respuestas!O$3,1,0)</f>
        <v/>
      </c>
      <c r="P12">
        <f>IF(Respuestas!P13=Respuestas!P$3,1,0)</f>
        <v/>
      </c>
      <c r="Q12">
        <f>IF(Respuestas!Q13=Respuestas!Q$3,1,0)</f>
        <v/>
      </c>
      <c r="R12">
        <f>IF(Respuestas!R13=Respuestas!R$3,1,0)</f>
        <v/>
      </c>
      <c r="S12">
        <f>IF(Respuestas!S13=Respuestas!S$3,1,0)</f>
        <v/>
      </c>
      <c r="T12">
        <f>IF(Respuestas!T13=Respuestas!T$3,1,0)</f>
        <v/>
      </c>
      <c r="U12">
        <f>IF(Respuestas!U13=Respuestas!U$3,1,0)</f>
        <v/>
      </c>
      <c r="V12">
        <f>SUM(B12:U12)</f>
        <v/>
      </c>
      <c r="W12">
        <f>V12+(31-ROW()+2)/1000</f>
        <v/>
      </c>
      <c r="X12">
        <f>RANK(W12,$W$3:$W$32,0)</f>
        <v/>
      </c>
      <c r="Y12">
        <f>IF(X12&lt;=8,"Alto",IF(X12&gt;30-8,"Bajo","Medio"))</f>
        <v/>
      </c>
    </row>
    <row r="13">
      <c r="A13">
        <f>Respuestas!A14</f>
        <v/>
      </c>
      <c r="B13">
        <f>IF(Respuestas!B14=Respuestas!B$3,1,0)</f>
        <v/>
      </c>
      <c r="C13">
        <f>IF(Respuestas!C14=Respuestas!C$3,1,0)</f>
        <v/>
      </c>
      <c r="D13">
        <f>IF(Respuestas!D14=Respuestas!D$3,1,0)</f>
        <v/>
      </c>
      <c r="E13">
        <f>IF(Respuestas!E14=Respuestas!E$3,1,0)</f>
        <v/>
      </c>
      <c r="F13">
        <f>IF(Respuestas!F14=Respuestas!F$3,1,0)</f>
        <v/>
      </c>
      <c r="G13">
        <f>IF(Respuestas!G14=Respuestas!G$3,1,0)</f>
        <v/>
      </c>
      <c r="H13">
        <f>IF(Respuestas!H14=Respuestas!H$3,1,0)</f>
        <v/>
      </c>
      <c r="I13">
        <f>IF(Respuestas!I14=Respuestas!I$3,1,0)</f>
        <v/>
      </c>
      <c r="J13">
        <f>IF(Respuestas!J14=Respuestas!J$3,1,0)</f>
        <v/>
      </c>
      <c r="K13">
        <f>IF(Respuestas!K14=Respuestas!K$3,1,0)</f>
        <v/>
      </c>
      <c r="L13">
        <f>IF(Respuestas!L14=Respuestas!L$3,1,0)</f>
        <v/>
      </c>
      <c r="M13">
        <f>IF(Respuestas!M14=Respuestas!M$3,1,0)</f>
        <v/>
      </c>
      <c r="N13">
        <f>IF(Respuestas!N14=Respuestas!N$3,1,0)</f>
        <v/>
      </c>
      <c r="O13">
        <f>IF(Respuestas!O14=Respuestas!O$3,1,0)</f>
        <v/>
      </c>
      <c r="P13">
        <f>IF(Respuestas!P14=Respuestas!P$3,1,0)</f>
        <v/>
      </c>
      <c r="Q13">
        <f>IF(Respuestas!Q14=Respuestas!Q$3,1,0)</f>
        <v/>
      </c>
      <c r="R13">
        <f>IF(Respuestas!R14=Respuestas!R$3,1,0)</f>
        <v/>
      </c>
      <c r="S13">
        <f>IF(Respuestas!S14=Respuestas!S$3,1,0)</f>
        <v/>
      </c>
      <c r="T13">
        <f>IF(Respuestas!T14=Respuestas!T$3,1,0)</f>
        <v/>
      </c>
      <c r="U13">
        <f>IF(Respuestas!U14=Respuestas!U$3,1,0)</f>
        <v/>
      </c>
      <c r="V13">
        <f>SUM(B13:U13)</f>
        <v/>
      </c>
      <c r="W13">
        <f>V13+(31-ROW()+2)/1000</f>
        <v/>
      </c>
      <c r="X13">
        <f>RANK(W13,$W$3:$W$32,0)</f>
        <v/>
      </c>
      <c r="Y13">
        <f>IF(X13&lt;=8,"Alto",IF(X13&gt;30-8,"Bajo","Medio"))</f>
        <v/>
      </c>
    </row>
    <row r="14">
      <c r="A14">
        <f>Respuestas!A15</f>
        <v/>
      </c>
      <c r="B14">
        <f>IF(Respuestas!B15=Respuestas!B$3,1,0)</f>
        <v/>
      </c>
      <c r="C14">
        <f>IF(Respuestas!C15=Respuestas!C$3,1,0)</f>
        <v/>
      </c>
      <c r="D14">
        <f>IF(Respuestas!D15=Respuestas!D$3,1,0)</f>
        <v/>
      </c>
      <c r="E14">
        <f>IF(Respuestas!E15=Respuestas!E$3,1,0)</f>
        <v/>
      </c>
      <c r="F14">
        <f>IF(Respuestas!F15=Respuestas!F$3,1,0)</f>
        <v/>
      </c>
      <c r="G14">
        <f>IF(Respuestas!G15=Respuestas!G$3,1,0)</f>
        <v/>
      </c>
      <c r="H14">
        <f>IF(Respuestas!H15=Respuestas!H$3,1,0)</f>
        <v/>
      </c>
      <c r="I14">
        <f>IF(Respuestas!I15=Respuestas!I$3,1,0)</f>
        <v/>
      </c>
      <c r="J14">
        <f>IF(Respuestas!J15=Respuestas!J$3,1,0)</f>
        <v/>
      </c>
      <c r="K14">
        <f>IF(Respuestas!K15=Respuestas!K$3,1,0)</f>
        <v/>
      </c>
      <c r="L14">
        <f>IF(Respuestas!L15=Respuestas!L$3,1,0)</f>
        <v/>
      </c>
      <c r="M14">
        <f>IF(Respuestas!M15=Respuestas!M$3,1,0)</f>
        <v/>
      </c>
      <c r="N14">
        <f>IF(Respuestas!N15=Respuestas!N$3,1,0)</f>
        <v/>
      </c>
      <c r="O14">
        <f>IF(Respuestas!O15=Respuestas!O$3,1,0)</f>
        <v/>
      </c>
      <c r="P14">
        <f>IF(Respuestas!P15=Respuestas!P$3,1,0)</f>
        <v/>
      </c>
      <c r="Q14">
        <f>IF(Respuestas!Q15=Respuestas!Q$3,1,0)</f>
        <v/>
      </c>
      <c r="R14">
        <f>IF(Respuestas!R15=Respuestas!R$3,1,0)</f>
        <v/>
      </c>
      <c r="S14">
        <f>IF(Respuestas!S15=Respuestas!S$3,1,0)</f>
        <v/>
      </c>
      <c r="T14">
        <f>IF(Respuestas!T15=Respuestas!T$3,1,0)</f>
        <v/>
      </c>
      <c r="U14">
        <f>IF(Respuestas!U15=Respuestas!U$3,1,0)</f>
        <v/>
      </c>
      <c r="V14">
        <f>SUM(B14:U14)</f>
        <v/>
      </c>
      <c r="W14">
        <f>V14+(31-ROW()+2)/1000</f>
        <v/>
      </c>
      <c r="X14">
        <f>RANK(W14,$W$3:$W$32,0)</f>
        <v/>
      </c>
      <c r="Y14">
        <f>IF(X14&lt;=8,"Alto",IF(X14&gt;30-8,"Bajo","Medio"))</f>
        <v/>
      </c>
    </row>
    <row r="15">
      <c r="A15">
        <f>Respuestas!A16</f>
        <v/>
      </c>
      <c r="B15">
        <f>IF(Respuestas!B16=Respuestas!B$3,1,0)</f>
        <v/>
      </c>
      <c r="C15">
        <f>IF(Respuestas!C16=Respuestas!C$3,1,0)</f>
        <v/>
      </c>
      <c r="D15">
        <f>IF(Respuestas!D16=Respuestas!D$3,1,0)</f>
        <v/>
      </c>
      <c r="E15">
        <f>IF(Respuestas!E16=Respuestas!E$3,1,0)</f>
        <v/>
      </c>
      <c r="F15">
        <f>IF(Respuestas!F16=Respuestas!F$3,1,0)</f>
        <v/>
      </c>
      <c r="G15">
        <f>IF(Respuestas!G16=Respuestas!G$3,1,0)</f>
        <v/>
      </c>
      <c r="H15">
        <f>IF(Respuestas!H16=Respuestas!H$3,1,0)</f>
        <v/>
      </c>
      <c r="I15">
        <f>IF(Respuestas!I16=Respuestas!I$3,1,0)</f>
        <v/>
      </c>
      <c r="J15">
        <f>IF(Respuestas!J16=Respuestas!J$3,1,0)</f>
        <v/>
      </c>
      <c r="K15">
        <f>IF(Respuestas!K16=Respuestas!K$3,1,0)</f>
        <v/>
      </c>
      <c r="L15">
        <f>IF(Respuestas!L16=Respuestas!L$3,1,0)</f>
        <v/>
      </c>
      <c r="M15">
        <f>IF(Respuestas!M16=Respuestas!M$3,1,0)</f>
        <v/>
      </c>
      <c r="N15">
        <f>IF(Respuestas!N16=Respuestas!N$3,1,0)</f>
        <v/>
      </c>
      <c r="O15">
        <f>IF(Respuestas!O16=Respuestas!O$3,1,0)</f>
        <v/>
      </c>
      <c r="P15">
        <f>IF(Respuestas!P16=Respuestas!P$3,1,0)</f>
        <v/>
      </c>
      <c r="Q15">
        <f>IF(Respuestas!Q16=Respuestas!Q$3,1,0)</f>
        <v/>
      </c>
      <c r="R15">
        <f>IF(Respuestas!R16=Respuestas!R$3,1,0)</f>
        <v/>
      </c>
      <c r="S15">
        <f>IF(Respuestas!S16=Respuestas!S$3,1,0)</f>
        <v/>
      </c>
      <c r="T15">
        <f>IF(Respuestas!T16=Respuestas!T$3,1,0)</f>
        <v/>
      </c>
      <c r="U15">
        <f>IF(Respuestas!U16=Respuestas!U$3,1,0)</f>
        <v/>
      </c>
      <c r="V15">
        <f>SUM(B15:U15)</f>
        <v/>
      </c>
      <c r="W15">
        <f>V15+(31-ROW()+2)/1000</f>
        <v/>
      </c>
      <c r="X15">
        <f>RANK(W15,$W$3:$W$32,0)</f>
        <v/>
      </c>
      <c r="Y15">
        <f>IF(X15&lt;=8,"Alto",IF(X15&gt;30-8,"Bajo","Medio"))</f>
        <v/>
      </c>
    </row>
    <row r="16">
      <c r="A16">
        <f>Respuestas!A17</f>
        <v/>
      </c>
      <c r="B16">
        <f>IF(Respuestas!B17=Respuestas!B$3,1,0)</f>
        <v/>
      </c>
      <c r="C16">
        <f>IF(Respuestas!C17=Respuestas!C$3,1,0)</f>
        <v/>
      </c>
      <c r="D16">
        <f>IF(Respuestas!D17=Respuestas!D$3,1,0)</f>
        <v/>
      </c>
      <c r="E16">
        <f>IF(Respuestas!E17=Respuestas!E$3,1,0)</f>
        <v/>
      </c>
      <c r="F16">
        <f>IF(Respuestas!F17=Respuestas!F$3,1,0)</f>
        <v/>
      </c>
      <c r="G16">
        <f>IF(Respuestas!G17=Respuestas!G$3,1,0)</f>
        <v/>
      </c>
      <c r="H16">
        <f>IF(Respuestas!H17=Respuestas!H$3,1,0)</f>
        <v/>
      </c>
      <c r="I16">
        <f>IF(Respuestas!I17=Respuestas!I$3,1,0)</f>
        <v/>
      </c>
      <c r="J16">
        <f>IF(Respuestas!J17=Respuestas!J$3,1,0)</f>
        <v/>
      </c>
      <c r="K16">
        <f>IF(Respuestas!K17=Respuestas!K$3,1,0)</f>
        <v/>
      </c>
      <c r="L16">
        <f>IF(Respuestas!L17=Respuestas!L$3,1,0)</f>
        <v/>
      </c>
      <c r="M16">
        <f>IF(Respuestas!M17=Respuestas!M$3,1,0)</f>
        <v/>
      </c>
      <c r="N16">
        <f>IF(Respuestas!N17=Respuestas!N$3,1,0)</f>
        <v/>
      </c>
      <c r="O16">
        <f>IF(Respuestas!O17=Respuestas!O$3,1,0)</f>
        <v/>
      </c>
      <c r="P16">
        <f>IF(Respuestas!P17=Respuestas!P$3,1,0)</f>
        <v/>
      </c>
      <c r="Q16">
        <f>IF(Respuestas!Q17=Respuestas!Q$3,1,0)</f>
        <v/>
      </c>
      <c r="R16">
        <f>IF(Respuestas!R17=Respuestas!R$3,1,0)</f>
        <v/>
      </c>
      <c r="S16">
        <f>IF(Respuestas!S17=Respuestas!S$3,1,0)</f>
        <v/>
      </c>
      <c r="T16">
        <f>IF(Respuestas!T17=Respuestas!T$3,1,0)</f>
        <v/>
      </c>
      <c r="U16">
        <f>IF(Respuestas!U17=Respuestas!U$3,1,0)</f>
        <v/>
      </c>
      <c r="V16">
        <f>SUM(B16:U16)</f>
        <v/>
      </c>
      <c r="W16">
        <f>V16+(31-ROW()+2)/1000</f>
        <v/>
      </c>
      <c r="X16">
        <f>RANK(W16,$W$3:$W$32,0)</f>
        <v/>
      </c>
      <c r="Y16">
        <f>IF(X16&lt;=8,"Alto",IF(X16&gt;30-8,"Bajo","Medio"))</f>
        <v/>
      </c>
    </row>
    <row r="17">
      <c r="A17">
        <f>Respuestas!A18</f>
        <v/>
      </c>
      <c r="B17">
        <f>IF(Respuestas!B18=Respuestas!B$3,1,0)</f>
        <v/>
      </c>
      <c r="C17">
        <f>IF(Respuestas!C18=Respuestas!C$3,1,0)</f>
        <v/>
      </c>
      <c r="D17">
        <f>IF(Respuestas!D18=Respuestas!D$3,1,0)</f>
        <v/>
      </c>
      <c r="E17">
        <f>IF(Respuestas!E18=Respuestas!E$3,1,0)</f>
        <v/>
      </c>
      <c r="F17">
        <f>IF(Respuestas!F18=Respuestas!F$3,1,0)</f>
        <v/>
      </c>
      <c r="G17">
        <f>IF(Respuestas!G18=Respuestas!G$3,1,0)</f>
        <v/>
      </c>
      <c r="H17">
        <f>IF(Respuestas!H18=Respuestas!H$3,1,0)</f>
        <v/>
      </c>
      <c r="I17">
        <f>IF(Respuestas!I18=Respuestas!I$3,1,0)</f>
        <v/>
      </c>
      <c r="J17">
        <f>IF(Respuestas!J18=Respuestas!J$3,1,0)</f>
        <v/>
      </c>
      <c r="K17">
        <f>IF(Respuestas!K18=Respuestas!K$3,1,0)</f>
        <v/>
      </c>
      <c r="L17">
        <f>IF(Respuestas!L18=Respuestas!L$3,1,0)</f>
        <v/>
      </c>
      <c r="M17">
        <f>IF(Respuestas!M18=Respuestas!M$3,1,0)</f>
        <v/>
      </c>
      <c r="N17">
        <f>IF(Respuestas!N18=Respuestas!N$3,1,0)</f>
        <v/>
      </c>
      <c r="O17">
        <f>IF(Respuestas!O18=Respuestas!O$3,1,0)</f>
        <v/>
      </c>
      <c r="P17">
        <f>IF(Respuestas!P18=Respuestas!P$3,1,0)</f>
        <v/>
      </c>
      <c r="Q17">
        <f>IF(Respuestas!Q18=Respuestas!Q$3,1,0)</f>
        <v/>
      </c>
      <c r="R17">
        <f>IF(Respuestas!R18=Respuestas!R$3,1,0)</f>
        <v/>
      </c>
      <c r="S17">
        <f>IF(Respuestas!S18=Respuestas!S$3,1,0)</f>
        <v/>
      </c>
      <c r="T17">
        <f>IF(Respuestas!T18=Respuestas!T$3,1,0)</f>
        <v/>
      </c>
      <c r="U17">
        <f>IF(Respuestas!U18=Respuestas!U$3,1,0)</f>
        <v/>
      </c>
      <c r="V17">
        <f>SUM(B17:U17)</f>
        <v/>
      </c>
      <c r="W17">
        <f>V17+(31-ROW()+2)/1000</f>
        <v/>
      </c>
      <c r="X17">
        <f>RANK(W17,$W$3:$W$32,0)</f>
        <v/>
      </c>
      <c r="Y17">
        <f>IF(X17&lt;=8,"Alto",IF(X17&gt;30-8,"Bajo","Medio"))</f>
        <v/>
      </c>
    </row>
    <row r="18">
      <c r="A18">
        <f>Respuestas!A19</f>
        <v/>
      </c>
      <c r="B18">
        <f>IF(Respuestas!B19=Respuestas!B$3,1,0)</f>
        <v/>
      </c>
      <c r="C18">
        <f>IF(Respuestas!C19=Respuestas!C$3,1,0)</f>
        <v/>
      </c>
      <c r="D18">
        <f>IF(Respuestas!D19=Respuestas!D$3,1,0)</f>
        <v/>
      </c>
      <c r="E18">
        <f>IF(Respuestas!E19=Respuestas!E$3,1,0)</f>
        <v/>
      </c>
      <c r="F18">
        <f>IF(Respuestas!F19=Respuestas!F$3,1,0)</f>
        <v/>
      </c>
      <c r="G18">
        <f>IF(Respuestas!G19=Respuestas!G$3,1,0)</f>
        <v/>
      </c>
      <c r="H18">
        <f>IF(Respuestas!H19=Respuestas!H$3,1,0)</f>
        <v/>
      </c>
      <c r="I18">
        <f>IF(Respuestas!I19=Respuestas!I$3,1,0)</f>
        <v/>
      </c>
      <c r="J18">
        <f>IF(Respuestas!J19=Respuestas!J$3,1,0)</f>
        <v/>
      </c>
      <c r="K18">
        <f>IF(Respuestas!K19=Respuestas!K$3,1,0)</f>
        <v/>
      </c>
      <c r="L18">
        <f>IF(Respuestas!L19=Respuestas!L$3,1,0)</f>
        <v/>
      </c>
      <c r="M18">
        <f>IF(Respuestas!M19=Respuestas!M$3,1,0)</f>
        <v/>
      </c>
      <c r="N18">
        <f>IF(Respuestas!N19=Respuestas!N$3,1,0)</f>
        <v/>
      </c>
      <c r="O18">
        <f>IF(Respuestas!O19=Respuestas!O$3,1,0)</f>
        <v/>
      </c>
      <c r="P18">
        <f>IF(Respuestas!P19=Respuestas!P$3,1,0)</f>
        <v/>
      </c>
      <c r="Q18">
        <f>IF(Respuestas!Q19=Respuestas!Q$3,1,0)</f>
        <v/>
      </c>
      <c r="R18">
        <f>IF(Respuestas!R19=Respuestas!R$3,1,0)</f>
        <v/>
      </c>
      <c r="S18">
        <f>IF(Respuestas!S19=Respuestas!S$3,1,0)</f>
        <v/>
      </c>
      <c r="T18">
        <f>IF(Respuestas!T19=Respuestas!T$3,1,0)</f>
        <v/>
      </c>
      <c r="U18">
        <f>IF(Respuestas!U19=Respuestas!U$3,1,0)</f>
        <v/>
      </c>
      <c r="V18">
        <f>SUM(B18:U18)</f>
        <v/>
      </c>
      <c r="W18">
        <f>V18+(31-ROW()+2)/1000</f>
        <v/>
      </c>
      <c r="X18">
        <f>RANK(W18,$W$3:$W$32,0)</f>
        <v/>
      </c>
      <c r="Y18">
        <f>IF(X18&lt;=8,"Alto",IF(X18&gt;30-8,"Bajo","Medio"))</f>
        <v/>
      </c>
    </row>
    <row r="19">
      <c r="A19">
        <f>Respuestas!A20</f>
        <v/>
      </c>
      <c r="B19">
        <f>IF(Respuestas!B20=Respuestas!B$3,1,0)</f>
        <v/>
      </c>
      <c r="C19">
        <f>IF(Respuestas!C20=Respuestas!C$3,1,0)</f>
        <v/>
      </c>
      <c r="D19">
        <f>IF(Respuestas!D20=Respuestas!D$3,1,0)</f>
        <v/>
      </c>
      <c r="E19">
        <f>IF(Respuestas!E20=Respuestas!E$3,1,0)</f>
        <v/>
      </c>
      <c r="F19">
        <f>IF(Respuestas!F20=Respuestas!F$3,1,0)</f>
        <v/>
      </c>
      <c r="G19">
        <f>IF(Respuestas!G20=Respuestas!G$3,1,0)</f>
        <v/>
      </c>
      <c r="H19">
        <f>IF(Respuestas!H20=Respuestas!H$3,1,0)</f>
        <v/>
      </c>
      <c r="I19">
        <f>IF(Respuestas!I20=Respuestas!I$3,1,0)</f>
        <v/>
      </c>
      <c r="J19">
        <f>IF(Respuestas!J20=Respuestas!J$3,1,0)</f>
        <v/>
      </c>
      <c r="K19">
        <f>IF(Respuestas!K20=Respuestas!K$3,1,0)</f>
        <v/>
      </c>
      <c r="L19">
        <f>IF(Respuestas!L20=Respuestas!L$3,1,0)</f>
        <v/>
      </c>
      <c r="M19">
        <f>IF(Respuestas!M20=Respuestas!M$3,1,0)</f>
        <v/>
      </c>
      <c r="N19">
        <f>IF(Respuestas!N20=Respuestas!N$3,1,0)</f>
        <v/>
      </c>
      <c r="O19">
        <f>IF(Respuestas!O20=Respuestas!O$3,1,0)</f>
        <v/>
      </c>
      <c r="P19">
        <f>IF(Respuestas!P20=Respuestas!P$3,1,0)</f>
        <v/>
      </c>
      <c r="Q19">
        <f>IF(Respuestas!Q20=Respuestas!Q$3,1,0)</f>
        <v/>
      </c>
      <c r="R19">
        <f>IF(Respuestas!R20=Respuestas!R$3,1,0)</f>
        <v/>
      </c>
      <c r="S19">
        <f>IF(Respuestas!S20=Respuestas!S$3,1,0)</f>
        <v/>
      </c>
      <c r="T19">
        <f>IF(Respuestas!T20=Respuestas!T$3,1,0)</f>
        <v/>
      </c>
      <c r="U19">
        <f>IF(Respuestas!U20=Respuestas!U$3,1,0)</f>
        <v/>
      </c>
      <c r="V19">
        <f>SUM(B19:U19)</f>
        <v/>
      </c>
      <c r="W19">
        <f>V19+(31-ROW()+2)/1000</f>
        <v/>
      </c>
      <c r="X19">
        <f>RANK(W19,$W$3:$W$32,0)</f>
        <v/>
      </c>
      <c r="Y19">
        <f>IF(X19&lt;=8,"Alto",IF(X19&gt;30-8,"Bajo","Medio"))</f>
        <v/>
      </c>
    </row>
    <row r="20">
      <c r="A20">
        <f>Respuestas!A21</f>
        <v/>
      </c>
      <c r="B20">
        <f>IF(Respuestas!B21=Respuestas!B$3,1,0)</f>
        <v/>
      </c>
      <c r="C20">
        <f>IF(Respuestas!C21=Respuestas!C$3,1,0)</f>
        <v/>
      </c>
      <c r="D20">
        <f>IF(Respuestas!D21=Respuestas!D$3,1,0)</f>
        <v/>
      </c>
      <c r="E20">
        <f>IF(Respuestas!E21=Respuestas!E$3,1,0)</f>
        <v/>
      </c>
      <c r="F20">
        <f>IF(Respuestas!F21=Respuestas!F$3,1,0)</f>
        <v/>
      </c>
      <c r="G20">
        <f>IF(Respuestas!G21=Respuestas!G$3,1,0)</f>
        <v/>
      </c>
      <c r="H20">
        <f>IF(Respuestas!H21=Respuestas!H$3,1,0)</f>
        <v/>
      </c>
      <c r="I20">
        <f>IF(Respuestas!I21=Respuestas!I$3,1,0)</f>
        <v/>
      </c>
      <c r="J20">
        <f>IF(Respuestas!J21=Respuestas!J$3,1,0)</f>
        <v/>
      </c>
      <c r="K20">
        <f>IF(Respuestas!K21=Respuestas!K$3,1,0)</f>
        <v/>
      </c>
      <c r="L20">
        <f>IF(Respuestas!L21=Respuestas!L$3,1,0)</f>
        <v/>
      </c>
      <c r="M20">
        <f>IF(Respuestas!M21=Respuestas!M$3,1,0)</f>
        <v/>
      </c>
      <c r="N20">
        <f>IF(Respuestas!N21=Respuestas!N$3,1,0)</f>
        <v/>
      </c>
      <c r="O20">
        <f>IF(Respuestas!O21=Respuestas!O$3,1,0)</f>
        <v/>
      </c>
      <c r="P20">
        <f>IF(Respuestas!P21=Respuestas!P$3,1,0)</f>
        <v/>
      </c>
      <c r="Q20">
        <f>IF(Respuestas!Q21=Respuestas!Q$3,1,0)</f>
        <v/>
      </c>
      <c r="R20">
        <f>IF(Respuestas!R21=Respuestas!R$3,1,0)</f>
        <v/>
      </c>
      <c r="S20">
        <f>IF(Respuestas!S21=Respuestas!S$3,1,0)</f>
        <v/>
      </c>
      <c r="T20">
        <f>IF(Respuestas!T21=Respuestas!T$3,1,0)</f>
        <v/>
      </c>
      <c r="U20">
        <f>IF(Respuestas!U21=Respuestas!U$3,1,0)</f>
        <v/>
      </c>
      <c r="V20">
        <f>SUM(B20:U20)</f>
        <v/>
      </c>
      <c r="W20">
        <f>V20+(31-ROW()+2)/1000</f>
        <v/>
      </c>
      <c r="X20">
        <f>RANK(W20,$W$3:$W$32,0)</f>
        <v/>
      </c>
      <c r="Y20">
        <f>IF(X20&lt;=8,"Alto",IF(X20&gt;30-8,"Bajo","Medio"))</f>
        <v/>
      </c>
    </row>
    <row r="21">
      <c r="A21">
        <f>Respuestas!A22</f>
        <v/>
      </c>
      <c r="B21">
        <f>IF(Respuestas!B22=Respuestas!B$3,1,0)</f>
        <v/>
      </c>
      <c r="C21">
        <f>IF(Respuestas!C22=Respuestas!C$3,1,0)</f>
        <v/>
      </c>
      <c r="D21">
        <f>IF(Respuestas!D22=Respuestas!D$3,1,0)</f>
        <v/>
      </c>
      <c r="E21">
        <f>IF(Respuestas!E22=Respuestas!E$3,1,0)</f>
        <v/>
      </c>
      <c r="F21">
        <f>IF(Respuestas!F22=Respuestas!F$3,1,0)</f>
        <v/>
      </c>
      <c r="G21">
        <f>IF(Respuestas!G22=Respuestas!G$3,1,0)</f>
        <v/>
      </c>
      <c r="H21">
        <f>IF(Respuestas!H22=Respuestas!H$3,1,0)</f>
        <v/>
      </c>
      <c r="I21">
        <f>IF(Respuestas!I22=Respuestas!I$3,1,0)</f>
        <v/>
      </c>
      <c r="J21">
        <f>IF(Respuestas!J22=Respuestas!J$3,1,0)</f>
        <v/>
      </c>
      <c r="K21">
        <f>IF(Respuestas!K22=Respuestas!K$3,1,0)</f>
        <v/>
      </c>
      <c r="L21">
        <f>IF(Respuestas!L22=Respuestas!L$3,1,0)</f>
        <v/>
      </c>
      <c r="M21">
        <f>IF(Respuestas!M22=Respuestas!M$3,1,0)</f>
        <v/>
      </c>
      <c r="N21">
        <f>IF(Respuestas!N22=Respuestas!N$3,1,0)</f>
        <v/>
      </c>
      <c r="O21">
        <f>IF(Respuestas!O22=Respuestas!O$3,1,0)</f>
        <v/>
      </c>
      <c r="P21">
        <f>IF(Respuestas!P22=Respuestas!P$3,1,0)</f>
        <v/>
      </c>
      <c r="Q21">
        <f>IF(Respuestas!Q22=Respuestas!Q$3,1,0)</f>
        <v/>
      </c>
      <c r="R21">
        <f>IF(Respuestas!R22=Respuestas!R$3,1,0)</f>
        <v/>
      </c>
      <c r="S21">
        <f>IF(Respuestas!S22=Respuestas!S$3,1,0)</f>
        <v/>
      </c>
      <c r="T21">
        <f>IF(Respuestas!T22=Respuestas!T$3,1,0)</f>
        <v/>
      </c>
      <c r="U21">
        <f>IF(Respuestas!U22=Respuestas!U$3,1,0)</f>
        <v/>
      </c>
      <c r="V21">
        <f>SUM(B21:U21)</f>
        <v/>
      </c>
      <c r="W21">
        <f>V21+(31-ROW()+2)/1000</f>
        <v/>
      </c>
      <c r="X21">
        <f>RANK(W21,$W$3:$W$32,0)</f>
        <v/>
      </c>
      <c r="Y21">
        <f>IF(X21&lt;=8,"Alto",IF(X21&gt;30-8,"Bajo","Medio"))</f>
        <v/>
      </c>
    </row>
    <row r="22">
      <c r="A22">
        <f>Respuestas!A23</f>
        <v/>
      </c>
      <c r="B22">
        <f>IF(Respuestas!B23=Respuestas!B$3,1,0)</f>
        <v/>
      </c>
      <c r="C22">
        <f>IF(Respuestas!C23=Respuestas!C$3,1,0)</f>
        <v/>
      </c>
      <c r="D22">
        <f>IF(Respuestas!D23=Respuestas!D$3,1,0)</f>
        <v/>
      </c>
      <c r="E22">
        <f>IF(Respuestas!E23=Respuestas!E$3,1,0)</f>
        <v/>
      </c>
      <c r="F22">
        <f>IF(Respuestas!F23=Respuestas!F$3,1,0)</f>
        <v/>
      </c>
      <c r="G22">
        <f>IF(Respuestas!G23=Respuestas!G$3,1,0)</f>
        <v/>
      </c>
      <c r="H22">
        <f>IF(Respuestas!H23=Respuestas!H$3,1,0)</f>
        <v/>
      </c>
      <c r="I22">
        <f>IF(Respuestas!I23=Respuestas!I$3,1,0)</f>
        <v/>
      </c>
      <c r="J22">
        <f>IF(Respuestas!J23=Respuestas!J$3,1,0)</f>
        <v/>
      </c>
      <c r="K22">
        <f>IF(Respuestas!K23=Respuestas!K$3,1,0)</f>
        <v/>
      </c>
      <c r="L22">
        <f>IF(Respuestas!L23=Respuestas!L$3,1,0)</f>
        <v/>
      </c>
      <c r="M22">
        <f>IF(Respuestas!M23=Respuestas!M$3,1,0)</f>
        <v/>
      </c>
      <c r="N22">
        <f>IF(Respuestas!N23=Respuestas!N$3,1,0)</f>
        <v/>
      </c>
      <c r="O22">
        <f>IF(Respuestas!O23=Respuestas!O$3,1,0)</f>
        <v/>
      </c>
      <c r="P22">
        <f>IF(Respuestas!P23=Respuestas!P$3,1,0)</f>
        <v/>
      </c>
      <c r="Q22">
        <f>IF(Respuestas!Q23=Respuestas!Q$3,1,0)</f>
        <v/>
      </c>
      <c r="R22">
        <f>IF(Respuestas!R23=Respuestas!R$3,1,0)</f>
        <v/>
      </c>
      <c r="S22">
        <f>IF(Respuestas!S23=Respuestas!S$3,1,0)</f>
        <v/>
      </c>
      <c r="T22">
        <f>IF(Respuestas!T23=Respuestas!T$3,1,0)</f>
        <v/>
      </c>
      <c r="U22">
        <f>IF(Respuestas!U23=Respuestas!U$3,1,0)</f>
        <v/>
      </c>
      <c r="V22">
        <f>SUM(B22:U22)</f>
        <v/>
      </c>
      <c r="W22">
        <f>V22+(31-ROW()+2)/1000</f>
        <v/>
      </c>
      <c r="X22">
        <f>RANK(W22,$W$3:$W$32,0)</f>
        <v/>
      </c>
      <c r="Y22">
        <f>IF(X22&lt;=8,"Alto",IF(X22&gt;30-8,"Bajo","Medio"))</f>
        <v/>
      </c>
    </row>
    <row r="23">
      <c r="A23">
        <f>Respuestas!A24</f>
        <v/>
      </c>
      <c r="B23">
        <f>IF(Respuestas!B24=Respuestas!B$3,1,0)</f>
        <v/>
      </c>
      <c r="C23">
        <f>IF(Respuestas!C24=Respuestas!C$3,1,0)</f>
        <v/>
      </c>
      <c r="D23">
        <f>IF(Respuestas!D24=Respuestas!D$3,1,0)</f>
        <v/>
      </c>
      <c r="E23">
        <f>IF(Respuestas!E24=Respuestas!E$3,1,0)</f>
        <v/>
      </c>
      <c r="F23">
        <f>IF(Respuestas!F24=Respuestas!F$3,1,0)</f>
        <v/>
      </c>
      <c r="G23">
        <f>IF(Respuestas!G24=Respuestas!G$3,1,0)</f>
        <v/>
      </c>
      <c r="H23">
        <f>IF(Respuestas!H24=Respuestas!H$3,1,0)</f>
        <v/>
      </c>
      <c r="I23">
        <f>IF(Respuestas!I24=Respuestas!I$3,1,0)</f>
        <v/>
      </c>
      <c r="J23">
        <f>IF(Respuestas!J24=Respuestas!J$3,1,0)</f>
        <v/>
      </c>
      <c r="K23">
        <f>IF(Respuestas!K24=Respuestas!K$3,1,0)</f>
        <v/>
      </c>
      <c r="L23">
        <f>IF(Respuestas!L24=Respuestas!L$3,1,0)</f>
        <v/>
      </c>
      <c r="M23">
        <f>IF(Respuestas!M24=Respuestas!M$3,1,0)</f>
        <v/>
      </c>
      <c r="N23">
        <f>IF(Respuestas!N24=Respuestas!N$3,1,0)</f>
        <v/>
      </c>
      <c r="O23">
        <f>IF(Respuestas!O24=Respuestas!O$3,1,0)</f>
        <v/>
      </c>
      <c r="P23">
        <f>IF(Respuestas!P24=Respuestas!P$3,1,0)</f>
        <v/>
      </c>
      <c r="Q23">
        <f>IF(Respuestas!Q24=Respuestas!Q$3,1,0)</f>
        <v/>
      </c>
      <c r="R23">
        <f>IF(Respuestas!R24=Respuestas!R$3,1,0)</f>
        <v/>
      </c>
      <c r="S23">
        <f>IF(Respuestas!S24=Respuestas!S$3,1,0)</f>
        <v/>
      </c>
      <c r="T23">
        <f>IF(Respuestas!T24=Respuestas!T$3,1,0)</f>
        <v/>
      </c>
      <c r="U23">
        <f>IF(Respuestas!U24=Respuestas!U$3,1,0)</f>
        <v/>
      </c>
      <c r="V23">
        <f>SUM(B23:U23)</f>
        <v/>
      </c>
      <c r="W23">
        <f>V23+(31-ROW()+2)/1000</f>
        <v/>
      </c>
      <c r="X23">
        <f>RANK(W23,$W$3:$W$32,0)</f>
        <v/>
      </c>
      <c r="Y23">
        <f>IF(X23&lt;=8,"Alto",IF(X23&gt;30-8,"Bajo","Medio"))</f>
        <v/>
      </c>
    </row>
    <row r="24">
      <c r="A24">
        <f>Respuestas!A25</f>
        <v/>
      </c>
      <c r="B24">
        <f>IF(Respuestas!B25=Respuestas!B$3,1,0)</f>
        <v/>
      </c>
      <c r="C24">
        <f>IF(Respuestas!C25=Respuestas!C$3,1,0)</f>
        <v/>
      </c>
      <c r="D24">
        <f>IF(Respuestas!D25=Respuestas!D$3,1,0)</f>
        <v/>
      </c>
      <c r="E24">
        <f>IF(Respuestas!E25=Respuestas!E$3,1,0)</f>
        <v/>
      </c>
      <c r="F24">
        <f>IF(Respuestas!F25=Respuestas!F$3,1,0)</f>
        <v/>
      </c>
      <c r="G24">
        <f>IF(Respuestas!G25=Respuestas!G$3,1,0)</f>
        <v/>
      </c>
      <c r="H24">
        <f>IF(Respuestas!H25=Respuestas!H$3,1,0)</f>
        <v/>
      </c>
      <c r="I24">
        <f>IF(Respuestas!I25=Respuestas!I$3,1,0)</f>
        <v/>
      </c>
      <c r="J24">
        <f>IF(Respuestas!J25=Respuestas!J$3,1,0)</f>
        <v/>
      </c>
      <c r="K24">
        <f>IF(Respuestas!K25=Respuestas!K$3,1,0)</f>
        <v/>
      </c>
      <c r="L24">
        <f>IF(Respuestas!L25=Respuestas!L$3,1,0)</f>
        <v/>
      </c>
      <c r="M24">
        <f>IF(Respuestas!M25=Respuestas!M$3,1,0)</f>
        <v/>
      </c>
      <c r="N24">
        <f>IF(Respuestas!N25=Respuestas!N$3,1,0)</f>
        <v/>
      </c>
      <c r="O24">
        <f>IF(Respuestas!O25=Respuestas!O$3,1,0)</f>
        <v/>
      </c>
      <c r="P24">
        <f>IF(Respuestas!P25=Respuestas!P$3,1,0)</f>
        <v/>
      </c>
      <c r="Q24">
        <f>IF(Respuestas!Q25=Respuestas!Q$3,1,0)</f>
        <v/>
      </c>
      <c r="R24">
        <f>IF(Respuestas!R25=Respuestas!R$3,1,0)</f>
        <v/>
      </c>
      <c r="S24">
        <f>IF(Respuestas!S25=Respuestas!S$3,1,0)</f>
        <v/>
      </c>
      <c r="T24">
        <f>IF(Respuestas!T25=Respuestas!T$3,1,0)</f>
        <v/>
      </c>
      <c r="U24">
        <f>IF(Respuestas!U25=Respuestas!U$3,1,0)</f>
        <v/>
      </c>
      <c r="V24">
        <f>SUM(B24:U24)</f>
        <v/>
      </c>
      <c r="W24">
        <f>V24+(31-ROW()+2)/1000</f>
        <v/>
      </c>
      <c r="X24">
        <f>RANK(W24,$W$3:$W$32,0)</f>
        <v/>
      </c>
      <c r="Y24">
        <f>IF(X24&lt;=8,"Alto",IF(X24&gt;30-8,"Bajo","Medio"))</f>
        <v/>
      </c>
    </row>
    <row r="25">
      <c r="A25">
        <f>Respuestas!A26</f>
        <v/>
      </c>
      <c r="B25">
        <f>IF(Respuestas!B26=Respuestas!B$3,1,0)</f>
        <v/>
      </c>
      <c r="C25">
        <f>IF(Respuestas!C26=Respuestas!C$3,1,0)</f>
        <v/>
      </c>
      <c r="D25">
        <f>IF(Respuestas!D26=Respuestas!D$3,1,0)</f>
        <v/>
      </c>
      <c r="E25">
        <f>IF(Respuestas!E26=Respuestas!E$3,1,0)</f>
        <v/>
      </c>
      <c r="F25">
        <f>IF(Respuestas!F26=Respuestas!F$3,1,0)</f>
        <v/>
      </c>
      <c r="G25">
        <f>IF(Respuestas!G26=Respuestas!G$3,1,0)</f>
        <v/>
      </c>
      <c r="H25">
        <f>IF(Respuestas!H26=Respuestas!H$3,1,0)</f>
        <v/>
      </c>
      <c r="I25">
        <f>IF(Respuestas!I26=Respuestas!I$3,1,0)</f>
        <v/>
      </c>
      <c r="J25">
        <f>IF(Respuestas!J26=Respuestas!J$3,1,0)</f>
        <v/>
      </c>
      <c r="K25">
        <f>IF(Respuestas!K26=Respuestas!K$3,1,0)</f>
        <v/>
      </c>
      <c r="L25">
        <f>IF(Respuestas!L26=Respuestas!L$3,1,0)</f>
        <v/>
      </c>
      <c r="M25">
        <f>IF(Respuestas!M26=Respuestas!M$3,1,0)</f>
        <v/>
      </c>
      <c r="N25">
        <f>IF(Respuestas!N26=Respuestas!N$3,1,0)</f>
        <v/>
      </c>
      <c r="O25">
        <f>IF(Respuestas!O26=Respuestas!O$3,1,0)</f>
        <v/>
      </c>
      <c r="P25">
        <f>IF(Respuestas!P26=Respuestas!P$3,1,0)</f>
        <v/>
      </c>
      <c r="Q25">
        <f>IF(Respuestas!Q26=Respuestas!Q$3,1,0)</f>
        <v/>
      </c>
      <c r="R25">
        <f>IF(Respuestas!R26=Respuestas!R$3,1,0)</f>
        <v/>
      </c>
      <c r="S25">
        <f>IF(Respuestas!S26=Respuestas!S$3,1,0)</f>
        <v/>
      </c>
      <c r="T25">
        <f>IF(Respuestas!T26=Respuestas!T$3,1,0)</f>
        <v/>
      </c>
      <c r="U25">
        <f>IF(Respuestas!U26=Respuestas!U$3,1,0)</f>
        <v/>
      </c>
      <c r="V25">
        <f>SUM(B25:U25)</f>
        <v/>
      </c>
      <c r="W25">
        <f>V25+(31-ROW()+2)/1000</f>
        <v/>
      </c>
      <c r="X25">
        <f>RANK(W25,$W$3:$W$32,0)</f>
        <v/>
      </c>
      <c r="Y25">
        <f>IF(X25&lt;=8,"Alto",IF(X25&gt;30-8,"Bajo","Medio"))</f>
        <v/>
      </c>
    </row>
    <row r="26">
      <c r="A26">
        <f>Respuestas!A27</f>
        <v/>
      </c>
      <c r="B26">
        <f>IF(Respuestas!B27=Respuestas!B$3,1,0)</f>
        <v/>
      </c>
      <c r="C26">
        <f>IF(Respuestas!C27=Respuestas!C$3,1,0)</f>
        <v/>
      </c>
      <c r="D26">
        <f>IF(Respuestas!D27=Respuestas!D$3,1,0)</f>
        <v/>
      </c>
      <c r="E26">
        <f>IF(Respuestas!E27=Respuestas!E$3,1,0)</f>
        <v/>
      </c>
      <c r="F26">
        <f>IF(Respuestas!F27=Respuestas!F$3,1,0)</f>
        <v/>
      </c>
      <c r="G26">
        <f>IF(Respuestas!G27=Respuestas!G$3,1,0)</f>
        <v/>
      </c>
      <c r="H26">
        <f>IF(Respuestas!H27=Respuestas!H$3,1,0)</f>
        <v/>
      </c>
      <c r="I26">
        <f>IF(Respuestas!I27=Respuestas!I$3,1,0)</f>
        <v/>
      </c>
      <c r="J26">
        <f>IF(Respuestas!J27=Respuestas!J$3,1,0)</f>
        <v/>
      </c>
      <c r="K26">
        <f>IF(Respuestas!K27=Respuestas!K$3,1,0)</f>
        <v/>
      </c>
      <c r="L26">
        <f>IF(Respuestas!L27=Respuestas!L$3,1,0)</f>
        <v/>
      </c>
      <c r="M26">
        <f>IF(Respuestas!M27=Respuestas!M$3,1,0)</f>
        <v/>
      </c>
      <c r="N26">
        <f>IF(Respuestas!N27=Respuestas!N$3,1,0)</f>
        <v/>
      </c>
      <c r="O26">
        <f>IF(Respuestas!O27=Respuestas!O$3,1,0)</f>
        <v/>
      </c>
      <c r="P26">
        <f>IF(Respuestas!P27=Respuestas!P$3,1,0)</f>
        <v/>
      </c>
      <c r="Q26">
        <f>IF(Respuestas!Q27=Respuestas!Q$3,1,0)</f>
        <v/>
      </c>
      <c r="R26">
        <f>IF(Respuestas!R27=Respuestas!R$3,1,0)</f>
        <v/>
      </c>
      <c r="S26">
        <f>IF(Respuestas!S27=Respuestas!S$3,1,0)</f>
        <v/>
      </c>
      <c r="T26">
        <f>IF(Respuestas!T27=Respuestas!T$3,1,0)</f>
        <v/>
      </c>
      <c r="U26">
        <f>IF(Respuestas!U27=Respuestas!U$3,1,0)</f>
        <v/>
      </c>
      <c r="V26">
        <f>SUM(B26:U26)</f>
        <v/>
      </c>
      <c r="W26">
        <f>V26+(31-ROW()+2)/1000</f>
        <v/>
      </c>
      <c r="X26">
        <f>RANK(W26,$W$3:$W$32,0)</f>
        <v/>
      </c>
      <c r="Y26">
        <f>IF(X26&lt;=8,"Alto",IF(X26&gt;30-8,"Bajo","Medio"))</f>
        <v/>
      </c>
    </row>
    <row r="27">
      <c r="A27">
        <f>Respuestas!A28</f>
        <v/>
      </c>
      <c r="B27">
        <f>IF(Respuestas!B28=Respuestas!B$3,1,0)</f>
        <v/>
      </c>
      <c r="C27">
        <f>IF(Respuestas!C28=Respuestas!C$3,1,0)</f>
        <v/>
      </c>
      <c r="D27">
        <f>IF(Respuestas!D28=Respuestas!D$3,1,0)</f>
        <v/>
      </c>
      <c r="E27">
        <f>IF(Respuestas!E28=Respuestas!E$3,1,0)</f>
        <v/>
      </c>
      <c r="F27">
        <f>IF(Respuestas!F28=Respuestas!F$3,1,0)</f>
        <v/>
      </c>
      <c r="G27">
        <f>IF(Respuestas!G28=Respuestas!G$3,1,0)</f>
        <v/>
      </c>
      <c r="H27">
        <f>IF(Respuestas!H28=Respuestas!H$3,1,0)</f>
        <v/>
      </c>
      <c r="I27">
        <f>IF(Respuestas!I28=Respuestas!I$3,1,0)</f>
        <v/>
      </c>
      <c r="J27">
        <f>IF(Respuestas!J28=Respuestas!J$3,1,0)</f>
        <v/>
      </c>
      <c r="K27">
        <f>IF(Respuestas!K28=Respuestas!K$3,1,0)</f>
        <v/>
      </c>
      <c r="L27">
        <f>IF(Respuestas!L28=Respuestas!L$3,1,0)</f>
        <v/>
      </c>
      <c r="M27">
        <f>IF(Respuestas!M28=Respuestas!M$3,1,0)</f>
        <v/>
      </c>
      <c r="N27">
        <f>IF(Respuestas!N28=Respuestas!N$3,1,0)</f>
        <v/>
      </c>
      <c r="O27">
        <f>IF(Respuestas!O28=Respuestas!O$3,1,0)</f>
        <v/>
      </c>
      <c r="P27">
        <f>IF(Respuestas!P28=Respuestas!P$3,1,0)</f>
        <v/>
      </c>
      <c r="Q27">
        <f>IF(Respuestas!Q28=Respuestas!Q$3,1,0)</f>
        <v/>
      </c>
      <c r="R27">
        <f>IF(Respuestas!R28=Respuestas!R$3,1,0)</f>
        <v/>
      </c>
      <c r="S27">
        <f>IF(Respuestas!S28=Respuestas!S$3,1,0)</f>
        <v/>
      </c>
      <c r="T27">
        <f>IF(Respuestas!T28=Respuestas!T$3,1,0)</f>
        <v/>
      </c>
      <c r="U27">
        <f>IF(Respuestas!U28=Respuestas!U$3,1,0)</f>
        <v/>
      </c>
      <c r="V27">
        <f>SUM(B27:U27)</f>
        <v/>
      </c>
      <c r="W27">
        <f>V27+(31-ROW()+2)/1000</f>
        <v/>
      </c>
      <c r="X27">
        <f>RANK(W27,$W$3:$W$32,0)</f>
        <v/>
      </c>
      <c r="Y27">
        <f>IF(X27&lt;=8,"Alto",IF(X27&gt;30-8,"Bajo","Medio"))</f>
        <v/>
      </c>
    </row>
    <row r="28">
      <c r="A28">
        <f>Respuestas!A29</f>
        <v/>
      </c>
      <c r="B28">
        <f>IF(Respuestas!B29=Respuestas!B$3,1,0)</f>
        <v/>
      </c>
      <c r="C28">
        <f>IF(Respuestas!C29=Respuestas!C$3,1,0)</f>
        <v/>
      </c>
      <c r="D28">
        <f>IF(Respuestas!D29=Respuestas!D$3,1,0)</f>
        <v/>
      </c>
      <c r="E28">
        <f>IF(Respuestas!E29=Respuestas!E$3,1,0)</f>
        <v/>
      </c>
      <c r="F28">
        <f>IF(Respuestas!F29=Respuestas!F$3,1,0)</f>
        <v/>
      </c>
      <c r="G28">
        <f>IF(Respuestas!G29=Respuestas!G$3,1,0)</f>
        <v/>
      </c>
      <c r="H28">
        <f>IF(Respuestas!H29=Respuestas!H$3,1,0)</f>
        <v/>
      </c>
      <c r="I28">
        <f>IF(Respuestas!I29=Respuestas!I$3,1,0)</f>
        <v/>
      </c>
      <c r="J28">
        <f>IF(Respuestas!J29=Respuestas!J$3,1,0)</f>
        <v/>
      </c>
      <c r="K28">
        <f>IF(Respuestas!K29=Respuestas!K$3,1,0)</f>
        <v/>
      </c>
      <c r="L28">
        <f>IF(Respuestas!L29=Respuestas!L$3,1,0)</f>
        <v/>
      </c>
      <c r="M28">
        <f>IF(Respuestas!M29=Respuestas!M$3,1,0)</f>
        <v/>
      </c>
      <c r="N28">
        <f>IF(Respuestas!N29=Respuestas!N$3,1,0)</f>
        <v/>
      </c>
      <c r="O28">
        <f>IF(Respuestas!O29=Respuestas!O$3,1,0)</f>
        <v/>
      </c>
      <c r="P28">
        <f>IF(Respuestas!P29=Respuestas!P$3,1,0)</f>
        <v/>
      </c>
      <c r="Q28">
        <f>IF(Respuestas!Q29=Respuestas!Q$3,1,0)</f>
        <v/>
      </c>
      <c r="R28">
        <f>IF(Respuestas!R29=Respuestas!R$3,1,0)</f>
        <v/>
      </c>
      <c r="S28">
        <f>IF(Respuestas!S29=Respuestas!S$3,1,0)</f>
        <v/>
      </c>
      <c r="T28">
        <f>IF(Respuestas!T29=Respuestas!T$3,1,0)</f>
        <v/>
      </c>
      <c r="U28">
        <f>IF(Respuestas!U29=Respuestas!U$3,1,0)</f>
        <v/>
      </c>
      <c r="V28">
        <f>SUM(B28:U28)</f>
        <v/>
      </c>
      <c r="W28">
        <f>V28+(31-ROW()+2)/1000</f>
        <v/>
      </c>
      <c r="X28">
        <f>RANK(W28,$W$3:$W$32,0)</f>
        <v/>
      </c>
      <c r="Y28">
        <f>IF(X28&lt;=8,"Alto",IF(X28&gt;30-8,"Bajo","Medio"))</f>
        <v/>
      </c>
    </row>
    <row r="29">
      <c r="A29">
        <f>Respuestas!A30</f>
        <v/>
      </c>
      <c r="B29">
        <f>IF(Respuestas!B30=Respuestas!B$3,1,0)</f>
        <v/>
      </c>
      <c r="C29">
        <f>IF(Respuestas!C30=Respuestas!C$3,1,0)</f>
        <v/>
      </c>
      <c r="D29">
        <f>IF(Respuestas!D30=Respuestas!D$3,1,0)</f>
        <v/>
      </c>
      <c r="E29">
        <f>IF(Respuestas!E30=Respuestas!E$3,1,0)</f>
        <v/>
      </c>
      <c r="F29">
        <f>IF(Respuestas!F30=Respuestas!F$3,1,0)</f>
        <v/>
      </c>
      <c r="G29">
        <f>IF(Respuestas!G30=Respuestas!G$3,1,0)</f>
        <v/>
      </c>
      <c r="H29">
        <f>IF(Respuestas!H30=Respuestas!H$3,1,0)</f>
        <v/>
      </c>
      <c r="I29">
        <f>IF(Respuestas!I30=Respuestas!I$3,1,0)</f>
        <v/>
      </c>
      <c r="J29">
        <f>IF(Respuestas!J30=Respuestas!J$3,1,0)</f>
        <v/>
      </c>
      <c r="K29">
        <f>IF(Respuestas!K30=Respuestas!K$3,1,0)</f>
        <v/>
      </c>
      <c r="L29">
        <f>IF(Respuestas!L30=Respuestas!L$3,1,0)</f>
        <v/>
      </c>
      <c r="M29">
        <f>IF(Respuestas!M30=Respuestas!M$3,1,0)</f>
        <v/>
      </c>
      <c r="N29">
        <f>IF(Respuestas!N30=Respuestas!N$3,1,0)</f>
        <v/>
      </c>
      <c r="O29">
        <f>IF(Respuestas!O30=Respuestas!O$3,1,0)</f>
        <v/>
      </c>
      <c r="P29">
        <f>IF(Respuestas!P30=Respuestas!P$3,1,0)</f>
        <v/>
      </c>
      <c r="Q29">
        <f>IF(Respuestas!Q30=Respuestas!Q$3,1,0)</f>
        <v/>
      </c>
      <c r="R29">
        <f>IF(Respuestas!R30=Respuestas!R$3,1,0)</f>
        <v/>
      </c>
      <c r="S29">
        <f>IF(Respuestas!S30=Respuestas!S$3,1,0)</f>
        <v/>
      </c>
      <c r="T29">
        <f>IF(Respuestas!T30=Respuestas!T$3,1,0)</f>
        <v/>
      </c>
      <c r="U29">
        <f>IF(Respuestas!U30=Respuestas!U$3,1,0)</f>
        <v/>
      </c>
      <c r="V29">
        <f>SUM(B29:U29)</f>
        <v/>
      </c>
      <c r="W29">
        <f>V29+(31-ROW()+2)/1000</f>
        <v/>
      </c>
      <c r="X29">
        <f>RANK(W29,$W$3:$W$32,0)</f>
        <v/>
      </c>
      <c r="Y29">
        <f>IF(X29&lt;=8,"Alto",IF(X29&gt;30-8,"Bajo","Medio"))</f>
        <v/>
      </c>
    </row>
    <row r="30">
      <c r="A30">
        <f>Respuestas!A31</f>
        <v/>
      </c>
      <c r="B30">
        <f>IF(Respuestas!B31=Respuestas!B$3,1,0)</f>
        <v/>
      </c>
      <c r="C30">
        <f>IF(Respuestas!C31=Respuestas!C$3,1,0)</f>
        <v/>
      </c>
      <c r="D30">
        <f>IF(Respuestas!D31=Respuestas!D$3,1,0)</f>
        <v/>
      </c>
      <c r="E30">
        <f>IF(Respuestas!E31=Respuestas!E$3,1,0)</f>
        <v/>
      </c>
      <c r="F30">
        <f>IF(Respuestas!F31=Respuestas!F$3,1,0)</f>
        <v/>
      </c>
      <c r="G30">
        <f>IF(Respuestas!G31=Respuestas!G$3,1,0)</f>
        <v/>
      </c>
      <c r="H30">
        <f>IF(Respuestas!H31=Respuestas!H$3,1,0)</f>
        <v/>
      </c>
      <c r="I30">
        <f>IF(Respuestas!I31=Respuestas!I$3,1,0)</f>
        <v/>
      </c>
      <c r="J30">
        <f>IF(Respuestas!J31=Respuestas!J$3,1,0)</f>
        <v/>
      </c>
      <c r="K30">
        <f>IF(Respuestas!K31=Respuestas!K$3,1,0)</f>
        <v/>
      </c>
      <c r="L30">
        <f>IF(Respuestas!L31=Respuestas!L$3,1,0)</f>
        <v/>
      </c>
      <c r="M30">
        <f>IF(Respuestas!M31=Respuestas!M$3,1,0)</f>
        <v/>
      </c>
      <c r="N30">
        <f>IF(Respuestas!N31=Respuestas!N$3,1,0)</f>
        <v/>
      </c>
      <c r="O30">
        <f>IF(Respuestas!O31=Respuestas!O$3,1,0)</f>
        <v/>
      </c>
      <c r="P30">
        <f>IF(Respuestas!P31=Respuestas!P$3,1,0)</f>
        <v/>
      </c>
      <c r="Q30">
        <f>IF(Respuestas!Q31=Respuestas!Q$3,1,0)</f>
        <v/>
      </c>
      <c r="R30">
        <f>IF(Respuestas!R31=Respuestas!R$3,1,0)</f>
        <v/>
      </c>
      <c r="S30">
        <f>IF(Respuestas!S31=Respuestas!S$3,1,0)</f>
        <v/>
      </c>
      <c r="T30">
        <f>IF(Respuestas!T31=Respuestas!T$3,1,0)</f>
        <v/>
      </c>
      <c r="U30">
        <f>IF(Respuestas!U31=Respuestas!U$3,1,0)</f>
        <v/>
      </c>
      <c r="V30">
        <f>SUM(B30:U30)</f>
        <v/>
      </c>
      <c r="W30">
        <f>V30+(31-ROW()+2)/1000</f>
        <v/>
      </c>
      <c r="X30">
        <f>RANK(W30,$W$3:$W$32,0)</f>
        <v/>
      </c>
      <c r="Y30">
        <f>IF(X30&lt;=8,"Alto",IF(X30&gt;30-8,"Bajo","Medio"))</f>
        <v/>
      </c>
    </row>
    <row r="31">
      <c r="A31">
        <f>Respuestas!A32</f>
        <v/>
      </c>
      <c r="B31">
        <f>IF(Respuestas!B32=Respuestas!B$3,1,0)</f>
        <v/>
      </c>
      <c r="C31">
        <f>IF(Respuestas!C32=Respuestas!C$3,1,0)</f>
        <v/>
      </c>
      <c r="D31">
        <f>IF(Respuestas!D32=Respuestas!D$3,1,0)</f>
        <v/>
      </c>
      <c r="E31">
        <f>IF(Respuestas!E32=Respuestas!E$3,1,0)</f>
        <v/>
      </c>
      <c r="F31">
        <f>IF(Respuestas!F32=Respuestas!F$3,1,0)</f>
        <v/>
      </c>
      <c r="G31">
        <f>IF(Respuestas!G32=Respuestas!G$3,1,0)</f>
        <v/>
      </c>
      <c r="H31">
        <f>IF(Respuestas!H32=Respuestas!H$3,1,0)</f>
        <v/>
      </c>
      <c r="I31">
        <f>IF(Respuestas!I32=Respuestas!I$3,1,0)</f>
        <v/>
      </c>
      <c r="J31">
        <f>IF(Respuestas!J32=Respuestas!J$3,1,0)</f>
        <v/>
      </c>
      <c r="K31">
        <f>IF(Respuestas!K32=Respuestas!K$3,1,0)</f>
        <v/>
      </c>
      <c r="L31">
        <f>IF(Respuestas!L32=Respuestas!L$3,1,0)</f>
        <v/>
      </c>
      <c r="M31">
        <f>IF(Respuestas!M32=Respuestas!M$3,1,0)</f>
        <v/>
      </c>
      <c r="N31">
        <f>IF(Respuestas!N32=Respuestas!N$3,1,0)</f>
        <v/>
      </c>
      <c r="O31">
        <f>IF(Respuestas!O32=Respuestas!O$3,1,0)</f>
        <v/>
      </c>
      <c r="P31">
        <f>IF(Respuestas!P32=Respuestas!P$3,1,0)</f>
        <v/>
      </c>
      <c r="Q31">
        <f>IF(Respuestas!Q32=Respuestas!Q$3,1,0)</f>
        <v/>
      </c>
      <c r="R31">
        <f>IF(Respuestas!R32=Respuestas!R$3,1,0)</f>
        <v/>
      </c>
      <c r="S31">
        <f>IF(Respuestas!S32=Respuestas!S$3,1,0)</f>
        <v/>
      </c>
      <c r="T31">
        <f>IF(Respuestas!T32=Respuestas!T$3,1,0)</f>
        <v/>
      </c>
      <c r="U31">
        <f>IF(Respuestas!U32=Respuestas!U$3,1,0)</f>
        <v/>
      </c>
      <c r="V31">
        <f>SUM(B31:U31)</f>
        <v/>
      </c>
      <c r="W31">
        <f>V31+(31-ROW()+2)/1000</f>
        <v/>
      </c>
      <c r="X31">
        <f>RANK(W31,$W$3:$W$32,0)</f>
        <v/>
      </c>
      <c r="Y31">
        <f>IF(X31&lt;=8,"Alto",IF(X31&gt;30-8,"Bajo","Medio"))</f>
        <v/>
      </c>
    </row>
    <row r="32">
      <c r="A32">
        <f>Respuestas!A33</f>
        <v/>
      </c>
      <c r="B32">
        <f>IF(Respuestas!B33=Respuestas!B$3,1,0)</f>
        <v/>
      </c>
      <c r="C32">
        <f>IF(Respuestas!C33=Respuestas!C$3,1,0)</f>
        <v/>
      </c>
      <c r="D32">
        <f>IF(Respuestas!D33=Respuestas!D$3,1,0)</f>
        <v/>
      </c>
      <c r="E32">
        <f>IF(Respuestas!E33=Respuestas!E$3,1,0)</f>
        <v/>
      </c>
      <c r="F32">
        <f>IF(Respuestas!F33=Respuestas!F$3,1,0)</f>
        <v/>
      </c>
      <c r="G32">
        <f>IF(Respuestas!G33=Respuestas!G$3,1,0)</f>
        <v/>
      </c>
      <c r="H32">
        <f>IF(Respuestas!H33=Respuestas!H$3,1,0)</f>
        <v/>
      </c>
      <c r="I32">
        <f>IF(Respuestas!I33=Respuestas!I$3,1,0)</f>
        <v/>
      </c>
      <c r="J32">
        <f>IF(Respuestas!J33=Respuestas!J$3,1,0)</f>
        <v/>
      </c>
      <c r="K32">
        <f>IF(Respuestas!K33=Respuestas!K$3,1,0)</f>
        <v/>
      </c>
      <c r="L32">
        <f>IF(Respuestas!L33=Respuestas!L$3,1,0)</f>
        <v/>
      </c>
      <c r="M32">
        <f>IF(Respuestas!M33=Respuestas!M$3,1,0)</f>
        <v/>
      </c>
      <c r="N32">
        <f>IF(Respuestas!N33=Respuestas!N$3,1,0)</f>
        <v/>
      </c>
      <c r="O32">
        <f>IF(Respuestas!O33=Respuestas!O$3,1,0)</f>
        <v/>
      </c>
      <c r="P32">
        <f>IF(Respuestas!P33=Respuestas!P$3,1,0)</f>
        <v/>
      </c>
      <c r="Q32">
        <f>IF(Respuestas!Q33=Respuestas!Q$3,1,0)</f>
        <v/>
      </c>
      <c r="R32">
        <f>IF(Respuestas!R33=Respuestas!R$3,1,0)</f>
        <v/>
      </c>
      <c r="S32">
        <f>IF(Respuestas!S33=Respuestas!S$3,1,0)</f>
        <v/>
      </c>
      <c r="T32">
        <f>IF(Respuestas!T33=Respuestas!T$3,1,0)</f>
        <v/>
      </c>
      <c r="U32">
        <f>IF(Respuestas!U33=Respuestas!U$3,1,0)</f>
        <v/>
      </c>
      <c r="V32">
        <f>SUM(B32:U32)</f>
        <v/>
      </c>
      <c r="W32">
        <f>V32+(31-ROW()+2)/1000</f>
        <v/>
      </c>
      <c r="X32">
        <f>RANK(W32,$W$3:$W$32,0)</f>
        <v/>
      </c>
      <c r="Y32">
        <f>IF(X32&lt;=8,"Alto",IF(X32&gt;30-8,"Bajo","Medio"))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26" customWidth="1" min="14" max="14"/>
  </cols>
  <sheetData>
    <row r="1">
      <c r="A1" s="1" t="inlineStr">
        <is>
          <t>ANÁLISIS DE ÍTEMS (teoría clásica de los tests; ejemplo ficticio)</t>
        </is>
      </c>
    </row>
    <row r="3" ht="64" customHeight="1">
      <c r="A3" s="8" t="inlineStr">
        <is>
          <t>Ítem</t>
        </is>
      </c>
      <c r="B3" s="8" t="inlineStr">
        <is>
          <t>Clave</t>
        </is>
      </c>
      <c r="C3" s="8" t="inlineStr">
        <is>
          <t>Dificultad p (proporción de aciertos)</t>
        </is>
      </c>
      <c r="D3" s="8" t="inlineStr">
        <is>
          <t>Aciertos grupo alto</t>
        </is>
      </c>
      <c r="E3" s="8" t="inlineStr">
        <is>
          <t>Aciertos grupo bajo</t>
        </is>
      </c>
      <c r="F3" s="8" t="inlineStr">
        <is>
          <t>Discriminación D (alto − bajo)</t>
        </is>
      </c>
      <c r="G3" s="8" t="inlineStr">
        <is>
          <t>Correlación ítem-total corregida</t>
        </is>
      </c>
      <c r="H3" s="8" t="inlineStr">
        <is>
          <t>A</t>
        </is>
      </c>
      <c r="I3" s="8" t="inlineStr">
        <is>
          <t>B</t>
        </is>
      </c>
      <c r="J3" s="8" t="inlineStr">
        <is>
          <t>C</t>
        </is>
      </c>
      <c r="K3" s="8" t="inlineStr">
        <is>
          <t>D</t>
        </is>
      </c>
      <c r="L3" s="8" t="inlineStr">
        <is>
          <t>Opción más elegida</t>
        </is>
      </c>
      <c r="M3" s="8" t="inlineStr">
        <is>
          <t>Distractores poco elegidos (&lt;5 %)</t>
        </is>
      </c>
      <c r="N3" s="8" t="inlineStr">
        <is>
          <t>Diagnóstico</t>
        </is>
      </c>
    </row>
    <row r="4">
      <c r="A4" t="n">
        <v>1</v>
      </c>
      <c r="B4">
        <f>Respuestas!B3</f>
        <v/>
      </c>
      <c r="C4" s="2">
        <f>AVERAGE(Puntajes!$B$3:$B$32)</f>
        <v/>
      </c>
      <c r="D4">
        <f>SUMIFS(Puntajes!$B$3:$B$32,Puntajes!$Y$3:$Y$32,"Alto")</f>
        <v/>
      </c>
      <c r="E4">
        <f>SUMIFS(Puntajes!$B$3:$B$32,Puntajes!$Y$3:$Y$32,"Bajo")</f>
        <v/>
      </c>
      <c r="F4" s="2">
        <f>(D4-E4)/8</f>
        <v/>
      </c>
      <c r="G4" s="2">
        <f>CORREL(Puntajes!$B$3:$B$32,Puntajes!$V$3:$V$32-Puntajes!$B$3:$B$32)</f>
        <v/>
      </c>
      <c r="H4">
        <f>COUNTIF(Respuestas!$B$4:$B$33,"A")</f>
        <v/>
      </c>
      <c r="I4">
        <f>COUNTIF(Respuestas!$B$4:$B$33,"B")</f>
        <v/>
      </c>
      <c r="J4">
        <f>COUNTIF(Respuestas!$B$4:$B$33,"C")</f>
        <v/>
      </c>
      <c r="K4">
        <f>COUNTIF(Respuestas!$B$4:$B$33,"D")</f>
        <v/>
      </c>
      <c r="L4">
        <f>INDEX($H$3:$K$3,MATCH(MAX(H4:K4),H4:K4,0))</f>
        <v/>
      </c>
      <c r="M4">
        <f>SUMPRODUCT((H4:K4&lt;0.05*30)*($H$3:$K$3&lt;&gt;B4))</f>
        <v/>
      </c>
      <c r="N4">
        <f>IF(AND(L4&lt;&gt;B4,MAX(H4:K4)&gt;=0.4*30,C4&lt;0.3),"Posible error de clave",IF(F4&lt;0,"Discrimina al revés: revisar",IF(C4&gt;0.9,"Muy fácil",IF(C4&lt;0.2,"Muy difícil",IF(F4&lt;0.2,"Poco discriminativo","Aceptable")))))</f>
        <v/>
      </c>
    </row>
    <row r="5">
      <c r="A5" t="n">
        <v>2</v>
      </c>
      <c r="B5">
        <f>Respuestas!C3</f>
        <v/>
      </c>
      <c r="C5" s="2">
        <f>AVERAGE(Puntajes!$C$3:$C$32)</f>
        <v/>
      </c>
      <c r="D5">
        <f>SUMIFS(Puntajes!$C$3:$C$32,Puntajes!$Y$3:$Y$32,"Alto")</f>
        <v/>
      </c>
      <c r="E5">
        <f>SUMIFS(Puntajes!$C$3:$C$32,Puntajes!$Y$3:$Y$32,"Bajo")</f>
        <v/>
      </c>
      <c r="F5" s="2">
        <f>(D5-E5)/8</f>
        <v/>
      </c>
      <c r="G5" s="2">
        <f>CORREL(Puntajes!$C$3:$C$32,Puntajes!$V$3:$V$32-Puntajes!$C$3:$C$32)</f>
        <v/>
      </c>
      <c r="H5">
        <f>COUNTIF(Respuestas!$C$4:$C$33,"A")</f>
        <v/>
      </c>
      <c r="I5">
        <f>COUNTIF(Respuestas!$C$4:$C$33,"B")</f>
        <v/>
      </c>
      <c r="J5">
        <f>COUNTIF(Respuestas!$C$4:$C$33,"C")</f>
        <v/>
      </c>
      <c r="K5">
        <f>COUNTIF(Respuestas!$C$4:$C$33,"D")</f>
        <v/>
      </c>
      <c r="L5">
        <f>INDEX($H$3:$K$3,MATCH(MAX(H5:K5),H5:K5,0))</f>
        <v/>
      </c>
      <c r="M5">
        <f>SUMPRODUCT((H5:K5&lt;0.05*30)*($H$3:$K$3&lt;&gt;B5))</f>
        <v/>
      </c>
      <c r="N5">
        <f>IF(AND(L5&lt;&gt;B5,MAX(H5:K5)&gt;=0.4*30,C5&lt;0.3),"Posible error de clave",IF(F5&lt;0,"Discrimina al revés: revisar",IF(C5&gt;0.9,"Muy fácil",IF(C5&lt;0.2,"Muy difícil",IF(F5&lt;0.2,"Poco discriminativo","Aceptable")))))</f>
        <v/>
      </c>
    </row>
    <row r="6">
      <c r="A6" t="n">
        <v>3</v>
      </c>
      <c r="B6">
        <f>Respuestas!D3</f>
        <v/>
      </c>
      <c r="C6" s="2">
        <f>AVERAGE(Puntajes!$D$3:$D$32)</f>
        <v/>
      </c>
      <c r="D6">
        <f>SUMIFS(Puntajes!$D$3:$D$32,Puntajes!$Y$3:$Y$32,"Alto")</f>
        <v/>
      </c>
      <c r="E6">
        <f>SUMIFS(Puntajes!$D$3:$D$32,Puntajes!$Y$3:$Y$32,"Bajo")</f>
        <v/>
      </c>
      <c r="F6" s="2">
        <f>(D6-E6)/8</f>
        <v/>
      </c>
      <c r="G6" s="2">
        <f>CORREL(Puntajes!$D$3:$D$32,Puntajes!$V$3:$V$32-Puntajes!$D$3:$D$32)</f>
        <v/>
      </c>
      <c r="H6">
        <f>COUNTIF(Respuestas!$D$4:$D$33,"A")</f>
        <v/>
      </c>
      <c r="I6">
        <f>COUNTIF(Respuestas!$D$4:$D$33,"B")</f>
        <v/>
      </c>
      <c r="J6">
        <f>COUNTIF(Respuestas!$D$4:$D$33,"C")</f>
        <v/>
      </c>
      <c r="K6">
        <f>COUNTIF(Respuestas!$D$4:$D$33,"D")</f>
        <v/>
      </c>
      <c r="L6">
        <f>INDEX($H$3:$K$3,MATCH(MAX(H6:K6),H6:K6,0))</f>
        <v/>
      </c>
      <c r="M6">
        <f>SUMPRODUCT((H6:K6&lt;0.05*30)*($H$3:$K$3&lt;&gt;B6))</f>
        <v/>
      </c>
      <c r="N6">
        <f>IF(AND(L6&lt;&gt;B6,MAX(H6:K6)&gt;=0.4*30,C6&lt;0.3),"Posible error de clave",IF(F6&lt;0,"Discrimina al revés: revisar",IF(C6&gt;0.9,"Muy fácil",IF(C6&lt;0.2,"Muy difícil",IF(F6&lt;0.2,"Poco discriminativo","Aceptable")))))</f>
        <v/>
      </c>
    </row>
    <row r="7">
      <c r="A7" t="n">
        <v>4</v>
      </c>
      <c r="B7">
        <f>Respuestas!E3</f>
        <v/>
      </c>
      <c r="C7" s="2">
        <f>AVERAGE(Puntajes!$E$3:$E$32)</f>
        <v/>
      </c>
      <c r="D7">
        <f>SUMIFS(Puntajes!$E$3:$E$32,Puntajes!$Y$3:$Y$32,"Alto")</f>
        <v/>
      </c>
      <c r="E7">
        <f>SUMIFS(Puntajes!$E$3:$E$32,Puntajes!$Y$3:$Y$32,"Bajo")</f>
        <v/>
      </c>
      <c r="F7" s="2">
        <f>(D7-E7)/8</f>
        <v/>
      </c>
      <c r="G7" s="2">
        <f>CORREL(Puntajes!$E$3:$E$32,Puntajes!$V$3:$V$32-Puntajes!$E$3:$E$32)</f>
        <v/>
      </c>
      <c r="H7">
        <f>COUNTIF(Respuestas!$E$4:$E$33,"A")</f>
        <v/>
      </c>
      <c r="I7">
        <f>COUNTIF(Respuestas!$E$4:$E$33,"B")</f>
        <v/>
      </c>
      <c r="J7">
        <f>COUNTIF(Respuestas!$E$4:$E$33,"C")</f>
        <v/>
      </c>
      <c r="K7">
        <f>COUNTIF(Respuestas!$E$4:$E$33,"D")</f>
        <v/>
      </c>
      <c r="L7">
        <f>INDEX($H$3:$K$3,MATCH(MAX(H7:K7),H7:K7,0))</f>
        <v/>
      </c>
      <c r="M7">
        <f>SUMPRODUCT((H7:K7&lt;0.05*30)*($H$3:$K$3&lt;&gt;B7))</f>
        <v/>
      </c>
      <c r="N7">
        <f>IF(AND(L7&lt;&gt;B7,MAX(H7:K7)&gt;=0.4*30,C7&lt;0.3),"Posible error de clave",IF(F7&lt;0,"Discrimina al revés: revisar",IF(C7&gt;0.9,"Muy fácil",IF(C7&lt;0.2,"Muy difícil",IF(F7&lt;0.2,"Poco discriminativo","Aceptable")))))</f>
        <v/>
      </c>
    </row>
    <row r="8">
      <c r="A8" t="n">
        <v>5</v>
      </c>
      <c r="B8">
        <f>Respuestas!F3</f>
        <v/>
      </c>
      <c r="C8" s="2">
        <f>AVERAGE(Puntajes!$F$3:$F$32)</f>
        <v/>
      </c>
      <c r="D8">
        <f>SUMIFS(Puntajes!$F$3:$F$32,Puntajes!$Y$3:$Y$32,"Alto")</f>
        <v/>
      </c>
      <c r="E8">
        <f>SUMIFS(Puntajes!$F$3:$F$32,Puntajes!$Y$3:$Y$32,"Bajo")</f>
        <v/>
      </c>
      <c r="F8" s="2">
        <f>(D8-E8)/8</f>
        <v/>
      </c>
      <c r="G8" s="2">
        <f>CORREL(Puntajes!$F$3:$F$32,Puntajes!$V$3:$V$32-Puntajes!$F$3:$F$32)</f>
        <v/>
      </c>
      <c r="H8">
        <f>COUNTIF(Respuestas!$F$4:$F$33,"A")</f>
        <v/>
      </c>
      <c r="I8">
        <f>COUNTIF(Respuestas!$F$4:$F$33,"B")</f>
        <v/>
      </c>
      <c r="J8">
        <f>COUNTIF(Respuestas!$F$4:$F$33,"C")</f>
        <v/>
      </c>
      <c r="K8">
        <f>COUNTIF(Respuestas!$F$4:$F$33,"D")</f>
        <v/>
      </c>
      <c r="L8">
        <f>INDEX($H$3:$K$3,MATCH(MAX(H8:K8),H8:K8,0))</f>
        <v/>
      </c>
      <c r="M8">
        <f>SUMPRODUCT((H8:K8&lt;0.05*30)*($H$3:$K$3&lt;&gt;B8))</f>
        <v/>
      </c>
      <c r="N8">
        <f>IF(AND(L8&lt;&gt;B8,MAX(H8:K8)&gt;=0.4*30,C8&lt;0.3),"Posible error de clave",IF(F8&lt;0,"Discrimina al revés: revisar",IF(C8&gt;0.9,"Muy fácil",IF(C8&lt;0.2,"Muy difícil",IF(F8&lt;0.2,"Poco discriminativo","Aceptable")))))</f>
        <v/>
      </c>
    </row>
    <row r="9">
      <c r="A9" t="n">
        <v>6</v>
      </c>
      <c r="B9">
        <f>Respuestas!G3</f>
        <v/>
      </c>
      <c r="C9" s="2">
        <f>AVERAGE(Puntajes!$G$3:$G$32)</f>
        <v/>
      </c>
      <c r="D9">
        <f>SUMIFS(Puntajes!$G$3:$G$32,Puntajes!$Y$3:$Y$32,"Alto")</f>
        <v/>
      </c>
      <c r="E9">
        <f>SUMIFS(Puntajes!$G$3:$G$32,Puntajes!$Y$3:$Y$32,"Bajo")</f>
        <v/>
      </c>
      <c r="F9" s="2">
        <f>(D9-E9)/8</f>
        <v/>
      </c>
      <c r="G9" s="2">
        <f>CORREL(Puntajes!$G$3:$G$32,Puntajes!$V$3:$V$32-Puntajes!$G$3:$G$32)</f>
        <v/>
      </c>
      <c r="H9">
        <f>COUNTIF(Respuestas!$G$4:$G$33,"A")</f>
        <v/>
      </c>
      <c r="I9">
        <f>COUNTIF(Respuestas!$G$4:$G$33,"B")</f>
        <v/>
      </c>
      <c r="J9">
        <f>COUNTIF(Respuestas!$G$4:$G$33,"C")</f>
        <v/>
      </c>
      <c r="K9">
        <f>COUNTIF(Respuestas!$G$4:$G$33,"D")</f>
        <v/>
      </c>
      <c r="L9">
        <f>INDEX($H$3:$K$3,MATCH(MAX(H9:K9),H9:K9,0))</f>
        <v/>
      </c>
      <c r="M9">
        <f>SUMPRODUCT((H9:K9&lt;0.05*30)*($H$3:$K$3&lt;&gt;B9))</f>
        <v/>
      </c>
      <c r="N9">
        <f>IF(AND(L9&lt;&gt;B9,MAX(H9:K9)&gt;=0.4*30,C9&lt;0.3),"Posible error de clave",IF(F9&lt;0,"Discrimina al revés: revisar",IF(C9&gt;0.9,"Muy fácil",IF(C9&lt;0.2,"Muy difícil",IF(F9&lt;0.2,"Poco discriminativo","Aceptable")))))</f>
        <v/>
      </c>
    </row>
    <row r="10">
      <c r="A10" t="n">
        <v>7</v>
      </c>
      <c r="B10">
        <f>Respuestas!H3</f>
        <v/>
      </c>
      <c r="C10" s="2">
        <f>AVERAGE(Puntajes!$H$3:$H$32)</f>
        <v/>
      </c>
      <c r="D10">
        <f>SUMIFS(Puntajes!$H$3:$H$32,Puntajes!$Y$3:$Y$32,"Alto")</f>
        <v/>
      </c>
      <c r="E10">
        <f>SUMIFS(Puntajes!$H$3:$H$32,Puntajes!$Y$3:$Y$32,"Bajo")</f>
        <v/>
      </c>
      <c r="F10" s="2">
        <f>(D10-E10)/8</f>
        <v/>
      </c>
      <c r="G10" s="2">
        <f>CORREL(Puntajes!$H$3:$H$32,Puntajes!$V$3:$V$32-Puntajes!$H$3:$H$32)</f>
        <v/>
      </c>
      <c r="H10">
        <f>COUNTIF(Respuestas!$H$4:$H$33,"A")</f>
        <v/>
      </c>
      <c r="I10">
        <f>COUNTIF(Respuestas!$H$4:$H$33,"B")</f>
        <v/>
      </c>
      <c r="J10">
        <f>COUNTIF(Respuestas!$H$4:$H$33,"C")</f>
        <v/>
      </c>
      <c r="K10">
        <f>COUNTIF(Respuestas!$H$4:$H$33,"D")</f>
        <v/>
      </c>
      <c r="L10">
        <f>INDEX($H$3:$K$3,MATCH(MAX(H10:K10),H10:K10,0))</f>
        <v/>
      </c>
      <c r="M10">
        <f>SUMPRODUCT((H10:K10&lt;0.05*30)*($H$3:$K$3&lt;&gt;B10))</f>
        <v/>
      </c>
      <c r="N10">
        <f>IF(AND(L10&lt;&gt;B10,MAX(H10:K10)&gt;=0.4*30,C10&lt;0.3),"Posible error de clave",IF(F10&lt;0,"Discrimina al revés: revisar",IF(C10&gt;0.9,"Muy fácil",IF(C10&lt;0.2,"Muy difícil",IF(F10&lt;0.2,"Poco discriminativo","Aceptable")))))</f>
        <v/>
      </c>
    </row>
    <row r="11">
      <c r="A11" t="n">
        <v>8</v>
      </c>
      <c r="B11">
        <f>Respuestas!I3</f>
        <v/>
      </c>
      <c r="C11" s="2">
        <f>AVERAGE(Puntajes!$I$3:$I$32)</f>
        <v/>
      </c>
      <c r="D11">
        <f>SUMIFS(Puntajes!$I$3:$I$32,Puntajes!$Y$3:$Y$32,"Alto")</f>
        <v/>
      </c>
      <c r="E11">
        <f>SUMIFS(Puntajes!$I$3:$I$32,Puntajes!$Y$3:$Y$32,"Bajo")</f>
        <v/>
      </c>
      <c r="F11" s="2">
        <f>(D11-E11)/8</f>
        <v/>
      </c>
      <c r="G11" s="2">
        <f>CORREL(Puntajes!$I$3:$I$32,Puntajes!$V$3:$V$32-Puntajes!$I$3:$I$32)</f>
        <v/>
      </c>
      <c r="H11">
        <f>COUNTIF(Respuestas!$I$4:$I$33,"A")</f>
        <v/>
      </c>
      <c r="I11">
        <f>COUNTIF(Respuestas!$I$4:$I$33,"B")</f>
        <v/>
      </c>
      <c r="J11">
        <f>COUNTIF(Respuestas!$I$4:$I$33,"C")</f>
        <v/>
      </c>
      <c r="K11">
        <f>COUNTIF(Respuestas!$I$4:$I$33,"D")</f>
        <v/>
      </c>
      <c r="L11">
        <f>INDEX($H$3:$K$3,MATCH(MAX(H11:K11),H11:K11,0))</f>
        <v/>
      </c>
      <c r="M11">
        <f>SUMPRODUCT((H11:K11&lt;0.05*30)*($H$3:$K$3&lt;&gt;B11))</f>
        <v/>
      </c>
      <c r="N11">
        <f>IF(AND(L11&lt;&gt;B11,MAX(H11:K11)&gt;=0.4*30,C11&lt;0.3),"Posible error de clave",IF(F11&lt;0,"Discrimina al revés: revisar",IF(C11&gt;0.9,"Muy fácil",IF(C11&lt;0.2,"Muy difícil",IF(F11&lt;0.2,"Poco discriminativo","Aceptable")))))</f>
        <v/>
      </c>
    </row>
    <row r="12">
      <c r="A12" t="n">
        <v>9</v>
      </c>
      <c r="B12">
        <f>Respuestas!J3</f>
        <v/>
      </c>
      <c r="C12" s="2">
        <f>AVERAGE(Puntajes!$J$3:$J$32)</f>
        <v/>
      </c>
      <c r="D12">
        <f>SUMIFS(Puntajes!$J$3:$J$32,Puntajes!$Y$3:$Y$32,"Alto")</f>
        <v/>
      </c>
      <c r="E12">
        <f>SUMIFS(Puntajes!$J$3:$J$32,Puntajes!$Y$3:$Y$32,"Bajo")</f>
        <v/>
      </c>
      <c r="F12" s="2">
        <f>(D12-E12)/8</f>
        <v/>
      </c>
      <c r="G12" s="2">
        <f>CORREL(Puntajes!$J$3:$J$32,Puntajes!$V$3:$V$32-Puntajes!$J$3:$J$32)</f>
        <v/>
      </c>
      <c r="H12">
        <f>COUNTIF(Respuestas!$J$4:$J$33,"A")</f>
        <v/>
      </c>
      <c r="I12">
        <f>COUNTIF(Respuestas!$J$4:$J$33,"B")</f>
        <v/>
      </c>
      <c r="J12">
        <f>COUNTIF(Respuestas!$J$4:$J$33,"C")</f>
        <v/>
      </c>
      <c r="K12">
        <f>COUNTIF(Respuestas!$J$4:$J$33,"D")</f>
        <v/>
      </c>
      <c r="L12">
        <f>INDEX($H$3:$K$3,MATCH(MAX(H12:K12),H12:K12,0))</f>
        <v/>
      </c>
      <c r="M12">
        <f>SUMPRODUCT((H12:K12&lt;0.05*30)*($H$3:$K$3&lt;&gt;B12))</f>
        <v/>
      </c>
      <c r="N12">
        <f>IF(AND(L12&lt;&gt;B12,MAX(H12:K12)&gt;=0.4*30,C12&lt;0.3),"Posible error de clave",IF(F12&lt;0,"Discrimina al revés: revisar",IF(C12&gt;0.9,"Muy fácil",IF(C12&lt;0.2,"Muy difícil",IF(F12&lt;0.2,"Poco discriminativo","Aceptable")))))</f>
        <v/>
      </c>
    </row>
    <row r="13">
      <c r="A13" t="n">
        <v>10</v>
      </c>
      <c r="B13">
        <f>Respuestas!K3</f>
        <v/>
      </c>
      <c r="C13" s="2">
        <f>AVERAGE(Puntajes!$K$3:$K$32)</f>
        <v/>
      </c>
      <c r="D13">
        <f>SUMIFS(Puntajes!$K$3:$K$32,Puntajes!$Y$3:$Y$32,"Alto")</f>
        <v/>
      </c>
      <c r="E13">
        <f>SUMIFS(Puntajes!$K$3:$K$32,Puntajes!$Y$3:$Y$32,"Bajo")</f>
        <v/>
      </c>
      <c r="F13" s="2">
        <f>(D13-E13)/8</f>
        <v/>
      </c>
      <c r="G13" s="2">
        <f>CORREL(Puntajes!$K$3:$K$32,Puntajes!$V$3:$V$32-Puntajes!$K$3:$K$32)</f>
        <v/>
      </c>
      <c r="H13">
        <f>COUNTIF(Respuestas!$K$4:$K$33,"A")</f>
        <v/>
      </c>
      <c r="I13">
        <f>COUNTIF(Respuestas!$K$4:$K$33,"B")</f>
        <v/>
      </c>
      <c r="J13">
        <f>COUNTIF(Respuestas!$K$4:$K$33,"C")</f>
        <v/>
      </c>
      <c r="K13">
        <f>COUNTIF(Respuestas!$K$4:$K$33,"D")</f>
        <v/>
      </c>
      <c r="L13">
        <f>INDEX($H$3:$K$3,MATCH(MAX(H13:K13),H13:K13,0))</f>
        <v/>
      </c>
      <c r="M13">
        <f>SUMPRODUCT((H13:K13&lt;0.05*30)*($H$3:$K$3&lt;&gt;B13))</f>
        <v/>
      </c>
      <c r="N13">
        <f>IF(AND(L13&lt;&gt;B13,MAX(H13:K13)&gt;=0.4*30,C13&lt;0.3),"Posible error de clave",IF(F13&lt;0,"Discrimina al revés: revisar",IF(C13&gt;0.9,"Muy fácil",IF(C13&lt;0.2,"Muy difícil",IF(F13&lt;0.2,"Poco discriminativo","Aceptable")))))</f>
        <v/>
      </c>
    </row>
    <row r="14">
      <c r="A14" t="n">
        <v>11</v>
      </c>
      <c r="B14">
        <f>Respuestas!L3</f>
        <v/>
      </c>
      <c r="C14" s="2">
        <f>AVERAGE(Puntajes!$L$3:$L$32)</f>
        <v/>
      </c>
      <c r="D14">
        <f>SUMIFS(Puntajes!$L$3:$L$32,Puntajes!$Y$3:$Y$32,"Alto")</f>
        <v/>
      </c>
      <c r="E14">
        <f>SUMIFS(Puntajes!$L$3:$L$32,Puntajes!$Y$3:$Y$32,"Bajo")</f>
        <v/>
      </c>
      <c r="F14" s="2">
        <f>(D14-E14)/8</f>
        <v/>
      </c>
      <c r="G14" s="2">
        <f>CORREL(Puntajes!$L$3:$L$32,Puntajes!$V$3:$V$32-Puntajes!$L$3:$L$32)</f>
        <v/>
      </c>
      <c r="H14">
        <f>COUNTIF(Respuestas!$L$4:$L$33,"A")</f>
        <v/>
      </c>
      <c r="I14">
        <f>COUNTIF(Respuestas!$L$4:$L$33,"B")</f>
        <v/>
      </c>
      <c r="J14">
        <f>COUNTIF(Respuestas!$L$4:$L$33,"C")</f>
        <v/>
      </c>
      <c r="K14">
        <f>COUNTIF(Respuestas!$L$4:$L$33,"D")</f>
        <v/>
      </c>
      <c r="L14">
        <f>INDEX($H$3:$K$3,MATCH(MAX(H14:K14),H14:K14,0))</f>
        <v/>
      </c>
      <c r="M14">
        <f>SUMPRODUCT((H14:K14&lt;0.05*30)*($H$3:$K$3&lt;&gt;B14))</f>
        <v/>
      </c>
      <c r="N14">
        <f>IF(AND(L14&lt;&gt;B14,MAX(H14:K14)&gt;=0.4*30,C14&lt;0.3),"Posible error de clave",IF(F14&lt;0,"Discrimina al revés: revisar",IF(C14&gt;0.9,"Muy fácil",IF(C14&lt;0.2,"Muy difícil",IF(F14&lt;0.2,"Poco discriminativo","Aceptable")))))</f>
        <v/>
      </c>
    </row>
    <row r="15">
      <c r="A15" t="n">
        <v>12</v>
      </c>
      <c r="B15">
        <f>Respuestas!M3</f>
        <v/>
      </c>
      <c r="C15" s="2">
        <f>AVERAGE(Puntajes!$M$3:$M$32)</f>
        <v/>
      </c>
      <c r="D15">
        <f>SUMIFS(Puntajes!$M$3:$M$32,Puntajes!$Y$3:$Y$32,"Alto")</f>
        <v/>
      </c>
      <c r="E15">
        <f>SUMIFS(Puntajes!$M$3:$M$32,Puntajes!$Y$3:$Y$32,"Bajo")</f>
        <v/>
      </c>
      <c r="F15" s="2">
        <f>(D15-E15)/8</f>
        <v/>
      </c>
      <c r="G15" s="2">
        <f>CORREL(Puntajes!$M$3:$M$32,Puntajes!$V$3:$V$32-Puntajes!$M$3:$M$32)</f>
        <v/>
      </c>
      <c r="H15">
        <f>COUNTIF(Respuestas!$M$4:$M$33,"A")</f>
        <v/>
      </c>
      <c r="I15">
        <f>COUNTIF(Respuestas!$M$4:$M$33,"B")</f>
        <v/>
      </c>
      <c r="J15">
        <f>COUNTIF(Respuestas!$M$4:$M$33,"C")</f>
        <v/>
      </c>
      <c r="K15">
        <f>COUNTIF(Respuestas!$M$4:$M$33,"D")</f>
        <v/>
      </c>
      <c r="L15">
        <f>INDEX($H$3:$K$3,MATCH(MAX(H15:K15),H15:K15,0))</f>
        <v/>
      </c>
      <c r="M15">
        <f>SUMPRODUCT((H15:K15&lt;0.05*30)*($H$3:$K$3&lt;&gt;B15))</f>
        <v/>
      </c>
      <c r="N15">
        <f>IF(AND(L15&lt;&gt;B15,MAX(H15:K15)&gt;=0.4*30,C15&lt;0.3),"Posible error de clave",IF(F15&lt;0,"Discrimina al revés: revisar",IF(C15&gt;0.9,"Muy fácil",IF(C15&lt;0.2,"Muy difícil",IF(F15&lt;0.2,"Poco discriminativo","Aceptable")))))</f>
        <v/>
      </c>
    </row>
    <row r="16">
      <c r="A16" t="n">
        <v>13</v>
      </c>
      <c r="B16">
        <f>Respuestas!N3</f>
        <v/>
      </c>
      <c r="C16" s="2">
        <f>AVERAGE(Puntajes!$N$3:$N$32)</f>
        <v/>
      </c>
      <c r="D16">
        <f>SUMIFS(Puntajes!$N$3:$N$32,Puntajes!$Y$3:$Y$32,"Alto")</f>
        <v/>
      </c>
      <c r="E16">
        <f>SUMIFS(Puntajes!$N$3:$N$32,Puntajes!$Y$3:$Y$32,"Bajo")</f>
        <v/>
      </c>
      <c r="F16" s="2">
        <f>(D16-E16)/8</f>
        <v/>
      </c>
      <c r="G16" s="2">
        <f>CORREL(Puntajes!$N$3:$N$32,Puntajes!$V$3:$V$32-Puntajes!$N$3:$N$32)</f>
        <v/>
      </c>
      <c r="H16">
        <f>COUNTIF(Respuestas!$N$4:$N$33,"A")</f>
        <v/>
      </c>
      <c r="I16">
        <f>COUNTIF(Respuestas!$N$4:$N$33,"B")</f>
        <v/>
      </c>
      <c r="J16">
        <f>COUNTIF(Respuestas!$N$4:$N$33,"C")</f>
        <v/>
      </c>
      <c r="K16">
        <f>COUNTIF(Respuestas!$N$4:$N$33,"D")</f>
        <v/>
      </c>
      <c r="L16">
        <f>INDEX($H$3:$K$3,MATCH(MAX(H16:K16),H16:K16,0))</f>
        <v/>
      </c>
      <c r="M16">
        <f>SUMPRODUCT((H16:K16&lt;0.05*30)*($H$3:$K$3&lt;&gt;B16))</f>
        <v/>
      </c>
      <c r="N16">
        <f>IF(AND(L16&lt;&gt;B16,MAX(H16:K16)&gt;=0.4*30,C16&lt;0.3),"Posible error de clave",IF(F16&lt;0,"Discrimina al revés: revisar",IF(C16&gt;0.9,"Muy fácil",IF(C16&lt;0.2,"Muy difícil",IF(F16&lt;0.2,"Poco discriminativo","Aceptable")))))</f>
        <v/>
      </c>
    </row>
    <row r="17">
      <c r="A17" t="n">
        <v>14</v>
      </c>
      <c r="B17">
        <f>Respuestas!O3</f>
        <v/>
      </c>
      <c r="C17" s="2">
        <f>AVERAGE(Puntajes!$O$3:$O$32)</f>
        <v/>
      </c>
      <c r="D17">
        <f>SUMIFS(Puntajes!$O$3:$O$32,Puntajes!$Y$3:$Y$32,"Alto")</f>
        <v/>
      </c>
      <c r="E17">
        <f>SUMIFS(Puntajes!$O$3:$O$32,Puntajes!$Y$3:$Y$32,"Bajo")</f>
        <v/>
      </c>
      <c r="F17" s="2">
        <f>(D17-E17)/8</f>
        <v/>
      </c>
      <c r="G17" s="2">
        <f>CORREL(Puntajes!$O$3:$O$32,Puntajes!$V$3:$V$32-Puntajes!$O$3:$O$32)</f>
        <v/>
      </c>
      <c r="H17">
        <f>COUNTIF(Respuestas!$O$4:$O$33,"A")</f>
        <v/>
      </c>
      <c r="I17">
        <f>COUNTIF(Respuestas!$O$4:$O$33,"B")</f>
        <v/>
      </c>
      <c r="J17">
        <f>COUNTIF(Respuestas!$O$4:$O$33,"C")</f>
        <v/>
      </c>
      <c r="K17">
        <f>COUNTIF(Respuestas!$O$4:$O$33,"D")</f>
        <v/>
      </c>
      <c r="L17">
        <f>INDEX($H$3:$K$3,MATCH(MAX(H17:K17),H17:K17,0))</f>
        <v/>
      </c>
      <c r="M17">
        <f>SUMPRODUCT((H17:K17&lt;0.05*30)*($H$3:$K$3&lt;&gt;B17))</f>
        <v/>
      </c>
      <c r="N17">
        <f>IF(AND(L17&lt;&gt;B17,MAX(H17:K17)&gt;=0.4*30,C17&lt;0.3),"Posible error de clave",IF(F17&lt;0,"Discrimina al revés: revisar",IF(C17&gt;0.9,"Muy fácil",IF(C17&lt;0.2,"Muy difícil",IF(F17&lt;0.2,"Poco discriminativo","Aceptable")))))</f>
        <v/>
      </c>
    </row>
    <row r="18">
      <c r="A18" t="n">
        <v>15</v>
      </c>
      <c r="B18">
        <f>Respuestas!P3</f>
        <v/>
      </c>
      <c r="C18" s="2">
        <f>AVERAGE(Puntajes!$P$3:$P$32)</f>
        <v/>
      </c>
      <c r="D18">
        <f>SUMIFS(Puntajes!$P$3:$P$32,Puntajes!$Y$3:$Y$32,"Alto")</f>
        <v/>
      </c>
      <c r="E18">
        <f>SUMIFS(Puntajes!$P$3:$P$32,Puntajes!$Y$3:$Y$32,"Bajo")</f>
        <v/>
      </c>
      <c r="F18" s="2">
        <f>(D18-E18)/8</f>
        <v/>
      </c>
      <c r="G18" s="2">
        <f>CORREL(Puntajes!$P$3:$P$32,Puntajes!$V$3:$V$32-Puntajes!$P$3:$P$32)</f>
        <v/>
      </c>
      <c r="H18">
        <f>COUNTIF(Respuestas!$P$4:$P$33,"A")</f>
        <v/>
      </c>
      <c r="I18">
        <f>COUNTIF(Respuestas!$P$4:$P$33,"B")</f>
        <v/>
      </c>
      <c r="J18">
        <f>COUNTIF(Respuestas!$P$4:$P$33,"C")</f>
        <v/>
      </c>
      <c r="K18">
        <f>COUNTIF(Respuestas!$P$4:$P$33,"D")</f>
        <v/>
      </c>
      <c r="L18">
        <f>INDEX($H$3:$K$3,MATCH(MAX(H18:K18),H18:K18,0))</f>
        <v/>
      </c>
      <c r="M18">
        <f>SUMPRODUCT((H18:K18&lt;0.05*30)*($H$3:$K$3&lt;&gt;B18))</f>
        <v/>
      </c>
      <c r="N18">
        <f>IF(AND(L18&lt;&gt;B18,MAX(H18:K18)&gt;=0.4*30,C18&lt;0.3),"Posible error de clave",IF(F18&lt;0,"Discrimina al revés: revisar",IF(C18&gt;0.9,"Muy fácil",IF(C18&lt;0.2,"Muy difícil",IF(F18&lt;0.2,"Poco discriminativo","Aceptable")))))</f>
        <v/>
      </c>
    </row>
    <row r="19">
      <c r="A19" t="n">
        <v>16</v>
      </c>
      <c r="B19">
        <f>Respuestas!Q3</f>
        <v/>
      </c>
      <c r="C19" s="2">
        <f>AVERAGE(Puntajes!$Q$3:$Q$32)</f>
        <v/>
      </c>
      <c r="D19">
        <f>SUMIFS(Puntajes!$Q$3:$Q$32,Puntajes!$Y$3:$Y$32,"Alto")</f>
        <v/>
      </c>
      <c r="E19">
        <f>SUMIFS(Puntajes!$Q$3:$Q$32,Puntajes!$Y$3:$Y$32,"Bajo")</f>
        <v/>
      </c>
      <c r="F19" s="2">
        <f>(D19-E19)/8</f>
        <v/>
      </c>
      <c r="G19" s="2">
        <f>CORREL(Puntajes!$Q$3:$Q$32,Puntajes!$V$3:$V$32-Puntajes!$Q$3:$Q$32)</f>
        <v/>
      </c>
      <c r="H19">
        <f>COUNTIF(Respuestas!$Q$4:$Q$33,"A")</f>
        <v/>
      </c>
      <c r="I19">
        <f>COUNTIF(Respuestas!$Q$4:$Q$33,"B")</f>
        <v/>
      </c>
      <c r="J19">
        <f>COUNTIF(Respuestas!$Q$4:$Q$33,"C")</f>
        <v/>
      </c>
      <c r="K19">
        <f>COUNTIF(Respuestas!$Q$4:$Q$33,"D")</f>
        <v/>
      </c>
      <c r="L19">
        <f>INDEX($H$3:$K$3,MATCH(MAX(H19:K19),H19:K19,0))</f>
        <v/>
      </c>
      <c r="M19">
        <f>SUMPRODUCT((H19:K19&lt;0.05*30)*($H$3:$K$3&lt;&gt;B19))</f>
        <v/>
      </c>
      <c r="N19">
        <f>IF(AND(L19&lt;&gt;B19,MAX(H19:K19)&gt;=0.4*30,C19&lt;0.3),"Posible error de clave",IF(F19&lt;0,"Discrimina al revés: revisar",IF(C19&gt;0.9,"Muy fácil",IF(C19&lt;0.2,"Muy difícil",IF(F19&lt;0.2,"Poco discriminativo","Aceptable")))))</f>
        <v/>
      </c>
    </row>
    <row r="20">
      <c r="A20" t="n">
        <v>17</v>
      </c>
      <c r="B20">
        <f>Respuestas!R3</f>
        <v/>
      </c>
      <c r="C20" s="2">
        <f>AVERAGE(Puntajes!$R$3:$R$32)</f>
        <v/>
      </c>
      <c r="D20">
        <f>SUMIFS(Puntajes!$R$3:$R$32,Puntajes!$Y$3:$Y$32,"Alto")</f>
        <v/>
      </c>
      <c r="E20">
        <f>SUMIFS(Puntajes!$R$3:$R$32,Puntajes!$Y$3:$Y$32,"Bajo")</f>
        <v/>
      </c>
      <c r="F20" s="2">
        <f>(D20-E20)/8</f>
        <v/>
      </c>
      <c r="G20" s="2">
        <f>CORREL(Puntajes!$R$3:$R$32,Puntajes!$V$3:$V$32-Puntajes!$R$3:$R$32)</f>
        <v/>
      </c>
      <c r="H20">
        <f>COUNTIF(Respuestas!$R$4:$R$33,"A")</f>
        <v/>
      </c>
      <c r="I20">
        <f>COUNTIF(Respuestas!$R$4:$R$33,"B")</f>
        <v/>
      </c>
      <c r="J20">
        <f>COUNTIF(Respuestas!$R$4:$R$33,"C")</f>
        <v/>
      </c>
      <c r="K20">
        <f>COUNTIF(Respuestas!$R$4:$R$33,"D")</f>
        <v/>
      </c>
      <c r="L20">
        <f>INDEX($H$3:$K$3,MATCH(MAX(H20:K20),H20:K20,0))</f>
        <v/>
      </c>
      <c r="M20">
        <f>SUMPRODUCT((H20:K20&lt;0.05*30)*($H$3:$K$3&lt;&gt;B20))</f>
        <v/>
      </c>
      <c r="N20">
        <f>IF(AND(L20&lt;&gt;B20,MAX(H20:K20)&gt;=0.4*30,C20&lt;0.3),"Posible error de clave",IF(F20&lt;0,"Discrimina al revés: revisar",IF(C20&gt;0.9,"Muy fácil",IF(C20&lt;0.2,"Muy difícil",IF(F20&lt;0.2,"Poco discriminativo","Aceptable")))))</f>
        <v/>
      </c>
    </row>
    <row r="21">
      <c r="A21" t="n">
        <v>18</v>
      </c>
      <c r="B21">
        <f>Respuestas!S3</f>
        <v/>
      </c>
      <c r="C21" s="2">
        <f>AVERAGE(Puntajes!$S$3:$S$32)</f>
        <v/>
      </c>
      <c r="D21">
        <f>SUMIFS(Puntajes!$S$3:$S$32,Puntajes!$Y$3:$Y$32,"Alto")</f>
        <v/>
      </c>
      <c r="E21">
        <f>SUMIFS(Puntajes!$S$3:$S$32,Puntajes!$Y$3:$Y$32,"Bajo")</f>
        <v/>
      </c>
      <c r="F21" s="2">
        <f>(D21-E21)/8</f>
        <v/>
      </c>
      <c r="G21" s="2">
        <f>CORREL(Puntajes!$S$3:$S$32,Puntajes!$V$3:$V$32-Puntajes!$S$3:$S$32)</f>
        <v/>
      </c>
      <c r="H21">
        <f>COUNTIF(Respuestas!$S$4:$S$33,"A")</f>
        <v/>
      </c>
      <c r="I21">
        <f>COUNTIF(Respuestas!$S$4:$S$33,"B")</f>
        <v/>
      </c>
      <c r="J21">
        <f>COUNTIF(Respuestas!$S$4:$S$33,"C")</f>
        <v/>
      </c>
      <c r="K21">
        <f>COUNTIF(Respuestas!$S$4:$S$33,"D")</f>
        <v/>
      </c>
      <c r="L21">
        <f>INDEX($H$3:$K$3,MATCH(MAX(H21:K21),H21:K21,0))</f>
        <v/>
      </c>
      <c r="M21">
        <f>SUMPRODUCT((H21:K21&lt;0.05*30)*($H$3:$K$3&lt;&gt;B21))</f>
        <v/>
      </c>
      <c r="N21">
        <f>IF(AND(L21&lt;&gt;B21,MAX(H21:K21)&gt;=0.4*30,C21&lt;0.3),"Posible error de clave",IF(F21&lt;0,"Discrimina al revés: revisar",IF(C21&gt;0.9,"Muy fácil",IF(C21&lt;0.2,"Muy difícil",IF(F21&lt;0.2,"Poco discriminativo","Aceptable")))))</f>
        <v/>
      </c>
    </row>
    <row r="22">
      <c r="A22" t="n">
        <v>19</v>
      </c>
      <c r="B22">
        <f>Respuestas!T3</f>
        <v/>
      </c>
      <c r="C22" s="2">
        <f>AVERAGE(Puntajes!$T$3:$T$32)</f>
        <v/>
      </c>
      <c r="D22">
        <f>SUMIFS(Puntajes!$T$3:$T$32,Puntajes!$Y$3:$Y$32,"Alto")</f>
        <v/>
      </c>
      <c r="E22">
        <f>SUMIFS(Puntajes!$T$3:$T$32,Puntajes!$Y$3:$Y$32,"Bajo")</f>
        <v/>
      </c>
      <c r="F22" s="2">
        <f>(D22-E22)/8</f>
        <v/>
      </c>
      <c r="G22" s="2">
        <f>CORREL(Puntajes!$T$3:$T$32,Puntajes!$V$3:$V$32-Puntajes!$T$3:$T$32)</f>
        <v/>
      </c>
      <c r="H22">
        <f>COUNTIF(Respuestas!$T$4:$T$33,"A")</f>
        <v/>
      </c>
      <c r="I22">
        <f>COUNTIF(Respuestas!$T$4:$T$33,"B")</f>
        <v/>
      </c>
      <c r="J22">
        <f>COUNTIF(Respuestas!$T$4:$T$33,"C")</f>
        <v/>
      </c>
      <c r="K22">
        <f>COUNTIF(Respuestas!$T$4:$T$33,"D")</f>
        <v/>
      </c>
      <c r="L22">
        <f>INDEX($H$3:$K$3,MATCH(MAX(H22:K22),H22:K22,0))</f>
        <v/>
      </c>
      <c r="M22">
        <f>SUMPRODUCT((H22:K22&lt;0.05*30)*($H$3:$K$3&lt;&gt;B22))</f>
        <v/>
      </c>
      <c r="N22">
        <f>IF(AND(L22&lt;&gt;B22,MAX(H22:K22)&gt;=0.4*30,C22&lt;0.3),"Posible error de clave",IF(F22&lt;0,"Discrimina al revés: revisar",IF(C22&gt;0.9,"Muy fácil",IF(C22&lt;0.2,"Muy difícil",IF(F22&lt;0.2,"Poco discriminativo","Aceptable")))))</f>
        <v/>
      </c>
    </row>
    <row r="23">
      <c r="A23" t="n">
        <v>20</v>
      </c>
      <c r="B23">
        <f>Respuestas!U3</f>
        <v/>
      </c>
      <c r="C23" s="2">
        <f>AVERAGE(Puntajes!$U$3:$U$32)</f>
        <v/>
      </c>
      <c r="D23">
        <f>SUMIFS(Puntajes!$U$3:$U$32,Puntajes!$Y$3:$Y$32,"Alto")</f>
        <v/>
      </c>
      <c r="E23">
        <f>SUMIFS(Puntajes!$U$3:$U$32,Puntajes!$Y$3:$Y$32,"Bajo")</f>
        <v/>
      </c>
      <c r="F23" s="2">
        <f>(D23-E23)/8</f>
        <v/>
      </c>
      <c r="G23" s="2">
        <f>CORREL(Puntajes!$U$3:$U$32,Puntajes!$V$3:$V$32-Puntajes!$U$3:$U$32)</f>
        <v/>
      </c>
      <c r="H23">
        <f>COUNTIF(Respuestas!$U$4:$U$33,"A")</f>
        <v/>
      </c>
      <c r="I23">
        <f>COUNTIF(Respuestas!$U$4:$U$33,"B")</f>
        <v/>
      </c>
      <c r="J23">
        <f>COUNTIF(Respuestas!$U$4:$U$33,"C")</f>
        <v/>
      </c>
      <c r="K23">
        <f>COUNTIF(Respuestas!$U$4:$U$33,"D")</f>
        <v/>
      </c>
      <c r="L23">
        <f>INDEX($H$3:$K$3,MATCH(MAX(H23:K23),H23:K23,0))</f>
        <v/>
      </c>
      <c r="M23">
        <f>SUMPRODUCT((H23:K23&lt;0.05*30)*($H$3:$K$3&lt;&gt;B23))</f>
        <v/>
      </c>
      <c r="N23">
        <f>IF(AND(L23&lt;&gt;B23,MAX(H23:K23)&gt;=0.4*30,C23&lt;0.3),"Posible error de clave",IF(F23&lt;0,"Discrimina al revés: revisar",IF(C23&gt;0.9,"Muy fácil",IF(C23&lt;0.2,"Muy difícil",IF(F23&lt;0.2,"Poco discriminativo","Aceptable")))))</f>
        <v/>
      </c>
    </row>
  </sheetData>
  <conditionalFormatting sqref="N4:N23">
    <cfRule type="cellIs" priority="1" operator="notEqual" dxfId="0">
      <formula>"Aceptable"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2026-10-10T14:11:13Z</dcterms:created>
  <dcterms:modified xmlns:dcterms="http://purl.org/dc/terms/" xmlns:xsi="http://www.w3.org/2001/XMLSchema-instance" xsi:type="dcterms:W3CDTF">2026-10-10T14:11:13Z</dcterms:modified>
</cp:coreProperties>
</file>