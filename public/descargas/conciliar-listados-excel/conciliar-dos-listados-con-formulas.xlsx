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ista_A" sheetId="2" state="visible" r:id="rId2"/>
    <sheet xmlns:r="http://schemas.openxmlformats.org/officeDocument/2006/relationships" name="Lista_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9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</cols>
  <sheetData>
    <row r="1">
      <c r="A1" s="1" t="inlineStr">
        <is>
          <t>RESUMEN DE LA CONCILIACIÓN</t>
        </is>
      </c>
    </row>
    <row r="3">
      <c r="A3" t="inlineStr">
        <is>
          <t>Filas en A</t>
        </is>
      </c>
      <c r="B3">
        <f>COUNTA(Lista_A!A4:A63)</f>
        <v/>
      </c>
    </row>
    <row r="4">
      <c r="A4" t="inlineStr">
        <is>
          <t>Filas en B</t>
        </is>
      </c>
      <c r="B4">
        <f>COUNTA(Lista_B!A4:A63)</f>
        <v/>
      </c>
    </row>
    <row r="5">
      <c r="A5" t="inlineStr">
        <is>
          <t>Llaves en ambas listas</t>
        </is>
      </c>
      <c r="B5">
        <f>COUNTIF(Lista_A!F4:F63,"En ambos")</f>
        <v/>
      </c>
    </row>
    <row r="6">
      <c r="A6" t="inlineStr">
        <is>
          <t>Solo en A</t>
        </is>
      </c>
      <c r="B6">
        <f>COUNTIF(Lista_A!F4:F63,"Solo en A")</f>
        <v/>
      </c>
    </row>
    <row r="7">
      <c r="A7" t="inlineStr">
        <is>
          <t>Solo en B</t>
        </is>
      </c>
      <c r="B7">
        <f>COUNTIF(Lista_B!E4:E63,"Solo en B")</f>
        <v/>
      </c>
    </row>
    <row r="8">
      <c r="A8" t="inlineStr">
        <is>
          <t>Posible cero inicial perdido</t>
        </is>
      </c>
      <c r="B8">
        <f>COUNTIF(Lista_A!F4:F63,"Posible cero perdido")</f>
        <v/>
      </c>
    </row>
    <row r="9">
      <c r="A9" t="inlineStr">
        <is>
          <t>Diferencias de nombre solo de formato</t>
        </is>
      </c>
      <c r="B9">
        <f>COUNTIF(Lista_A!J4:J63,"Solo formato")</f>
        <v/>
      </c>
    </row>
    <row r="10">
      <c r="A10" t="inlineStr">
        <is>
          <t>Conflictos de nombre</t>
        </is>
      </c>
      <c r="B10">
        <f>COUNTIF(Lista_A!J4:J63,"Conflicto")</f>
        <v/>
      </c>
    </row>
    <row r="11">
      <c r="A11" t="inlineStr">
        <is>
          <t>Conflictos de correo</t>
        </is>
      </c>
      <c r="B11">
        <f>COUNTIF(Lista_A!K4:K63,"Conflicto")</f>
        <v/>
      </c>
    </row>
    <row r="12">
      <c r="A12" t="inlineStr">
        <is>
          <t>Conflictos de curso</t>
        </is>
      </c>
      <c r="B12">
        <f>COUNTIF(Lista_A!L4:L63,"Conflicto")</f>
        <v/>
      </c>
    </row>
    <row r="13">
      <c r="A13" t="inlineStr">
        <is>
          <t>Total de conflictos reales</t>
        </is>
      </c>
      <c r="B13">
        <f>SUM(B10:B12)</f>
        <v/>
      </c>
    </row>
    <row r="15">
      <c r="A15" t="inlineStr">
        <is>
          <t>Para otro par de listas: pega tus datos como TEXTO en las hojas Lista_A y Lista_B (columnas A a D) y copia las fórmulas hacia abajo si hay más de 60 filas.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4" customWidth="1" min="3" max="3"/>
    <col width="8" customWidth="1" min="4" max="4"/>
    <col width="22" customWidth="1" min="5" max="5"/>
    <col width="20" customWidth="1" min="6" max="6"/>
    <col width="22" customWidth="1" min="7" max="7"/>
    <col width="34" customWidth="1" min="8" max="8"/>
    <col width="9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LISTA A: SISTEMA DE GESTIÓN (ejemplo ficticio; el código se guarda como TEXTO)</t>
        </is>
      </c>
    </row>
    <row r="3" ht="36" customHeight="1">
      <c r="A3" s="3" t="inlineStr">
        <is>
          <t>Código</t>
        </is>
      </c>
      <c r="B3" s="3" t="inlineStr">
        <is>
          <t>Nombre</t>
        </is>
      </c>
      <c r="C3" s="3" t="inlineStr">
        <is>
          <t>Correo</t>
        </is>
      </c>
      <c r="D3" s="3" t="inlineStr">
        <is>
          <t>Curso</t>
        </is>
      </c>
      <c r="E3" s="3" t="inlineStr">
        <is>
          <t>Nombre normalizado</t>
        </is>
      </c>
      <c r="F3" s="3" t="inlineStr">
        <is>
          <t>Estado de la llave</t>
        </is>
      </c>
      <c r="G3" s="3" t="inlineStr">
        <is>
          <t>Nombre en B</t>
        </is>
      </c>
      <c r="H3" s="3" t="inlineStr">
        <is>
          <t>Correo en B</t>
        </is>
      </c>
      <c r="I3" s="3" t="inlineStr">
        <is>
          <t>Curso en B</t>
        </is>
      </c>
      <c r="J3" s="3" t="inlineStr">
        <is>
          <t>Nombre</t>
        </is>
      </c>
      <c r="K3" s="3" t="inlineStr">
        <is>
          <t>Correo</t>
        </is>
      </c>
      <c r="L3" s="3" t="inlineStr">
        <is>
          <t>Curso</t>
        </is>
      </c>
    </row>
    <row r="4">
      <c r="A4" s="4" t="inlineStr">
        <is>
          <t>0001</t>
        </is>
      </c>
      <c r="B4" s="4" t="inlineStr">
        <is>
          <t>María Pérez</t>
        </is>
      </c>
      <c r="C4" s="4" t="inlineStr">
        <is>
          <t>maria.perez@colegio.example</t>
        </is>
      </c>
      <c r="D4" s="4" t="inlineStr">
        <is>
          <t>7A</t>
        </is>
      </c>
      <c r="E4">
        <f>IF(B4="","",SUBSTITUTE(SUBSTITUTE(SUBSTITUTE(SUBSTITUTE(SUBSTITUTE(SUBSTITUTE(LOWER(TRIM(B4)),"á","a"),"é","e"),"í","i"),"ó","o"),"ú","u"),"ü","u"))</f>
        <v/>
      </c>
      <c r="F4">
        <f>IF(A4="","",IF(SUMPRODUCT(--EXACT(Lista_B!$A$4:$A$63,A4))&gt;0,"En ambos",IF(SUMPRODUCT(--EXACT(Lista_B!$A$4:$A$63,TEXT(VALUE(A4),"0")))&gt;0,"Posible cero perdido","Solo en A")))</f>
        <v/>
      </c>
      <c r="G4">
        <f>IF(F4&lt;&gt;"En ambos","",INDEX(Lista_B!$B$4:$B$63,MATCH(A4,Lista_B!$A$4:$A$63,0)))</f>
        <v/>
      </c>
      <c r="H4">
        <f>IF(F4&lt;&gt;"En ambos","",INDEX(Lista_B!$C$4:$C$63,MATCH(A4,Lista_B!$A$4:$A$63,0)))</f>
        <v/>
      </c>
      <c r="I4">
        <f>IF(F4&lt;&gt;"En ambos","",INDEX(Lista_B!$D$4:$D$63,MATCH(A4,Lista_B!$A$4:$A$63,0)))</f>
        <v/>
      </c>
      <c r="J4">
        <f>IF(F4&lt;&gt;"En ambos","",IF(EXACT(B4,G4),"Igual",IF(E4=SUBSTITUTE(SUBSTITUTE(SUBSTITUTE(SUBSTITUTE(SUBSTITUTE(SUBSTITUTE(LOWER(TRIM(G4)),"á","a"),"é","e"),"í","i"),"ó","o"),"ú","u"),"ü","u"),"Solo formato","Conflicto")))</f>
        <v/>
      </c>
      <c r="K4">
        <f>IF(F4&lt;&gt;"En ambos","",IF(EXACT(C4,H4),"Igual",IF(LOWER(TRIM(C4))=LOWER(TRIM(H4)),"Solo formato","Conflicto")))</f>
        <v/>
      </c>
      <c r="L4">
        <f>IF(F4&lt;&gt;"En ambos","",IF(EXACT(D4,I4),"Igual",IF(LOWER(TRIM(D4))=LOWER(TRIM(I4)),"Solo formato","Conflicto")))</f>
        <v/>
      </c>
    </row>
    <row r="5">
      <c r="A5" s="4" t="inlineStr">
        <is>
          <t>0002</t>
        </is>
      </c>
      <c r="B5" s="4" t="inlineStr">
        <is>
          <t>José Díaz</t>
        </is>
      </c>
      <c r="C5" s="4" t="inlineStr">
        <is>
          <t>jose.diaz@colegio.example</t>
        </is>
      </c>
      <c r="D5" s="4" t="inlineStr">
        <is>
          <t>7B</t>
        </is>
      </c>
      <c r="E5">
        <f>IF(B5="","",SUBSTITUTE(SUBSTITUTE(SUBSTITUTE(SUBSTITUTE(SUBSTITUTE(SUBSTITUTE(LOWER(TRIM(B5)),"á","a"),"é","e"),"í","i"),"ó","o"),"ú","u"),"ü","u"))</f>
        <v/>
      </c>
      <c r="F5">
        <f>IF(A5="","",IF(SUMPRODUCT(--EXACT(Lista_B!$A$4:$A$63,A5))&gt;0,"En ambos",IF(SUMPRODUCT(--EXACT(Lista_B!$A$4:$A$63,TEXT(VALUE(A5),"0")))&gt;0,"Posible cero perdido","Solo en A")))</f>
        <v/>
      </c>
      <c r="G5">
        <f>IF(F5&lt;&gt;"En ambos","",INDEX(Lista_B!$B$4:$B$63,MATCH(A5,Lista_B!$A$4:$A$63,0)))</f>
        <v/>
      </c>
      <c r="H5">
        <f>IF(F5&lt;&gt;"En ambos","",INDEX(Lista_B!$C$4:$C$63,MATCH(A5,Lista_B!$A$4:$A$63,0)))</f>
        <v/>
      </c>
      <c r="I5">
        <f>IF(F5&lt;&gt;"En ambos","",INDEX(Lista_B!$D$4:$D$63,MATCH(A5,Lista_B!$A$4:$A$63,0)))</f>
        <v/>
      </c>
      <c r="J5">
        <f>IF(F5&lt;&gt;"En ambos","",IF(EXACT(B5,G5),"Igual",IF(E5=SUBSTITUTE(SUBSTITUTE(SUBSTITUTE(SUBSTITUTE(SUBSTITUTE(SUBSTITUTE(LOWER(TRIM(G5)),"á","a"),"é","e"),"í","i"),"ó","o"),"ú","u"),"ü","u"),"Solo formato","Conflicto")))</f>
        <v/>
      </c>
      <c r="K5">
        <f>IF(F5&lt;&gt;"En ambos","",IF(EXACT(C5,H5),"Igual",IF(LOWER(TRIM(C5))=LOWER(TRIM(H5)),"Solo formato","Conflicto")))</f>
        <v/>
      </c>
      <c r="L5">
        <f>IF(F5&lt;&gt;"En ambos","",IF(EXACT(D5,I5),"Igual",IF(LOWER(TRIM(D5))=LOWER(TRIM(I5)),"Solo formato","Conflicto")))</f>
        <v/>
      </c>
    </row>
    <row r="6">
      <c r="A6" s="4" t="inlineStr">
        <is>
          <t>0003</t>
        </is>
      </c>
      <c r="B6" s="4" t="inlineStr">
        <is>
          <t>Ángel Ruiz</t>
        </is>
      </c>
      <c r="C6" s="4" t="inlineStr">
        <is>
          <t>angel.ruiz@colegio.example</t>
        </is>
      </c>
      <c r="D6" s="4" t="inlineStr">
        <is>
          <t>8A</t>
        </is>
      </c>
      <c r="E6">
        <f>IF(B6="","",SUBSTITUTE(SUBSTITUTE(SUBSTITUTE(SUBSTITUTE(SUBSTITUTE(SUBSTITUTE(LOWER(TRIM(B6)),"á","a"),"é","e"),"í","i"),"ó","o"),"ú","u"),"ü","u"))</f>
        <v/>
      </c>
      <c r="F6">
        <f>IF(A6="","",IF(SUMPRODUCT(--EXACT(Lista_B!$A$4:$A$63,A6))&gt;0,"En ambos",IF(SUMPRODUCT(--EXACT(Lista_B!$A$4:$A$63,TEXT(VALUE(A6),"0")))&gt;0,"Posible cero perdido","Solo en A")))</f>
        <v/>
      </c>
      <c r="G6">
        <f>IF(F6&lt;&gt;"En ambos","",INDEX(Lista_B!$B$4:$B$63,MATCH(A6,Lista_B!$A$4:$A$63,0)))</f>
        <v/>
      </c>
      <c r="H6">
        <f>IF(F6&lt;&gt;"En ambos","",INDEX(Lista_B!$C$4:$C$63,MATCH(A6,Lista_B!$A$4:$A$63,0)))</f>
        <v/>
      </c>
      <c r="I6">
        <f>IF(F6&lt;&gt;"En ambos","",INDEX(Lista_B!$D$4:$D$63,MATCH(A6,Lista_B!$A$4:$A$63,0)))</f>
        <v/>
      </c>
      <c r="J6">
        <f>IF(F6&lt;&gt;"En ambos","",IF(EXACT(B6,G6),"Igual",IF(E6=SUBSTITUTE(SUBSTITUTE(SUBSTITUTE(SUBSTITUTE(SUBSTITUTE(SUBSTITUTE(LOWER(TRIM(G6)),"á","a"),"é","e"),"í","i"),"ó","o"),"ú","u"),"ü","u"),"Solo formato","Conflicto")))</f>
        <v/>
      </c>
      <c r="K6">
        <f>IF(F6&lt;&gt;"En ambos","",IF(EXACT(C6,H6),"Igual",IF(LOWER(TRIM(C6))=LOWER(TRIM(H6)),"Solo formato","Conflicto")))</f>
        <v/>
      </c>
      <c r="L6">
        <f>IF(F6&lt;&gt;"En ambos","",IF(EXACT(D6,I6),"Igual",IF(LOWER(TRIM(D6))=LOWER(TRIM(I6)),"Solo formato","Conflicto")))</f>
        <v/>
      </c>
    </row>
    <row r="7">
      <c r="A7" s="4" t="inlineStr">
        <is>
          <t>0004</t>
        </is>
      </c>
      <c r="B7" s="4" t="inlineStr">
        <is>
          <t>Andrea Gómez</t>
        </is>
      </c>
      <c r="C7" s="4" t="inlineStr">
        <is>
          <t>andrea.gomez@colegio.example</t>
        </is>
      </c>
      <c r="D7" s="4" t="inlineStr">
        <is>
          <t>7A</t>
        </is>
      </c>
      <c r="E7">
        <f>IF(B7="","",SUBSTITUTE(SUBSTITUTE(SUBSTITUTE(SUBSTITUTE(SUBSTITUTE(SUBSTITUTE(LOWER(TRIM(B7)),"á","a"),"é","e"),"í","i"),"ó","o"),"ú","u"),"ü","u"))</f>
        <v/>
      </c>
      <c r="F7">
        <f>IF(A7="","",IF(SUMPRODUCT(--EXACT(Lista_B!$A$4:$A$63,A7))&gt;0,"En ambos",IF(SUMPRODUCT(--EXACT(Lista_B!$A$4:$A$63,TEXT(VALUE(A7),"0")))&gt;0,"Posible cero perdido","Solo en A")))</f>
        <v/>
      </c>
      <c r="G7">
        <f>IF(F7&lt;&gt;"En ambos","",INDEX(Lista_B!$B$4:$B$63,MATCH(A7,Lista_B!$A$4:$A$63,0)))</f>
        <v/>
      </c>
      <c r="H7">
        <f>IF(F7&lt;&gt;"En ambos","",INDEX(Lista_B!$C$4:$C$63,MATCH(A7,Lista_B!$A$4:$A$63,0)))</f>
        <v/>
      </c>
      <c r="I7">
        <f>IF(F7&lt;&gt;"En ambos","",INDEX(Lista_B!$D$4:$D$63,MATCH(A7,Lista_B!$A$4:$A$63,0)))</f>
        <v/>
      </c>
      <c r="J7">
        <f>IF(F7&lt;&gt;"En ambos","",IF(EXACT(B7,G7),"Igual",IF(E7=SUBSTITUTE(SUBSTITUTE(SUBSTITUTE(SUBSTITUTE(SUBSTITUTE(SUBSTITUTE(LOWER(TRIM(G7)),"á","a"),"é","e"),"í","i"),"ó","o"),"ú","u"),"ü","u"),"Solo formato","Conflicto")))</f>
        <v/>
      </c>
      <c r="K7">
        <f>IF(F7&lt;&gt;"En ambos","",IF(EXACT(C7,H7),"Igual",IF(LOWER(TRIM(C7))=LOWER(TRIM(H7)),"Solo formato","Conflicto")))</f>
        <v/>
      </c>
      <c r="L7">
        <f>IF(F7&lt;&gt;"En ambos","",IF(EXACT(D7,I7),"Igual",IF(LOWER(TRIM(D7))=LOWER(TRIM(I7)),"Solo formato","Conflicto")))</f>
        <v/>
      </c>
    </row>
    <row r="8">
      <c r="A8" s="4" t="inlineStr">
        <is>
          <t>0005</t>
        </is>
      </c>
      <c r="B8" s="4" t="inlineStr">
        <is>
          <t>Camilo Torres</t>
        </is>
      </c>
      <c r="C8" s="4" t="inlineStr">
        <is>
          <t>camilo.torres@colegio.example</t>
        </is>
      </c>
      <c r="D8" s="4" t="inlineStr">
        <is>
          <t>7B</t>
        </is>
      </c>
      <c r="E8">
        <f>IF(B8="","",SUBSTITUTE(SUBSTITUTE(SUBSTITUTE(SUBSTITUTE(SUBSTITUTE(SUBSTITUTE(LOWER(TRIM(B8)),"á","a"),"é","e"),"í","i"),"ó","o"),"ú","u"),"ü","u"))</f>
        <v/>
      </c>
      <c r="F8">
        <f>IF(A8="","",IF(SUMPRODUCT(--EXACT(Lista_B!$A$4:$A$63,A8))&gt;0,"En ambos",IF(SUMPRODUCT(--EXACT(Lista_B!$A$4:$A$63,TEXT(VALUE(A8),"0")))&gt;0,"Posible cero perdido","Solo en A")))</f>
        <v/>
      </c>
      <c r="G8">
        <f>IF(F8&lt;&gt;"En ambos","",INDEX(Lista_B!$B$4:$B$63,MATCH(A8,Lista_B!$A$4:$A$63,0)))</f>
        <v/>
      </c>
      <c r="H8">
        <f>IF(F8&lt;&gt;"En ambos","",INDEX(Lista_B!$C$4:$C$63,MATCH(A8,Lista_B!$A$4:$A$63,0)))</f>
        <v/>
      </c>
      <c r="I8">
        <f>IF(F8&lt;&gt;"En ambos","",INDEX(Lista_B!$D$4:$D$63,MATCH(A8,Lista_B!$A$4:$A$63,0)))</f>
        <v/>
      </c>
      <c r="J8">
        <f>IF(F8&lt;&gt;"En ambos","",IF(EXACT(B8,G8),"Igual",IF(E8=SUBSTITUTE(SUBSTITUTE(SUBSTITUTE(SUBSTITUTE(SUBSTITUTE(SUBSTITUTE(LOWER(TRIM(G8)),"á","a"),"é","e"),"í","i"),"ó","o"),"ú","u"),"ü","u"),"Solo formato","Conflicto")))</f>
        <v/>
      </c>
      <c r="K8">
        <f>IF(F8&lt;&gt;"En ambos","",IF(EXACT(C8,H8),"Igual",IF(LOWER(TRIM(C8))=LOWER(TRIM(H8)),"Solo formato","Conflicto")))</f>
        <v/>
      </c>
      <c r="L8">
        <f>IF(F8&lt;&gt;"En ambos","",IF(EXACT(D8,I8),"Igual",IF(LOWER(TRIM(D8))=LOWER(TRIM(I8)),"Solo formato","Conflicto")))</f>
        <v/>
      </c>
    </row>
    <row r="9">
      <c r="A9" s="4" t="inlineStr">
        <is>
          <t>0006</t>
        </is>
      </c>
      <c r="B9" s="4" t="inlineStr">
        <is>
          <t>Lucía Mora</t>
        </is>
      </c>
      <c r="C9" s="4" t="inlineStr">
        <is>
          <t>lucia.mora@colegio.example</t>
        </is>
      </c>
      <c r="D9" s="4" t="inlineStr">
        <is>
          <t>8A</t>
        </is>
      </c>
      <c r="E9">
        <f>IF(B9="","",SUBSTITUTE(SUBSTITUTE(SUBSTITUTE(SUBSTITUTE(SUBSTITUTE(SUBSTITUTE(LOWER(TRIM(B9)),"á","a"),"é","e"),"í","i"),"ó","o"),"ú","u"),"ü","u"))</f>
        <v/>
      </c>
      <c r="F9">
        <f>IF(A9="","",IF(SUMPRODUCT(--EXACT(Lista_B!$A$4:$A$63,A9))&gt;0,"En ambos",IF(SUMPRODUCT(--EXACT(Lista_B!$A$4:$A$63,TEXT(VALUE(A9),"0")))&gt;0,"Posible cero perdido","Solo en A")))</f>
        <v/>
      </c>
      <c r="G9">
        <f>IF(F9&lt;&gt;"En ambos","",INDEX(Lista_B!$B$4:$B$63,MATCH(A9,Lista_B!$A$4:$A$63,0)))</f>
        <v/>
      </c>
      <c r="H9">
        <f>IF(F9&lt;&gt;"En ambos","",INDEX(Lista_B!$C$4:$C$63,MATCH(A9,Lista_B!$A$4:$A$63,0)))</f>
        <v/>
      </c>
      <c r="I9">
        <f>IF(F9&lt;&gt;"En ambos","",INDEX(Lista_B!$D$4:$D$63,MATCH(A9,Lista_B!$A$4:$A$63,0)))</f>
        <v/>
      </c>
      <c r="J9">
        <f>IF(F9&lt;&gt;"En ambos","",IF(EXACT(B9,G9),"Igual",IF(E9=SUBSTITUTE(SUBSTITUTE(SUBSTITUTE(SUBSTITUTE(SUBSTITUTE(SUBSTITUTE(LOWER(TRIM(G9)),"á","a"),"é","e"),"í","i"),"ó","o"),"ú","u"),"ü","u"),"Solo formato","Conflicto")))</f>
        <v/>
      </c>
      <c r="K9">
        <f>IF(F9&lt;&gt;"En ambos","",IF(EXACT(C9,H9),"Igual",IF(LOWER(TRIM(C9))=LOWER(TRIM(H9)),"Solo formato","Conflicto")))</f>
        <v/>
      </c>
      <c r="L9">
        <f>IF(F9&lt;&gt;"En ambos","",IF(EXACT(D9,I9),"Igual",IF(LOWER(TRIM(D9))=LOWER(TRIM(I9)),"Solo formato","Conflicto")))</f>
        <v/>
      </c>
    </row>
    <row r="10">
      <c r="A10" s="4" t="inlineStr">
        <is>
          <t>0007</t>
        </is>
      </c>
      <c r="B10" s="4" t="inlineStr">
        <is>
          <t>Santiago Vega</t>
        </is>
      </c>
      <c r="C10" s="4" t="inlineStr">
        <is>
          <t>santiago.vega@colegio.example</t>
        </is>
      </c>
      <c r="D10" s="4" t="inlineStr">
        <is>
          <t>7A</t>
        </is>
      </c>
      <c r="E10">
        <f>IF(B10="","",SUBSTITUTE(SUBSTITUTE(SUBSTITUTE(SUBSTITUTE(SUBSTITUTE(SUBSTITUTE(LOWER(TRIM(B10)),"á","a"),"é","e"),"í","i"),"ó","o"),"ú","u"),"ü","u"))</f>
        <v/>
      </c>
      <c r="F10">
        <f>IF(A10="","",IF(SUMPRODUCT(--EXACT(Lista_B!$A$4:$A$63,A10))&gt;0,"En ambos",IF(SUMPRODUCT(--EXACT(Lista_B!$A$4:$A$63,TEXT(VALUE(A10),"0")))&gt;0,"Posible cero perdido","Solo en A")))</f>
        <v/>
      </c>
      <c r="G10">
        <f>IF(F10&lt;&gt;"En ambos","",INDEX(Lista_B!$B$4:$B$63,MATCH(A10,Lista_B!$A$4:$A$63,0)))</f>
        <v/>
      </c>
      <c r="H10">
        <f>IF(F10&lt;&gt;"En ambos","",INDEX(Lista_B!$C$4:$C$63,MATCH(A10,Lista_B!$A$4:$A$63,0)))</f>
        <v/>
      </c>
      <c r="I10">
        <f>IF(F10&lt;&gt;"En ambos","",INDEX(Lista_B!$D$4:$D$63,MATCH(A10,Lista_B!$A$4:$A$63,0)))</f>
        <v/>
      </c>
      <c r="J10">
        <f>IF(F10&lt;&gt;"En ambos","",IF(EXACT(B10,G10),"Igual",IF(E10=SUBSTITUTE(SUBSTITUTE(SUBSTITUTE(SUBSTITUTE(SUBSTITUTE(SUBSTITUTE(LOWER(TRIM(G10)),"á","a"),"é","e"),"í","i"),"ó","o"),"ú","u"),"ü","u"),"Solo formato","Conflicto")))</f>
        <v/>
      </c>
      <c r="K10">
        <f>IF(F10&lt;&gt;"En ambos","",IF(EXACT(C10,H10),"Igual",IF(LOWER(TRIM(C10))=LOWER(TRIM(H10)),"Solo formato","Conflicto")))</f>
        <v/>
      </c>
      <c r="L10">
        <f>IF(F10&lt;&gt;"En ambos","",IF(EXACT(D10,I10),"Igual",IF(LOWER(TRIM(D10))=LOWER(TRIM(I10)),"Solo formato","Conflicto")))</f>
        <v/>
      </c>
    </row>
    <row r="11">
      <c r="A11" s="4" t="inlineStr">
        <is>
          <t>0008</t>
        </is>
      </c>
      <c r="B11" s="4" t="inlineStr">
        <is>
          <t>Valentina Rojas</t>
        </is>
      </c>
      <c r="C11" s="4" t="inlineStr">
        <is>
          <t>valentina.rojas@colegio.example</t>
        </is>
      </c>
      <c r="D11" s="4" t="inlineStr">
        <is>
          <t>7B</t>
        </is>
      </c>
      <c r="E11">
        <f>IF(B11="","",SUBSTITUTE(SUBSTITUTE(SUBSTITUTE(SUBSTITUTE(SUBSTITUTE(SUBSTITUTE(LOWER(TRIM(B11)),"á","a"),"é","e"),"í","i"),"ó","o"),"ú","u"),"ü","u"))</f>
        <v/>
      </c>
      <c r="F11">
        <f>IF(A11="","",IF(SUMPRODUCT(--EXACT(Lista_B!$A$4:$A$63,A11))&gt;0,"En ambos",IF(SUMPRODUCT(--EXACT(Lista_B!$A$4:$A$63,TEXT(VALUE(A11),"0")))&gt;0,"Posible cero perdido","Solo en A")))</f>
        <v/>
      </c>
      <c r="G11">
        <f>IF(F11&lt;&gt;"En ambos","",INDEX(Lista_B!$B$4:$B$63,MATCH(A11,Lista_B!$A$4:$A$63,0)))</f>
        <v/>
      </c>
      <c r="H11">
        <f>IF(F11&lt;&gt;"En ambos","",INDEX(Lista_B!$C$4:$C$63,MATCH(A11,Lista_B!$A$4:$A$63,0)))</f>
        <v/>
      </c>
      <c r="I11">
        <f>IF(F11&lt;&gt;"En ambos","",INDEX(Lista_B!$D$4:$D$63,MATCH(A11,Lista_B!$A$4:$A$63,0)))</f>
        <v/>
      </c>
      <c r="J11">
        <f>IF(F11&lt;&gt;"En ambos","",IF(EXACT(B11,G11),"Igual",IF(E11=SUBSTITUTE(SUBSTITUTE(SUBSTITUTE(SUBSTITUTE(SUBSTITUTE(SUBSTITUTE(LOWER(TRIM(G11)),"á","a"),"é","e"),"í","i"),"ó","o"),"ú","u"),"ü","u"),"Solo formato","Conflicto")))</f>
        <v/>
      </c>
      <c r="K11">
        <f>IF(F11&lt;&gt;"En ambos","",IF(EXACT(C11,H11),"Igual",IF(LOWER(TRIM(C11))=LOWER(TRIM(H11)),"Solo formato","Conflicto")))</f>
        <v/>
      </c>
      <c r="L11">
        <f>IF(F11&lt;&gt;"En ambos","",IF(EXACT(D11,I11),"Igual",IF(LOWER(TRIM(D11))=LOWER(TRIM(I11)),"Solo formato","Conflicto")))</f>
        <v/>
      </c>
    </row>
    <row r="12">
      <c r="A12" s="4" t="inlineStr">
        <is>
          <t>0009</t>
        </is>
      </c>
      <c r="B12" s="4" t="inlineStr">
        <is>
          <t>Mateo Cruz</t>
        </is>
      </c>
      <c r="C12" s="4" t="inlineStr">
        <is>
          <t>mateo.cruz@colegio.example</t>
        </is>
      </c>
      <c r="D12" s="4" t="inlineStr">
        <is>
          <t>8A</t>
        </is>
      </c>
      <c r="E12">
        <f>IF(B12="","",SUBSTITUTE(SUBSTITUTE(SUBSTITUTE(SUBSTITUTE(SUBSTITUTE(SUBSTITUTE(LOWER(TRIM(B12)),"á","a"),"é","e"),"í","i"),"ó","o"),"ú","u"),"ü","u"))</f>
        <v/>
      </c>
      <c r="F12">
        <f>IF(A12="","",IF(SUMPRODUCT(--EXACT(Lista_B!$A$4:$A$63,A12))&gt;0,"En ambos",IF(SUMPRODUCT(--EXACT(Lista_B!$A$4:$A$63,TEXT(VALUE(A12),"0")))&gt;0,"Posible cero perdido","Solo en A")))</f>
        <v/>
      </c>
      <c r="G12">
        <f>IF(F12&lt;&gt;"En ambos","",INDEX(Lista_B!$B$4:$B$63,MATCH(A12,Lista_B!$A$4:$A$63,0)))</f>
        <v/>
      </c>
      <c r="H12">
        <f>IF(F12&lt;&gt;"En ambos","",INDEX(Lista_B!$C$4:$C$63,MATCH(A12,Lista_B!$A$4:$A$63,0)))</f>
        <v/>
      </c>
      <c r="I12">
        <f>IF(F12&lt;&gt;"En ambos","",INDEX(Lista_B!$D$4:$D$63,MATCH(A12,Lista_B!$A$4:$A$63,0)))</f>
        <v/>
      </c>
      <c r="J12">
        <f>IF(F12&lt;&gt;"En ambos","",IF(EXACT(B12,G12),"Igual",IF(E12=SUBSTITUTE(SUBSTITUTE(SUBSTITUTE(SUBSTITUTE(SUBSTITUTE(SUBSTITUTE(LOWER(TRIM(G12)),"á","a"),"é","e"),"í","i"),"ó","o"),"ú","u"),"ü","u"),"Solo formato","Conflicto")))</f>
        <v/>
      </c>
      <c r="K12">
        <f>IF(F12&lt;&gt;"En ambos","",IF(EXACT(C12,H12),"Igual",IF(LOWER(TRIM(C12))=LOWER(TRIM(H12)),"Solo formato","Conflicto")))</f>
        <v/>
      </c>
      <c r="L12">
        <f>IF(F12&lt;&gt;"En ambos","",IF(EXACT(D12,I12),"Igual",IF(LOWER(TRIM(D12))=LOWER(TRIM(I12)),"Solo formato","Conflicto")))</f>
        <v/>
      </c>
    </row>
    <row r="13">
      <c r="A13" s="4" t="inlineStr">
        <is>
          <t>0010</t>
        </is>
      </c>
      <c r="B13" s="4" t="inlineStr">
        <is>
          <t>Sara Pardo</t>
        </is>
      </c>
      <c r="C13" s="4" t="inlineStr">
        <is>
          <t>sara.pardo@colegio.example</t>
        </is>
      </c>
      <c r="D13" s="4" t="inlineStr">
        <is>
          <t>7A</t>
        </is>
      </c>
      <c r="E13">
        <f>IF(B13="","",SUBSTITUTE(SUBSTITUTE(SUBSTITUTE(SUBSTITUTE(SUBSTITUTE(SUBSTITUTE(LOWER(TRIM(B13)),"á","a"),"é","e"),"í","i"),"ó","o"),"ú","u"),"ü","u"))</f>
        <v/>
      </c>
      <c r="F13">
        <f>IF(A13="","",IF(SUMPRODUCT(--EXACT(Lista_B!$A$4:$A$63,A13))&gt;0,"En ambos",IF(SUMPRODUCT(--EXACT(Lista_B!$A$4:$A$63,TEXT(VALUE(A13),"0")))&gt;0,"Posible cero perdido","Solo en A")))</f>
        <v/>
      </c>
      <c r="G13">
        <f>IF(F13&lt;&gt;"En ambos","",INDEX(Lista_B!$B$4:$B$63,MATCH(A13,Lista_B!$A$4:$A$63,0)))</f>
        <v/>
      </c>
      <c r="H13">
        <f>IF(F13&lt;&gt;"En ambos","",INDEX(Lista_B!$C$4:$C$63,MATCH(A13,Lista_B!$A$4:$A$63,0)))</f>
        <v/>
      </c>
      <c r="I13">
        <f>IF(F13&lt;&gt;"En ambos","",INDEX(Lista_B!$D$4:$D$63,MATCH(A13,Lista_B!$A$4:$A$63,0)))</f>
        <v/>
      </c>
      <c r="J13">
        <f>IF(F13&lt;&gt;"En ambos","",IF(EXACT(B13,G13),"Igual",IF(E13=SUBSTITUTE(SUBSTITUTE(SUBSTITUTE(SUBSTITUTE(SUBSTITUTE(SUBSTITUTE(LOWER(TRIM(G13)),"á","a"),"é","e"),"í","i"),"ó","o"),"ú","u"),"ü","u"),"Solo formato","Conflicto")))</f>
        <v/>
      </c>
      <c r="K13">
        <f>IF(F13&lt;&gt;"En ambos","",IF(EXACT(C13,H13),"Igual",IF(LOWER(TRIM(C13))=LOWER(TRIM(H13)),"Solo formato","Conflicto")))</f>
        <v/>
      </c>
      <c r="L13">
        <f>IF(F13&lt;&gt;"En ambos","",IF(EXACT(D13,I13),"Igual",IF(LOWER(TRIM(D13))=LOWER(TRIM(I13)),"Solo formato","Conflicto")))</f>
        <v/>
      </c>
    </row>
    <row r="14">
      <c r="A14" s="4" t="inlineStr">
        <is>
          <t>0011</t>
        </is>
      </c>
      <c r="B14" s="4" t="inlineStr">
        <is>
          <t>Daniel Salas</t>
        </is>
      </c>
      <c r="C14" s="4" t="inlineStr">
        <is>
          <t>daniel.salas@colegio.example</t>
        </is>
      </c>
      <c r="D14" s="4" t="inlineStr">
        <is>
          <t>7B</t>
        </is>
      </c>
      <c r="E14">
        <f>IF(B14="","",SUBSTITUTE(SUBSTITUTE(SUBSTITUTE(SUBSTITUTE(SUBSTITUTE(SUBSTITUTE(LOWER(TRIM(B14)),"á","a"),"é","e"),"í","i"),"ó","o"),"ú","u"),"ü","u"))</f>
        <v/>
      </c>
      <c r="F14">
        <f>IF(A14="","",IF(SUMPRODUCT(--EXACT(Lista_B!$A$4:$A$63,A14))&gt;0,"En ambos",IF(SUMPRODUCT(--EXACT(Lista_B!$A$4:$A$63,TEXT(VALUE(A14),"0")))&gt;0,"Posible cero perdido","Solo en A")))</f>
        <v/>
      </c>
      <c r="G14">
        <f>IF(F14&lt;&gt;"En ambos","",INDEX(Lista_B!$B$4:$B$63,MATCH(A14,Lista_B!$A$4:$A$63,0)))</f>
        <v/>
      </c>
      <c r="H14">
        <f>IF(F14&lt;&gt;"En ambos","",INDEX(Lista_B!$C$4:$C$63,MATCH(A14,Lista_B!$A$4:$A$63,0)))</f>
        <v/>
      </c>
      <c r="I14">
        <f>IF(F14&lt;&gt;"En ambos","",INDEX(Lista_B!$D$4:$D$63,MATCH(A14,Lista_B!$A$4:$A$63,0)))</f>
        <v/>
      </c>
      <c r="J14">
        <f>IF(F14&lt;&gt;"En ambos","",IF(EXACT(B14,G14),"Igual",IF(E14=SUBSTITUTE(SUBSTITUTE(SUBSTITUTE(SUBSTITUTE(SUBSTITUTE(SUBSTITUTE(LOWER(TRIM(G14)),"á","a"),"é","e"),"í","i"),"ó","o"),"ú","u"),"ü","u"),"Solo formato","Conflicto")))</f>
        <v/>
      </c>
      <c r="K14">
        <f>IF(F14&lt;&gt;"En ambos","",IF(EXACT(C14,H14),"Igual",IF(LOWER(TRIM(C14))=LOWER(TRIM(H14)),"Solo formato","Conflicto")))</f>
        <v/>
      </c>
      <c r="L14">
        <f>IF(F14&lt;&gt;"En ambos","",IF(EXACT(D14,I14),"Igual",IF(LOWER(TRIM(D14))=LOWER(TRIM(I14)),"Solo formato","Conflicto")))</f>
        <v/>
      </c>
    </row>
    <row r="15">
      <c r="A15" s="4" t="inlineStr">
        <is>
          <t>0012</t>
        </is>
      </c>
      <c r="B15" s="4" t="inlineStr">
        <is>
          <t>Laura Gil</t>
        </is>
      </c>
      <c r="C15" s="4" t="inlineStr">
        <is>
          <t>laura.gil@colegio.example</t>
        </is>
      </c>
      <c r="D15" s="4" t="inlineStr">
        <is>
          <t>8A</t>
        </is>
      </c>
      <c r="E15">
        <f>IF(B15="","",SUBSTITUTE(SUBSTITUTE(SUBSTITUTE(SUBSTITUTE(SUBSTITUTE(SUBSTITUTE(LOWER(TRIM(B15)),"á","a"),"é","e"),"í","i"),"ó","o"),"ú","u"),"ü","u"))</f>
        <v/>
      </c>
      <c r="F15">
        <f>IF(A15="","",IF(SUMPRODUCT(--EXACT(Lista_B!$A$4:$A$63,A15))&gt;0,"En ambos",IF(SUMPRODUCT(--EXACT(Lista_B!$A$4:$A$63,TEXT(VALUE(A15),"0")))&gt;0,"Posible cero perdido","Solo en A")))</f>
        <v/>
      </c>
      <c r="G15">
        <f>IF(F15&lt;&gt;"En ambos","",INDEX(Lista_B!$B$4:$B$63,MATCH(A15,Lista_B!$A$4:$A$63,0)))</f>
        <v/>
      </c>
      <c r="H15">
        <f>IF(F15&lt;&gt;"En ambos","",INDEX(Lista_B!$C$4:$C$63,MATCH(A15,Lista_B!$A$4:$A$63,0)))</f>
        <v/>
      </c>
      <c r="I15">
        <f>IF(F15&lt;&gt;"En ambos","",INDEX(Lista_B!$D$4:$D$63,MATCH(A15,Lista_B!$A$4:$A$63,0)))</f>
        <v/>
      </c>
      <c r="J15">
        <f>IF(F15&lt;&gt;"En ambos","",IF(EXACT(B15,G15),"Igual",IF(E15=SUBSTITUTE(SUBSTITUTE(SUBSTITUTE(SUBSTITUTE(SUBSTITUTE(SUBSTITUTE(LOWER(TRIM(G15)),"á","a"),"é","e"),"í","i"),"ó","o"),"ú","u"),"ü","u"),"Solo formato","Conflicto")))</f>
        <v/>
      </c>
      <c r="K15">
        <f>IF(F15&lt;&gt;"En ambos","",IF(EXACT(C15,H15),"Igual",IF(LOWER(TRIM(C15))=LOWER(TRIM(H15)),"Solo formato","Conflicto")))</f>
        <v/>
      </c>
      <c r="L15">
        <f>IF(F15&lt;&gt;"En ambos","",IF(EXACT(D15,I15),"Igual",IF(LOWER(TRIM(D15))=LOWER(TRIM(I15)),"Solo formato","Conflicto")))</f>
        <v/>
      </c>
    </row>
    <row r="16">
      <c r="A16" s="4" t="inlineStr">
        <is>
          <t>0013</t>
        </is>
      </c>
      <c r="B16" s="4" t="inlineStr">
        <is>
          <t>Nicolás Peña</t>
        </is>
      </c>
      <c r="C16" s="4" t="inlineStr">
        <is>
          <t>nicolas.pena@colegio.example</t>
        </is>
      </c>
      <c r="D16" s="4" t="inlineStr">
        <is>
          <t>7A</t>
        </is>
      </c>
      <c r="E16">
        <f>IF(B16="","",SUBSTITUTE(SUBSTITUTE(SUBSTITUTE(SUBSTITUTE(SUBSTITUTE(SUBSTITUTE(LOWER(TRIM(B16)),"á","a"),"é","e"),"í","i"),"ó","o"),"ú","u"),"ü","u"))</f>
        <v/>
      </c>
      <c r="F16">
        <f>IF(A16="","",IF(SUMPRODUCT(--EXACT(Lista_B!$A$4:$A$63,A16))&gt;0,"En ambos",IF(SUMPRODUCT(--EXACT(Lista_B!$A$4:$A$63,TEXT(VALUE(A16),"0")))&gt;0,"Posible cero perdido","Solo en A")))</f>
        <v/>
      </c>
      <c r="G16">
        <f>IF(F16&lt;&gt;"En ambos","",INDEX(Lista_B!$B$4:$B$63,MATCH(A16,Lista_B!$A$4:$A$63,0)))</f>
        <v/>
      </c>
      <c r="H16">
        <f>IF(F16&lt;&gt;"En ambos","",INDEX(Lista_B!$C$4:$C$63,MATCH(A16,Lista_B!$A$4:$A$63,0)))</f>
        <v/>
      </c>
      <c r="I16">
        <f>IF(F16&lt;&gt;"En ambos","",INDEX(Lista_B!$D$4:$D$63,MATCH(A16,Lista_B!$A$4:$A$63,0)))</f>
        <v/>
      </c>
      <c r="J16">
        <f>IF(F16&lt;&gt;"En ambos","",IF(EXACT(B16,G16),"Igual",IF(E16=SUBSTITUTE(SUBSTITUTE(SUBSTITUTE(SUBSTITUTE(SUBSTITUTE(SUBSTITUTE(LOWER(TRIM(G16)),"á","a"),"é","e"),"í","i"),"ó","o"),"ú","u"),"ü","u"),"Solo formato","Conflicto")))</f>
        <v/>
      </c>
      <c r="K16">
        <f>IF(F16&lt;&gt;"En ambos","",IF(EXACT(C16,H16),"Igual",IF(LOWER(TRIM(C16))=LOWER(TRIM(H16)),"Solo formato","Conflicto")))</f>
        <v/>
      </c>
      <c r="L16">
        <f>IF(F16&lt;&gt;"En ambos","",IF(EXACT(D16,I16),"Igual",IF(LOWER(TRIM(D16))=LOWER(TRIM(I16)),"Solo formato","Conflicto")))</f>
        <v/>
      </c>
    </row>
    <row r="17">
      <c r="A17" s="4" t="inlineStr">
        <is>
          <t>0014</t>
        </is>
      </c>
      <c r="B17" s="4" t="inlineStr">
        <is>
          <t>Isabela Ríos</t>
        </is>
      </c>
      <c r="C17" s="4" t="inlineStr">
        <is>
          <t>isabela.rios@colegio.example</t>
        </is>
      </c>
      <c r="D17" s="4" t="inlineStr">
        <is>
          <t>7B</t>
        </is>
      </c>
      <c r="E17">
        <f>IF(B17="","",SUBSTITUTE(SUBSTITUTE(SUBSTITUTE(SUBSTITUTE(SUBSTITUTE(SUBSTITUTE(LOWER(TRIM(B17)),"á","a"),"é","e"),"í","i"),"ó","o"),"ú","u"),"ü","u"))</f>
        <v/>
      </c>
      <c r="F17">
        <f>IF(A17="","",IF(SUMPRODUCT(--EXACT(Lista_B!$A$4:$A$63,A17))&gt;0,"En ambos",IF(SUMPRODUCT(--EXACT(Lista_B!$A$4:$A$63,TEXT(VALUE(A17),"0")))&gt;0,"Posible cero perdido","Solo en A")))</f>
        <v/>
      </c>
      <c r="G17">
        <f>IF(F17&lt;&gt;"En ambos","",INDEX(Lista_B!$B$4:$B$63,MATCH(A17,Lista_B!$A$4:$A$63,0)))</f>
        <v/>
      </c>
      <c r="H17">
        <f>IF(F17&lt;&gt;"En ambos","",INDEX(Lista_B!$C$4:$C$63,MATCH(A17,Lista_B!$A$4:$A$63,0)))</f>
        <v/>
      </c>
      <c r="I17">
        <f>IF(F17&lt;&gt;"En ambos","",INDEX(Lista_B!$D$4:$D$63,MATCH(A17,Lista_B!$A$4:$A$63,0)))</f>
        <v/>
      </c>
      <c r="J17">
        <f>IF(F17&lt;&gt;"En ambos","",IF(EXACT(B17,G17),"Igual",IF(E17=SUBSTITUTE(SUBSTITUTE(SUBSTITUTE(SUBSTITUTE(SUBSTITUTE(SUBSTITUTE(LOWER(TRIM(G17)),"á","a"),"é","e"),"í","i"),"ó","o"),"ú","u"),"ü","u"),"Solo formato","Conflicto")))</f>
        <v/>
      </c>
      <c r="K17">
        <f>IF(F17&lt;&gt;"En ambos","",IF(EXACT(C17,H17),"Igual",IF(LOWER(TRIM(C17))=LOWER(TRIM(H17)),"Solo formato","Conflicto")))</f>
        <v/>
      </c>
      <c r="L17">
        <f>IF(F17&lt;&gt;"En ambos","",IF(EXACT(D17,I17),"Igual",IF(LOWER(TRIM(D17))=LOWER(TRIM(I17)),"Solo formato","Conflicto")))</f>
        <v/>
      </c>
    </row>
    <row r="18">
      <c r="A18" s="4" t="inlineStr">
        <is>
          <t>0015</t>
        </is>
      </c>
      <c r="B18" s="4" t="inlineStr">
        <is>
          <t>Tomás León</t>
        </is>
      </c>
      <c r="C18" s="4" t="inlineStr">
        <is>
          <t>tomas.leon@colegio.example</t>
        </is>
      </c>
      <c r="D18" s="4" t="inlineStr">
        <is>
          <t>8A</t>
        </is>
      </c>
      <c r="E18">
        <f>IF(B18="","",SUBSTITUTE(SUBSTITUTE(SUBSTITUTE(SUBSTITUTE(SUBSTITUTE(SUBSTITUTE(LOWER(TRIM(B18)),"á","a"),"é","e"),"í","i"),"ó","o"),"ú","u"),"ü","u"))</f>
        <v/>
      </c>
      <c r="F18">
        <f>IF(A18="","",IF(SUMPRODUCT(--EXACT(Lista_B!$A$4:$A$63,A18))&gt;0,"En ambos",IF(SUMPRODUCT(--EXACT(Lista_B!$A$4:$A$63,TEXT(VALUE(A18),"0")))&gt;0,"Posible cero perdido","Solo en A")))</f>
        <v/>
      </c>
      <c r="G18">
        <f>IF(F18&lt;&gt;"En ambos","",INDEX(Lista_B!$B$4:$B$63,MATCH(A18,Lista_B!$A$4:$A$63,0)))</f>
        <v/>
      </c>
      <c r="H18">
        <f>IF(F18&lt;&gt;"En ambos","",INDEX(Lista_B!$C$4:$C$63,MATCH(A18,Lista_B!$A$4:$A$63,0)))</f>
        <v/>
      </c>
      <c r="I18">
        <f>IF(F18&lt;&gt;"En ambos","",INDEX(Lista_B!$D$4:$D$63,MATCH(A18,Lista_B!$A$4:$A$63,0)))</f>
        <v/>
      </c>
      <c r="J18">
        <f>IF(F18&lt;&gt;"En ambos","",IF(EXACT(B18,G18),"Igual",IF(E18=SUBSTITUTE(SUBSTITUTE(SUBSTITUTE(SUBSTITUTE(SUBSTITUTE(SUBSTITUTE(LOWER(TRIM(G18)),"á","a"),"é","e"),"í","i"),"ó","o"),"ú","u"),"ü","u"),"Solo formato","Conflicto")))</f>
        <v/>
      </c>
      <c r="K18">
        <f>IF(F18&lt;&gt;"En ambos","",IF(EXACT(C18,H18),"Igual",IF(LOWER(TRIM(C18))=LOWER(TRIM(H18)),"Solo formato","Conflicto")))</f>
        <v/>
      </c>
      <c r="L18">
        <f>IF(F18&lt;&gt;"En ambos","",IF(EXACT(D18,I18),"Igual",IF(LOWER(TRIM(D18))=LOWER(TRIM(I18)),"Solo formato","Conflicto")))</f>
        <v/>
      </c>
    </row>
    <row r="19">
      <c r="A19" s="4" t="inlineStr">
        <is>
          <t>0016</t>
        </is>
      </c>
      <c r="B19" s="4" t="inlineStr">
        <is>
          <t>Camila Ortiz</t>
        </is>
      </c>
      <c r="C19" s="4" t="inlineStr">
        <is>
          <t>camila.ortiz@colegio.example</t>
        </is>
      </c>
      <c r="D19" s="4" t="inlineStr">
        <is>
          <t>7A</t>
        </is>
      </c>
      <c r="E19">
        <f>IF(B19="","",SUBSTITUTE(SUBSTITUTE(SUBSTITUTE(SUBSTITUTE(SUBSTITUTE(SUBSTITUTE(LOWER(TRIM(B19)),"á","a"),"é","e"),"í","i"),"ó","o"),"ú","u"),"ü","u"))</f>
        <v/>
      </c>
      <c r="F19">
        <f>IF(A19="","",IF(SUMPRODUCT(--EXACT(Lista_B!$A$4:$A$63,A19))&gt;0,"En ambos",IF(SUMPRODUCT(--EXACT(Lista_B!$A$4:$A$63,TEXT(VALUE(A19),"0")))&gt;0,"Posible cero perdido","Solo en A")))</f>
        <v/>
      </c>
      <c r="G19">
        <f>IF(F19&lt;&gt;"En ambos","",INDEX(Lista_B!$B$4:$B$63,MATCH(A19,Lista_B!$A$4:$A$63,0)))</f>
        <v/>
      </c>
      <c r="H19">
        <f>IF(F19&lt;&gt;"En ambos","",INDEX(Lista_B!$C$4:$C$63,MATCH(A19,Lista_B!$A$4:$A$63,0)))</f>
        <v/>
      </c>
      <c r="I19">
        <f>IF(F19&lt;&gt;"En ambos","",INDEX(Lista_B!$D$4:$D$63,MATCH(A19,Lista_B!$A$4:$A$63,0)))</f>
        <v/>
      </c>
      <c r="J19">
        <f>IF(F19&lt;&gt;"En ambos","",IF(EXACT(B19,G19),"Igual",IF(E19=SUBSTITUTE(SUBSTITUTE(SUBSTITUTE(SUBSTITUTE(SUBSTITUTE(SUBSTITUTE(LOWER(TRIM(G19)),"á","a"),"é","e"),"í","i"),"ó","o"),"ú","u"),"ü","u"),"Solo formato","Conflicto")))</f>
        <v/>
      </c>
      <c r="K19">
        <f>IF(F19&lt;&gt;"En ambos","",IF(EXACT(C19,H19),"Igual",IF(LOWER(TRIM(C19))=LOWER(TRIM(H19)),"Solo formato","Conflicto")))</f>
        <v/>
      </c>
      <c r="L19">
        <f>IF(F19&lt;&gt;"En ambos","",IF(EXACT(D19,I19),"Igual",IF(LOWER(TRIM(D19))=LOWER(TRIM(I19)),"Solo formato","Conflicto")))</f>
        <v/>
      </c>
    </row>
    <row r="20">
      <c r="A20" s="4" t="inlineStr">
        <is>
          <t>0017</t>
        </is>
      </c>
      <c r="B20" s="4" t="inlineStr">
        <is>
          <t>Samuel Cano</t>
        </is>
      </c>
      <c r="C20" s="4" t="inlineStr">
        <is>
          <t>samuel.cano@colegio.example</t>
        </is>
      </c>
      <c r="D20" s="4" t="inlineStr">
        <is>
          <t>7B</t>
        </is>
      </c>
      <c r="E20">
        <f>IF(B20="","",SUBSTITUTE(SUBSTITUTE(SUBSTITUTE(SUBSTITUTE(SUBSTITUTE(SUBSTITUTE(LOWER(TRIM(B20)),"á","a"),"é","e"),"í","i"),"ó","o"),"ú","u"),"ü","u"))</f>
        <v/>
      </c>
      <c r="F20">
        <f>IF(A20="","",IF(SUMPRODUCT(--EXACT(Lista_B!$A$4:$A$63,A20))&gt;0,"En ambos",IF(SUMPRODUCT(--EXACT(Lista_B!$A$4:$A$63,TEXT(VALUE(A20),"0")))&gt;0,"Posible cero perdido","Solo en A")))</f>
        <v/>
      </c>
      <c r="G20">
        <f>IF(F20&lt;&gt;"En ambos","",INDEX(Lista_B!$B$4:$B$63,MATCH(A20,Lista_B!$A$4:$A$63,0)))</f>
        <v/>
      </c>
      <c r="H20">
        <f>IF(F20&lt;&gt;"En ambos","",INDEX(Lista_B!$C$4:$C$63,MATCH(A20,Lista_B!$A$4:$A$63,0)))</f>
        <v/>
      </c>
      <c r="I20">
        <f>IF(F20&lt;&gt;"En ambos","",INDEX(Lista_B!$D$4:$D$63,MATCH(A20,Lista_B!$A$4:$A$63,0)))</f>
        <v/>
      </c>
      <c r="J20">
        <f>IF(F20&lt;&gt;"En ambos","",IF(EXACT(B20,G20),"Igual",IF(E20=SUBSTITUTE(SUBSTITUTE(SUBSTITUTE(SUBSTITUTE(SUBSTITUTE(SUBSTITUTE(LOWER(TRIM(G20)),"á","a"),"é","e"),"í","i"),"ó","o"),"ú","u"),"ü","u"),"Solo formato","Conflicto")))</f>
        <v/>
      </c>
      <c r="K20">
        <f>IF(F20&lt;&gt;"En ambos","",IF(EXACT(C20,H20),"Igual",IF(LOWER(TRIM(C20))=LOWER(TRIM(H20)),"Solo formato","Conflicto")))</f>
        <v/>
      </c>
      <c r="L20">
        <f>IF(F20&lt;&gt;"En ambos","",IF(EXACT(D20,I20),"Igual",IF(LOWER(TRIM(D20))=LOWER(TRIM(I20)),"Solo formato","Conflicto")))</f>
        <v/>
      </c>
    </row>
    <row r="21">
      <c r="A21" s="4" t="inlineStr">
        <is>
          <t>0018</t>
        </is>
      </c>
      <c r="B21" s="4" t="inlineStr">
        <is>
          <t>Mariana Bravo</t>
        </is>
      </c>
      <c r="C21" s="4" t="inlineStr">
        <is>
          <t>mariana.bravo@colegio.example</t>
        </is>
      </c>
      <c r="D21" s="4" t="inlineStr">
        <is>
          <t>8A</t>
        </is>
      </c>
      <c r="E21">
        <f>IF(B21="","",SUBSTITUTE(SUBSTITUTE(SUBSTITUTE(SUBSTITUTE(SUBSTITUTE(SUBSTITUTE(LOWER(TRIM(B21)),"á","a"),"é","e"),"í","i"),"ó","o"),"ú","u"),"ü","u"))</f>
        <v/>
      </c>
      <c r="F21">
        <f>IF(A21="","",IF(SUMPRODUCT(--EXACT(Lista_B!$A$4:$A$63,A21))&gt;0,"En ambos",IF(SUMPRODUCT(--EXACT(Lista_B!$A$4:$A$63,TEXT(VALUE(A21),"0")))&gt;0,"Posible cero perdido","Solo en A")))</f>
        <v/>
      </c>
      <c r="G21">
        <f>IF(F21&lt;&gt;"En ambos","",INDEX(Lista_B!$B$4:$B$63,MATCH(A21,Lista_B!$A$4:$A$63,0)))</f>
        <v/>
      </c>
      <c r="H21">
        <f>IF(F21&lt;&gt;"En ambos","",INDEX(Lista_B!$C$4:$C$63,MATCH(A21,Lista_B!$A$4:$A$63,0)))</f>
        <v/>
      </c>
      <c r="I21">
        <f>IF(F21&lt;&gt;"En ambos","",INDEX(Lista_B!$D$4:$D$63,MATCH(A21,Lista_B!$A$4:$A$63,0)))</f>
        <v/>
      </c>
      <c r="J21">
        <f>IF(F21&lt;&gt;"En ambos","",IF(EXACT(B21,G21),"Igual",IF(E21=SUBSTITUTE(SUBSTITUTE(SUBSTITUTE(SUBSTITUTE(SUBSTITUTE(SUBSTITUTE(LOWER(TRIM(G21)),"á","a"),"é","e"),"í","i"),"ó","o"),"ú","u"),"ü","u"),"Solo formato","Conflicto")))</f>
        <v/>
      </c>
      <c r="K21">
        <f>IF(F21&lt;&gt;"En ambos","",IF(EXACT(C21,H21),"Igual",IF(LOWER(TRIM(C21))=LOWER(TRIM(H21)),"Solo formato","Conflicto")))</f>
        <v/>
      </c>
      <c r="L21">
        <f>IF(F21&lt;&gt;"En ambos","",IF(EXACT(D21,I21),"Igual",IF(LOWER(TRIM(D21))=LOWER(TRIM(I21)),"Solo formato","Conflicto")))</f>
        <v/>
      </c>
    </row>
    <row r="22">
      <c r="A22" s="4" t="inlineStr">
        <is>
          <t>0019</t>
        </is>
      </c>
      <c r="B22" s="4" t="inlineStr">
        <is>
          <t>Julián Mejía</t>
        </is>
      </c>
      <c r="C22" s="4" t="inlineStr">
        <is>
          <t>julian.mejia@colegio.example</t>
        </is>
      </c>
      <c r="D22" s="4" t="inlineStr">
        <is>
          <t>7A</t>
        </is>
      </c>
      <c r="E22">
        <f>IF(B22="","",SUBSTITUTE(SUBSTITUTE(SUBSTITUTE(SUBSTITUTE(SUBSTITUTE(SUBSTITUTE(LOWER(TRIM(B22)),"á","a"),"é","e"),"í","i"),"ó","o"),"ú","u"),"ü","u"))</f>
        <v/>
      </c>
      <c r="F22">
        <f>IF(A22="","",IF(SUMPRODUCT(--EXACT(Lista_B!$A$4:$A$63,A22))&gt;0,"En ambos",IF(SUMPRODUCT(--EXACT(Lista_B!$A$4:$A$63,TEXT(VALUE(A22),"0")))&gt;0,"Posible cero perdido","Solo en A")))</f>
        <v/>
      </c>
      <c r="G22">
        <f>IF(F22&lt;&gt;"En ambos","",INDEX(Lista_B!$B$4:$B$63,MATCH(A22,Lista_B!$A$4:$A$63,0)))</f>
        <v/>
      </c>
      <c r="H22">
        <f>IF(F22&lt;&gt;"En ambos","",INDEX(Lista_B!$C$4:$C$63,MATCH(A22,Lista_B!$A$4:$A$63,0)))</f>
        <v/>
      </c>
      <c r="I22">
        <f>IF(F22&lt;&gt;"En ambos","",INDEX(Lista_B!$D$4:$D$63,MATCH(A22,Lista_B!$A$4:$A$63,0)))</f>
        <v/>
      </c>
      <c r="J22">
        <f>IF(F22&lt;&gt;"En ambos","",IF(EXACT(B22,G22),"Igual",IF(E22=SUBSTITUTE(SUBSTITUTE(SUBSTITUTE(SUBSTITUTE(SUBSTITUTE(SUBSTITUTE(LOWER(TRIM(G22)),"á","a"),"é","e"),"í","i"),"ó","o"),"ú","u"),"ü","u"),"Solo formato","Conflicto")))</f>
        <v/>
      </c>
      <c r="K22">
        <f>IF(F22&lt;&gt;"En ambos","",IF(EXACT(C22,H22),"Igual",IF(LOWER(TRIM(C22))=LOWER(TRIM(H22)),"Solo formato","Conflicto")))</f>
        <v/>
      </c>
      <c r="L22">
        <f>IF(F22&lt;&gt;"En ambos","",IF(EXACT(D22,I22),"Igual",IF(LOWER(TRIM(D22))=LOWER(TRIM(I22)),"Solo formato","Conflicto")))</f>
        <v/>
      </c>
    </row>
    <row r="23">
      <c r="A23" s="4" t="inlineStr">
        <is>
          <t>0020</t>
        </is>
      </c>
      <c r="B23" s="4" t="inlineStr">
        <is>
          <t>Emma Soto</t>
        </is>
      </c>
      <c r="C23" s="4" t="inlineStr">
        <is>
          <t>emma.soto@colegio.example</t>
        </is>
      </c>
      <c r="D23" s="4" t="inlineStr">
        <is>
          <t>7B</t>
        </is>
      </c>
      <c r="E23">
        <f>IF(B23="","",SUBSTITUTE(SUBSTITUTE(SUBSTITUTE(SUBSTITUTE(SUBSTITUTE(SUBSTITUTE(LOWER(TRIM(B23)),"á","a"),"é","e"),"í","i"),"ó","o"),"ú","u"),"ü","u"))</f>
        <v/>
      </c>
      <c r="F23">
        <f>IF(A23="","",IF(SUMPRODUCT(--EXACT(Lista_B!$A$4:$A$63,A23))&gt;0,"En ambos",IF(SUMPRODUCT(--EXACT(Lista_B!$A$4:$A$63,TEXT(VALUE(A23),"0")))&gt;0,"Posible cero perdido","Solo en A")))</f>
        <v/>
      </c>
      <c r="G23">
        <f>IF(F23&lt;&gt;"En ambos","",INDEX(Lista_B!$B$4:$B$63,MATCH(A23,Lista_B!$A$4:$A$63,0)))</f>
        <v/>
      </c>
      <c r="H23">
        <f>IF(F23&lt;&gt;"En ambos","",INDEX(Lista_B!$C$4:$C$63,MATCH(A23,Lista_B!$A$4:$A$63,0)))</f>
        <v/>
      </c>
      <c r="I23">
        <f>IF(F23&lt;&gt;"En ambos","",INDEX(Lista_B!$D$4:$D$63,MATCH(A23,Lista_B!$A$4:$A$63,0)))</f>
        <v/>
      </c>
      <c r="J23">
        <f>IF(F23&lt;&gt;"En ambos","",IF(EXACT(B23,G23),"Igual",IF(E23=SUBSTITUTE(SUBSTITUTE(SUBSTITUTE(SUBSTITUTE(SUBSTITUTE(SUBSTITUTE(LOWER(TRIM(G23)),"á","a"),"é","e"),"í","i"),"ó","o"),"ú","u"),"ü","u"),"Solo formato","Conflicto")))</f>
        <v/>
      </c>
      <c r="K23">
        <f>IF(F23&lt;&gt;"En ambos","",IF(EXACT(C23,H23),"Igual",IF(LOWER(TRIM(C23))=LOWER(TRIM(H23)),"Solo formato","Conflicto")))</f>
        <v/>
      </c>
      <c r="L23">
        <f>IF(F23&lt;&gt;"En ambos","",IF(EXACT(D23,I23),"Igual",IF(LOWER(TRIM(D23))=LOWER(TRIM(I23)),"Solo formato","Conflicto")))</f>
        <v/>
      </c>
    </row>
    <row r="24">
      <c r="A24" s="4" t="inlineStr">
        <is>
          <t>0021</t>
        </is>
      </c>
      <c r="B24" s="4" t="inlineStr">
        <is>
          <t>Felipe Reyes</t>
        </is>
      </c>
      <c r="C24" s="4" t="inlineStr">
        <is>
          <t>felipe.reyes@colegio.example</t>
        </is>
      </c>
      <c r="D24" s="4" t="inlineStr">
        <is>
          <t>8A</t>
        </is>
      </c>
      <c r="E24">
        <f>IF(B24="","",SUBSTITUTE(SUBSTITUTE(SUBSTITUTE(SUBSTITUTE(SUBSTITUTE(SUBSTITUTE(LOWER(TRIM(B24)),"á","a"),"é","e"),"í","i"),"ó","o"),"ú","u"),"ü","u"))</f>
        <v/>
      </c>
      <c r="F24">
        <f>IF(A24="","",IF(SUMPRODUCT(--EXACT(Lista_B!$A$4:$A$63,A24))&gt;0,"En ambos",IF(SUMPRODUCT(--EXACT(Lista_B!$A$4:$A$63,TEXT(VALUE(A24),"0")))&gt;0,"Posible cero perdido","Solo en A")))</f>
        <v/>
      </c>
      <c r="G24">
        <f>IF(F24&lt;&gt;"En ambos","",INDEX(Lista_B!$B$4:$B$63,MATCH(A24,Lista_B!$A$4:$A$63,0)))</f>
        <v/>
      </c>
      <c r="H24">
        <f>IF(F24&lt;&gt;"En ambos","",INDEX(Lista_B!$C$4:$C$63,MATCH(A24,Lista_B!$A$4:$A$63,0)))</f>
        <v/>
      </c>
      <c r="I24">
        <f>IF(F24&lt;&gt;"En ambos","",INDEX(Lista_B!$D$4:$D$63,MATCH(A24,Lista_B!$A$4:$A$63,0)))</f>
        <v/>
      </c>
      <c r="J24">
        <f>IF(F24&lt;&gt;"En ambos","",IF(EXACT(B24,G24),"Igual",IF(E24=SUBSTITUTE(SUBSTITUTE(SUBSTITUTE(SUBSTITUTE(SUBSTITUTE(SUBSTITUTE(LOWER(TRIM(G24)),"á","a"),"é","e"),"í","i"),"ó","o"),"ú","u"),"ü","u"),"Solo formato","Conflicto")))</f>
        <v/>
      </c>
      <c r="K24">
        <f>IF(F24&lt;&gt;"En ambos","",IF(EXACT(C24,H24),"Igual",IF(LOWER(TRIM(C24))=LOWER(TRIM(H24)),"Solo formato","Conflicto")))</f>
        <v/>
      </c>
      <c r="L24">
        <f>IF(F24&lt;&gt;"En ambos","",IF(EXACT(D24,I24),"Igual",IF(LOWER(TRIM(D24))=LOWER(TRIM(I24)),"Solo formato","Conflicto")))</f>
        <v/>
      </c>
    </row>
    <row r="25">
      <c r="A25" s="4" t="inlineStr">
        <is>
          <t>0022</t>
        </is>
      </c>
      <c r="B25" s="4" t="inlineStr">
        <is>
          <t>Antonia Luna</t>
        </is>
      </c>
      <c r="C25" s="4" t="inlineStr">
        <is>
          <t>antonia.luna@colegio.example</t>
        </is>
      </c>
      <c r="D25" s="4" t="inlineStr">
        <is>
          <t>7A</t>
        </is>
      </c>
      <c r="E25">
        <f>IF(B25="","",SUBSTITUTE(SUBSTITUTE(SUBSTITUTE(SUBSTITUTE(SUBSTITUTE(SUBSTITUTE(LOWER(TRIM(B25)),"á","a"),"é","e"),"í","i"),"ó","o"),"ú","u"),"ü","u"))</f>
        <v/>
      </c>
      <c r="F25">
        <f>IF(A25="","",IF(SUMPRODUCT(--EXACT(Lista_B!$A$4:$A$63,A25))&gt;0,"En ambos",IF(SUMPRODUCT(--EXACT(Lista_B!$A$4:$A$63,TEXT(VALUE(A25),"0")))&gt;0,"Posible cero perdido","Solo en A")))</f>
        <v/>
      </c>
      <c r="G25">
        <f>IF(F25&lt;&gt;"En ambos","",INDEX(Lista_B!$B$4:$B$63,MATCH(A25,Lista_B!$A$4:$A$63,0)))</f>
        <v/>
      </c>
      <c r="H25">
        <f>IF(F25&lt;&gt;"En ambos","",INDEX(Lista_B!$C$4:$C$63,MATCH(A25,Lista_B!$A$4:$A$63,0)))</f>
        <v/>
      </c>
      <c r="I25">
        <f>IF(F25&lt;&gt;"En ambos","",INDEX(Lista_B!$D$4:$D$63,MATCH(A25,Lista_B!$A$4:$A$63,0)))</f>
        <v/>
      </c>
      <c r="J25">
        <f>IF(F25&lt;&gt;"En ambos","",IF(EXACT(B25,G25),"Igual",IF(E25=SUBSTITUTE(SUBSTITUTE(SUBSTITUTE(SUBSTITUTE(SUBSTITUTE(SUBSTITUTE(LOWER(TRIM(G25)),"á","a"),"é","e"),"í","i"),"ó","o"),"ú","u"),"ü","u"),"Solo formato","Conflicto")))</f>
        <v/>
      </c>
      <c r="K25">
        <f>IF(F25&lt;&gt;"En ambos","",IF(EXACT(C25,H25),"Igual",IF(LOWER(TRIM(C25))=LOWER(TRIM(H25)),"Solo formato","Conflicto")))</f>
        <v/>
      </c>
      <c r="L25">
        <f>IF(F25&lt;&gt;"En ambos","",IF(EXACT(D25,I25),"Igual",IF(LOWER(TRIM(D25))=LOWER(TRIM(I25)),"Solo formato","Conflicto")))</f>
        <v/>
      </c>
    </row>
    <row r="26">
      <c r="A26" s="4" t="inlineStr">
        <is>
          <t>0023</t>
        </is>
      </c>
      <c r="B26" s="4" t="inlineStr">
        <is>
          <t>Gabriel Ramos</t>
        </is>
      </c>
      <c r="C26" s="4" t="inlineStr">
        <is>
          <t>gabriel.ramos@colegio.example</t>
        </is>
      </c>
      <c r="D26" s="4" t="inlineStr">
        <is>
          <t>7B</t>
        </is>
      </c>
      <c r="E26">
        <f>IF(B26="","",SUBSTITUTE(SUBSTITUTE(SUBSTITUTE(SUBSTITUTE(SUBSTITUTE(SUBSTITUTE(LOWER(TRIM(B26)),"á","a"),"é","e"),"í","i"),"ó","o"),"ú","u"),"ü","u"))</f>
        <v/>
      </c>
      <c r="F26">
        <f>IF(A26="","",IF(SUMPRODUCT(--EXACT(Lista_B!$A$4:$A$63,A26))&gt;0,"En ambos",IF(SUMPRODUCT(--EXACT(Lista_B!$A$4:$A$63,TEXT(VALUE(A26),"0")))&gt;0,"Posible cero perdido","Solo en A")))</f>
        <v/>
      </c>
      <c r="G26">
        <f>IF(F26&lt;&gt;"En ambos","",INDEX(Lista_B!$B$4:$B$63,MATCH(A26,Lista_B!$A$4:$A$63,0)))</f>
        <v/>
      </c>
      <c r="H26">
        <f>IF(F26&lt;&gt;"En ambos","",INDEX(Lista_B!$C$4:$C$63,MATCH(A26,Lista_B!$A$4:$A$63,0)))</f>
        <v/>
      </c>
      <c r="I26">
        <f>IF(F26&lt;&gt;"En ambos","",INDEX(Lista_B!$D$4:$D$63,MATCH(A26,Lista_B!$A$4:$A$63,0)))</f>
        <v/>
      </c>
      <c r="J26">
        <f>IF(F26&lt;&gt;"En ambos","",IF(EXACT(B26,G26),"Igual",IF(E26=SUBSTITUTE(SUBSTITUTE(SUBSTITUTE(SUBSTITUTE(SUBSTITUTE(SUBSTITUTE(LOWER(TRIM(G26)),"á","a"),"é","e"),"í","i"),"ó","o"),"ú","u"),"ü","u"),"Solo formato","Conflicto")))</f>
        <v/>
      </c>
      <c r="K26">
        <f>IF(F26&lt;&gt;"En ambos","",IF(EXACT(C26,H26),"Igual",IF(LOWER(TRIM(C26))=LOWER(TRIM(H26)),"Solo formato","Conflicto")))</f>
        <v/>
      </c>
      <c r="L26">
        <f>IF(F26&lt;&gt;"En ambos","",IF(EXACT(D26,I26),"Igual",IF(LOWER(TRIM(D26))=LOWER(TRIM(I26)),"Solo formato","Conflicto")))</f>
        <v/>
      </c>
    </row>
    <row r="27">
      <c r="A27" s="4" t="inlineStr">
        <is>
          <t>0024</t>
        </is>
      </c>
      <c r="B27" s="4" t="inlineStr">
        <is>
          <t>Paula Cardona</t>
        </is>
      </c>
      <c r="C27" s="4" t="inlineStr">
        <is>
          <t>paula.cardona@colegio.example</t>
        </is>
      </c>
      <c r="D27" s="4" t="inlineStr">
        <is>
          <t>8A</t>
        </is>
      </c>
      <c r="E27">
        <f>IF(B27="","",SUBSTITUTE(SUBSTITUTE(SUBSTITUTE(SUBSTITUTE(SUBSTITUTE(SUBSTITUTE(LOWER(TRIM(B27)),"á","a"),"é","e"),"í","i"),"ó","o"),"ú","u"),"ü","u"))</f>
        <v/>
      </c>
      <c r="F27">
        <f>IF(A27="","",IF(SUMPRODUCT(--EXACT(Lista_B!$A$4:$A$63,A27))&gt;0,"En ambos",IF(SUMPRODUCT(--EXACT(Lista_B!$A$4:$A$63,TEXT(VALUE(A27),"0")))&gt;0,"Posible cero perdido","Solo en A")))</f>
        <v/>
      </c>
      <c r="G27">
        <f>IF(F27&lt;&gt;"En ambos","",INDEX(Lista_B!$B$4:$B$63,MATCH(A27,Lista_B!$A$4:$A$63,0)))</f>
        <v/>
      </c>
      <c r="H27">
        <f>IF(F27&lt;&gt;"En ambos","",INDEX(Lista_B!$C$4:$C$63,MATCH(A27,Lista_B!$A$4:$A$63,0)))</f>
        <v/>
      </c>
      <c r="I27">
        <f>IF(F27&lt;&gt;"En ambos","",INDEX(Lista_B!$D$4:$D$63,MATCH(A27,Lista_B!$A$4:$A$63,0)))</f>
        <v/>
      </c>
      <c r="J27">
        <f>IF(F27&lt;&gt;"En ambos","",IF(EXACT(B27,G27),"Igual",IF(E27=SUBSTITUTE(SUBSTITUTE(SUBSTITUTE(SUBSTITUTE(SUBSTITUTE(SUBSTITUTE(LOWER(TRIM(G27)),"á","a"),"é","e"),"í","i"),"ó","o"),"ú","u"),"ü","u"),"Solo formato","Conflicto")))</f>
        <v/>
      </c>
      <c r="K27">
        <f>IF(F27&lt;&gt;"En ambos","",IF(EXACT(C27,H27),"Igual",IF(LOWER(TRIM(C27))=LOWER(TRIM(H27)),"Solo formato","Conflicto")))</f>
        <v/>
      </c>
      <c r="L27">
        <f>IF(F27&lt;&gt;"En ambos","",IF(EXACT(D27,I27),"Igual",IF(LOWER(TRIM(D27))=LOWER(TRIM(I27)),"Solo formato","Conflicto")))</f>
        <v/>
      </c>
    </row>
    <row r="28">
      <c r="A28" s="4" t="inlineStr">
        <is>
          <t>0025</t>
        </is>
      </c>
      <c r="B28" s="4" t="inlineStr">
        <is>
          <t>Esteban Núñez</t>
        </is>
      </c>
      <c r="C28" s="4" t="inlineStr">
        <is>
          <t>esteban.nunez@colegio.example</t>
        </is>
      </c>
      <c r="D28" s="4" t="inlineStr">
        <is>
          <t>7A</t>
        </is>
      </c>
      <c r="E28">
        <f>IF(B28="","",SUBSTITUTE(SUBSTITUTE(SUBSTITUTE(SUBSTITUTE(SUBSTITUTE(SUBSTITUTE(LOWER(TRIM(B28)),"á","a"),"é","e"),"í","i"),"ó","o"),"ú","u"),"ü","u"))</f>
        <v/>
      </c>
      <c r="F28">
        <f>IF(A28="","",IF(SUMPRODUCT(--EXACT(Lista_B!$A$4:$A$63,A28))&gt;0,"En ambos",IF(SUMPRODUCT(--EXACT(Lista_B!$A$4:$A$63,TEXT(VALUE(A28),"0")))&gt;0,"Posible cero perdido","Solo en A")))</f>
        <v/>
      </c>
      <c r="G28">
        <f>IF(F28&lt;&gt;"En ambos","",INDEX(Lista_B!$B$4:$B$63,MATCH(A28,Lista_B!$A$4:$A$63,0)))</f>
        <v/>
      </c>
      <c r="H28">
        <f>IF(F28&lt;&gt;"En ambos","",INDEX(Lista_B!$C$4:$C$63,MATCH(A28,Lista_B!$A$4:$A$63,0)))</f>
        <v/>
      </c>
      <c r="I28">
        <f>IF(F28&lt;&gt;"En ambos","",INDEX(Lista_B!$D$4:$D$63,MATCH(A28,Lista_B!$A$4:$A$63,0)))</f>
        <v/>
      </c>
      <c r="J28">
        <f>IF(F28&lt;&gt;"En ambos","",IF(EXACT(B28,G28),"Igual",IF(E28=SUBSTITUTE(SUBSTITUTE(SUBSTITUTE(SUBSTITUTE(SUBSTITUTE(SUBSTITUTE(LOWER(TRIM(G28)),"á","a"),"é","e"),"í","i"),"ó","o"),"ú","u"),"ü","u"),"Solo formato","Conflicto")))</f>
        <v/>
      </c>
      <c r="K28">
        <f>IF(F28&lt;&gt;"En ambos","",IF(EXACT(C28,H28),"Igual",IF(LOWER(TRIM(C28))=LOWER(TRIM(H28)),"Solo formato","Conflicto")))</f>
        <v/>
      </c>
      <c r="L28">
        <f>IF(F28&lt;&gt;"En ambos","",IF(EXACT(D28,I28),"Igual",IF(LOWER(TRIM(D28))=LOWER(TRIM(I28)),"Solo formato","Conflicto")))</f>
        <v/>
      </c>
    </row>
    <row r="29">
      <c r="A29" s="4" t="inlineStr">
        <is>
          <t>0026</t>
        </is>
      </c>
      <c r="B29" s="4" t="inlineStr">
        <is>
          <t>Juliana Prada</t>
        </is>
      </c>
      <c r="C29" s="4" t="inlineStr">
        <is>
          <t>juliana.prada@colegio.example</t>
        </is>
      </c>
      <c r="D29" s="4" t="inlineStr">
        <is>
          <t>7B</t>
        </is>
      </c>
      <c r="E29">
        <f>IF(B29="","",SUBSTITUTE(SUBSTITUTE(SUBSTITUTE(SUBSTITUTE(SUBSTITUTE(SUBSTITUTE(LOWER(TRIM(B29)),"á","a"),"é","e"),"í","i"),"ó","o"),"ú","u"),"ü","u"))</f>
        <v/>
      </c>
      <c r="F29">
        <f>IF(A29="","",IF(SUMPRODUCT(--EXACT(Lista_B!$A$4:$A$63,A29))&gt;0,"En ambos",IF(SUMPRODUCT(--EXACT(Lista_B!$A$4:$A$63,TEXT(VALUE(A29),"0")))&gt;0,"Posible cero perdido","Solo en A")))</f>
        <v/>
      </c>
      <c r="G29">
        <f>IF(F29&lt;&gt;"En ambos","",INDEX(Lista_B!$B$4:$B$63,MATCH(A29,Lista_B!$A$4:$A$63,0)))</f>
        <v/>
      </c>
      <c r="H29">
        <f>IF(F29&lt;&gt;"En ambos","",INDEX(Lista_B!$C$4:$C$63,MATCH(A29,Lista_B!$A$4:$A$63,0)))</f>
        <v/>
      </c>
      <c r="I29">
        <f>IF(F29&lt;&gt;"En ambos","",INDEX(Lista_B!$D$4:$D$63,MATCH(A29,Lista_B!$A$4:$A$63,0)))</f>
        <v/>
      </c>
      <c r="J29">
        <f>IF(F29&lt;&gt;"En ambos","",IF(EXACT(B29,G29),"Igual",IF(E29=SUBSTITUTE(SUBSTITUTE(SUBSTITUTE(SUBSTITUTE(SUBSTITUTE(SUBSTITUTE(LOWER(TRIM(G29)),"á","a"),"é","e"),"í","i"),"ó","o"),"ú","u"),"ü","u"),"Solo formato","Conflicto")))</f>
        <v/>
      </c>
      <c r="K29">
        <f>IF(F29&lt;&gt;"En ambos","",IF(EXACT(C29,H29),"Igual",IF(LOWER(TRIM(C29))=LOWER(TRIM(H29)),"Solo formato","Conflicto")))</f>
        <v/>
      </c>
      <c r="L29">
        <f>IF(F29&lt;&gt;"En ambos","",IF(EXACT(D29,I29),"Igual",IF(LOWER(TRIM(D29))=LOWER(TRIM(I29)),"Solo formato","Conflicto")))</f>
        <v/>
      </c>
    </row>
    <row r="30">
      <c r="A30" s="4" t="inlineStr">
        <is>
          <t>0027</t>
        </is>
      </c>
      <c r="B30" s="4" t="inlineStr">
        <is>
          <t>Martín Sierra</t>
        </is>
      </c>
      <c r="C30" s="4" t="inlineStr">
        <is>
          <t>martin.sierra@colegio.example</t>
        </is>
      </c>
      <c r="D30" s="4" t="inlineStr">
        <is>
          <t>8A</t>
        </is>
      </c>
      <c r="E30">
        <f>IF(B30="","",SUBSTITUTE(SUBSTITUTE(SUBSTITUTE(SUBSTITUTE(SUBSTITUTE(SUBSTITUTE(LOWER(TRIM(B30)),"á","a"),"é","e"),"í","i"),"ó","o"),"ú","u"),"ü","u"))</f>
        <v/>
      </c>
      <c r="F30">
        <f>IF(A30="","",IF(SUMPRODUCT(--EXACT(Lista_B!$A$4:$A$63,A30))&gt;0,"En ambos",IF(SUMPRODUCT(--EXACT(Lista_B!$A$4:$A$63,TEXT(VALUE(A30),"0")))&gt;0,"Posible cero perdido","Solo en A")))</f>
        <v/>
      </c>
      <c r="G30">
        <f>IF(F30&lt;&gt;"En ambos","",INDEX(Lista_B!$B$4:$B$63,MATCH(A30,Lista_B!$A$4:$A$63,0)))</f>
        <v/>
      </c>
      <c r="H30">
        <f>IF(F30&lt;&gt;"En ambos","",INDEX(Lista_B!$C$4:$C$63,MATCH(A30,Lista_B!$A$4:$A$63,0)))</f>
        <v/>
      </c>
      <c r="I30">
        <f>IF(F30&lt;&gt;"En ambos","",INDEX(Lista_B!$D$4:$D$63,MATCH(A30,Lista_B!$A$4:$A$63,0)))</f>
        <v/>
      </c>
      <c r="J30">
        <f>IF(F30&lt;&gt;"En ambos","",IF(EXACT(B30,G30),"Igual",IF(E30=SUBSTITUTE(SUBSTITUTE(SUBSTITUTE(SUBSTITUTE(SUBSTITUTE(SUBSTITUTE(LOWER(TRIM(G30)),"á","a"),"é","e"),"í","i"),"ó","o"),"ú","u"),"ü","u"),"Solo formato","Conflicto")))</f>
        <v/>
      </c>
      <c r="K30">
        <f>IF(F30&lt;&gt;"En ambos","",IF(EXACT(C30,H30),"Igual",IF(LOWER(TRIM(C30))=LOWER(TRIM(H30)),"Solo formato","Conflicto")))</f>
        <v/>
      </c>
      <c r="L30">
        <f>IF(F30&lt;&gt;"En ambos","",IF(EXACT(D30,I30),"Igual",IF(LOWER(TRIM(D30))=LOWER(TRIM(I30)),"Solo formato","Conflicto")))</f>
        <v/>
      </c>
    </row>
    <row r="31">
      <c r="A31" s="4" t="inlineStr">
        <is>
          <t>0028</t>
        </is>
      </c>
      <c r="B31" s="4" t="inlineStr">
        <is>
          <t>Renata Ávila</t>
        </is>
      </c>
      <c r="C31" s="4" t="inlineStr">
        <is>
          <t>renata.avila@colegio.example</t>
        </is>
      </c>
      <c r="D31" s="4" t="inlineStr">
        <is>
          <t>7A</t>
        </is>
      </c>
      <c r="E31">
        <f>IF(B31="","",SUBSTITUTE(SUBSTITUTE(SUBSTITUTE(SUBSTITUTE(SUBSTITUTE(SUBSTITUTE(LOWER(TRIM(B31)),"á","a"),"é","e"),"í","i"),"ó","o"),"ú","u"),"ü","u"))</f>
        <v/>
      </c>
      <c r="F31">
        <f>IF(A31="","",IF(SUMPRODUCT(--EXACT(Lista_B!$A$4:$A$63,A31))&gt;0,"En ambos",IF(SUMPRODUCT(--EXACT(Lista_B!$A$4:$A$63,TEXT(VALUE(A31),"0")))&gt;0,"Posible cero perdido","Solo en A")))</f>
        <v/>
      </c>
      <c r="G31">
        <f>IF(F31&lt;&gt;"En ambos","",INDEX(Lista_B!$B$4:$B$63,MATCH(A31,Lista_B!$A$4:$A$63,0)))</f>
        <v/>
      </c>
      <c r="H31">
        <f>IF(F31&lt;&gt;"En ambos","",INDEX(Lista_B!$C$4:$C$63,MATCH(A31,Lista_B!$A$4:$A$63,0)))</f>
        <v/>
      </c>
      <c r="I31">
        <f>IF(F31&lt;&gt;"En ambos","",INDEX(Lista_B!$D$4:$D$63,MATCH(A31,Lista_B!$A$4:$A$63,0)))</f>
        <v/>
      </c>
      <c r="J31">
        <f>IF(F31&lt;&gt;"En ambos","",IF(EXACT(B31,G31),"Igual",IF(E31=SUBSTITUTE(SUBSTITUTE(SUBSTITUTE(SUBSTITUTE(SUBSTITUTE(SUBSTITUTE(LOWER(TRIM(G31)),"á","a"),"é","e"),"í","i"),"ó","o"),"ú","u"),"ü","u"),"Solo formato","Conflicto")))</f>
        <v/>
      </c>
      <c r="K31">
        <f>IF(F31&lt;&gt;"En ambos","",IF(EXACT(C31,H31),"Igual",IF(LOWER(TRIM(C31))=LOWER(TRIM(H31)),"Solo formato","Conflicto")))</f>
        <v/>
      </c>
      <c r="L31">
        <f>IF(F31&lt;&gt;"En ambos","",IF(EXACT(D31,I31),"Igual",IF(LOWER(TRIM(D31))=LOWER(TRIM(I31)),"Solo formato","Conflicto")))</f>
        <v/>
      </c>
    </row>
    <row r="32">
      <c r="A32" s="4" t="inlineStr">
        <is>
          <t>0029</t>
        </is>
      </c>
      <c r="B32" s="4" t="inlineStr">
        <is>
          <t>Simón Duque</t>
        </is>
      </c>
      <c r="C32" s="4" t="inlineStr">
        <is>
          <t>simon.duque@colegio.example</t>
        </is>
      </c>
      <c r="D32" s="4" t="inlineStr">
        <is>
          <t>7B</t>
        </is>
      </c>
      <c r="E32">
        <f>IF(B32="","",SUBSTITUTE(SUBSTITUTE(SUBSTITUTE(SUBSTITUTE(SUBSTITUTE(SUBSTITUTE(LOWER(TRIM(B32)),"á","a"),"é","e"),"í","i"),"ó","o"),"ú","u"),"ü","u"))</f>
        <v/>
      </c>
      <c r="F32">
        <f>IF(A32="","",IF(SUMPRODUCT(--EXACT(Lista_B!$A$4:$A$63,A32))&gt;0,"En ambos",IF(SUMPRODUCT(--EXACT(Lista_B!$A$4:$A$63,TEXT(VALUE(A32),"0")))&gt;0,"Posible cero perdido","Solo en A")))</f>
        <v/>
      </c>
      <c r="G32">
        <f>IF(F32&lt;&gt;"En ambos","",INDEX(Lista_B!$B$4:$B$63,MATCH(A32,Lista_B!$A$4:$A$63,0)))</f>
        <v/>
      </c>
      <c r="H32">
        <f>IF(F32&lt;&gt;"En ambos","",INDEX(Lista_B!$C$4:$C$63,MATCH(A32,Lista_B!$A$4:$A$63,0)))</f>
        <v/>
      </c>
      <c r="I32">
        <f>IF(F32&lt;&gt;"En ambos","",INDEX(Lista_B!$D$4:$D$63,MATCH(A32,Lista_B!$A$4:$A$63,0)))</f>
        <v/>
      </c>
      <c r="J32">
        <f>IF(F32&lt;&gt;"En ambos","",IF(EXACT(B32,G32),"Igual",IF(E32=SUBSTITUTE(SUBSTITUTE(SUBSTITUTE(SUBSTITUTE(SUBSTITUTE(SUBSTITUTE(LOWER(TRIM(G32)),"á","a"),"é","e"),"í","i"),"ó","o"),"ú","u"),"ü","u"),"Solo formato","Conflicto")))</f>
        <v/>
      </c>
      <c r="K32">
        <f>IF(F32&lt;&gt;"En ambos","",IF(EXACT(C32,H32),"Igual",IF(LOWER(TRIM(C32))=LOWER(TRIM(H32)),"Solo formato","Conflicto")))</f>
        <v/>
      </c>
      <c r="L32">
        <f>IF(F32&lt;&gt;"En ambos","",IF(EXACT(D32,I32),"Igual",IF(LOWER(TRIM(D32))=LOWER(TRIM(I32)),"Solo formato","Conflicto")))</f>
        <v/>
      </c>
    </row>
    <row r="33">
      <c r="A33" s="4" t="inlineStr">
        <is>
          <t>0030</t>
        </is>
      </c>
      <c r="B33" s="4" t="inlineStr">
        <is>
          <t>Alejandra Mesa</t>
        </is>
      </c>
      <c r="C33" s="4" t="inlineStr">
        <is>
          <t>alejandra.mesa@colegio.example</t>
        </is>
      </c>
      <c r="D33" s="4" t="inlineStr">
        <is>
          <t>8A</t>
        </is>
      </c>
      <c r="E33">
        <f>IF(B33="","",SUBSTITUTE(SUBSTITUTE(SUBSTITUTE(SUBSTITUTE(SUBSTITUTE(SUBSTITUTE(LOWER(TRIM(B33)),"á","a"),"é","e"),"í","i"),"ó","o"),"ú","u"),"ü","u"))</f>
        <v/>
      </c>
      <c r="F33">
        <f>IF(A33="","",IF(SUMPRODUCT(--EXACT(Lista_B!$A$4:$A$63,A33))&gt;0,"En ambos",IF(SUMPRODUCT(--EXACT(Lista_B!$A$4:$A$63,TEXT(VALUE(A33),"0")))&gt;0,"Posible cero perdido","Solo en A")))</f>
        <v/>
      </c>
      <c r="G33">
        <f>IF(F33&lt;&gt;"En ambos","",INDEX(Lista_B!$B$4:$B$63,MATCH(A33,Lista_B!$A$4:$A$63,0)))</f>
        <v/>
      </c>
      <c r="H33">
        <f>IF(F33&lt;&gt;"En ambos","",INDEX(Lista_B!$C$4:$C$63,MATCH(A33,Lista_B!$A$4:$A$63,0)))</f>
        <v/>
      </c>
      <c r="I33">
        <f>IF(F33&lt;&gt;"En ambos","",INDEX(Lista_B!$D$4:$D$63,MATCH(A33,Lista_B!$A$4:$A$63,0)))</f>
        <v/>
      </c>
      <c r="J33">
        <f>IF(F33&lt;&gt;"En ambos","",IF(EXACT(B33,G33),"Igual",IF(E33=SUBSTITUTE(SUBSTITUTE(SUBSTITUTE(SUBSTITUTE(SUBSTITUTE(SUBSTITUTE(LOWER(TRIM(G33)),"á","a"),"é","e"),"í","i"),"ó","o"),"ú","u"),"ü","u"),"Solo formato","Conflicto")))</f>
        <v/>
      </c>
      <c r="K33">
        <f>IF(F33&lt;&gt;"En ambos","",IF(EXACT(C33,H33),"Igual",IF(LOWER(TRIM(C33))=LOWER(TRIM(H33)),"Solo formato","Conflicto")))</f>
        <v/>
      </c>
      <c r="L33">
        <f>IF(F33&lt;&gt;"En ambos","",IF(EXACT(D33,I33),"Igual",IF(LOWER(TRIM(D33))=LOWER(TRIM(I33)),"Solo formato","Conflicto")))</f>
        <v/>
      </c>
    </row>
    <row r="34">
      <c r="A34" s="4" t="n"/>
      <c r="B34" s="4" t="n"/>
      <c r="C34" s="4" t="n"/>
      <c r="D34" s="4" t="n"/>
      <c r="E34">
        <f>IF(B34="","",SUBSTITUTE(SUBSTITUTE(SUBSTITUTE(SUBSTITUTE(SUBSTITUTE(SUBSTITUTE(LOWER(TRIM(B34)),"á","a"),"é","e"),"í","i"),"ó","o"),"ú","u"),"ü","u"))</f>
        <v/>
      </c>
      <c r="F34">
        <f>IF(A34="","",IF(SUMPRODUCT(--EXACT(Lista_B!$A$4:$A$63,A34))&gt;0,"En ambos",IF(SUMPRODUCT(--EXACT(Lista_B!$A$4:$A$63,TEXT(VALUE(A34),"0")))&gt;0,"Posible cero perdido","Solo en A")))</f>
        <v/>
      </c>
      <c r="G34">
        <f>IF(F34&lt;&gt;"En ambos","",INDEX(Lista_B!$B$4:$B$63,MATCH(A34,Lista_B!$A$4:$A$63,0)))</f>
        <v/>
      </c>
      <c r="H34">
        <f>IF(F34&lt;&gt;"En ambos","",INDEX(Lista_B!$C$4:$C$63,MATCH(A34,Lista_B!$A$4:$A$63,0)))</f>
        <v/>
      </c>
      <c r="I34">
        <f>IF(F34&lt;&gt;"En ambos","",INDEX(Lista_B!$D$4:$D$63,MATCH(A34,Lista_B!$A$4:$A$63,0)))</f>
        <v/>
      </c>
      <c r="J34">
        <f>IF(F34&lt;&gt;"En ambos","",IF(EXACT(B34,G34),"Igual",IF(E34=SUBSTITUTE(SUBSTITUTE(SUBSTITUTE(SUBSTITUTE(SUBSTITUTE(SUBSTITUTE(LOWER(TRIM(G34)),"á","a"),"é","e"),"í","i"),"ó","o"),"ú","u"),"ü","u"),"Solo formato","Conflicto")))</f>
        <v/>
      </c>
      <c r="K34">
        <f>IF(F34&lt;&gt;"En ambos","",IF(EXACT(C34,H34),"Igual",IF(LOWER(TRIM(C34))=LOWER(TRIM(H34)),"Solo formato","Conflicto")))</f>
        <v/>
      </c>
      <c r="L34">
        <f>IF(F34&lt;&gt;"En ambos","",IF(EXACT(D34,I34),"Igual",IF(LOWER(TRIM(D34))=LOWER(TRIM(I34)),"Solo formato","Conflicto")))</f>
        <v/>
      </c>
    </row>
    <row r="35">
      <c r="A35" s="4" t="n"/>
      <c r="B35" s="4" t="n"/>
      <c r="C35" s="4" t="n"/>
      <c r="D35" s="4" t="n"/>
      <c r="E35">
        <f>IF(B35="","",SUBSTITUTE(SUBSTITUTE(SUBSTITUTE(SUBSTITUTE(SUBSTITUTE(SUBSTITUTE(LOWER(TRIM(B35)),"á","a"),"é","e"),"í","i"),"ó","o"),"ú","u"),"ü","u"))</f>
        <v/>
      </c>
      <c r="F35">
        <f>IF(A35="","",IF(SUMPRODUCT(--EXACT(Lista_B!$A$4:$A$63,A35))&gt;0,"En ambos",IF(SUMPRODUCT(--EXACT(Lista_B!$A$4:$A$63,TEXT(VALUE(A35),"0")))&gt;0,"Posible cero perdido","Solo en A")))</f>
        <v/>
      </c>
      <c r="G35">
        <f>IF(F35&lt;&gt;"En ambos","",INDEX(Lista_B!$B$4:$B$63,MATCH(A35,Lista_B!$A$4:$A$63,0)))</f>
        <v/>
      </c>
      <c r="H35">
        <f>IF(F35&lt;&gt;"En ambos","",INDEX(Lista_B!$C$4:$C$63,MATCH(A35,Lista_B!$A$4:$A$63,0)))</f>
        <v/>
      </c>
      <c r="I35">
        <f>IF(F35&lt;&gt;"En ambos","",INDEX(Lista_B!$D$4:$D$63,MATCH(A35,Lista_B!$A$4:$A$63,0)))</f>
        <v/>
      </c>
      <c r="J35">
        <f>IF(F35&lt;&gt;"En ambos","",IF(EXACT(B35,G35),"Igual",IF(E35=SUBSTITUTE(SUBSTITUTE(SUBSTITUTE(SUBSTITUTE(SUBSTITUTE(SUBSTITUTE(LOWER(TRIM(G35)),"á","a"),"é","e"),"í","i"),"ó","o"),"ú","u"),"ü","u"),"Solo formato","Conflicto")))</f>
        <v/>
      </c>
      <c r="K35">
        <f>IF(F35&lt;&gt;"En ambos","",IF(EXACT(C35,H35),"Igual",IF(LOWER(TRIM(C35))=LOWER(TRIM(H35)),"Solo formato","Conflicto")))</f>
        <v/>
      </c>
      <c r="L35">
        <f>IF(F35&lt;&gt;"En ambos","",IF(EXACT(D35,I35),"Igual",IF(LOWER(TRIM(D35))=LOWER(TRIM(I35)),"Solo formato","Conflicto")))</f>
        <v/>
      </c>
    </row>
    <row r="36">
      <c r="A36" s="4" t="n"/>
      <c r="B36" s="4" t="n"/>
      <c r="C36" s="4" t="n"/>
      <c r="D36" s="4" t="n"/>
      <c r="E36">
        <f>IF(B36="","",SUBSTITUTE(SUBSTITUTE(SUBSTITUTE(SUBSTITUTE(SUBSTITUTE(SUBSTITUTE(LOWER(TRIM(B36)),"á","a"),"é","e"),"í","i"),"ó","o"),"ú","u"),"ü","u"))</f>
        <v/>
      </c>
      <c r="F36">
        <f>IF(A36="","",IF(SUMPRODUCT(--EXACT(Lista_B!$A$4:$A$63,A36))&gt;0,"En ambos",IF(SUMPRODUCT(--EXACT(Lista_B!$A$4:$A$63,TEXT(VALUE(A36),"0")))&gt;0,"Posible cero perdido","Solo en A")))</f>
        <v/>
      </c>
      <c r="G36">
        <f>IF(F36&lt;&gt;"En ambos","",INDEX(Lista_B!$B$4:$B$63,MATCH(A36,Lista_B!$A$4:$A$63,0)))</f>
        <v/>
      </c>
      <c r="H36">
        <f>IF(F36&lt;&gt;"En ambos","",INDEX(Lista_B!$C$4:$C$63,MATCH(A36,Lista_B!$A$4:$A$63,0)))</f>
        <v/>
      </c>
      <c r="I36">
        <f>IF(F36&lt;&gt;"En ambos","",INDEX(Lista_B!$D$4:$D$63,MATCH(A36,Lista_B!$A$4:$A$63,0)))</f>
        <v/>
      </c>
      <c r="J36">
        <f>IF(F36&lt;&gt;"En ambos","",IF(EXACT(B36,G36),"Igual",IF(E36=SUBSTITUTE(SUBSTITUTE(SUBSTITUTE(SUBSTITUTE(SUBSTITUTE(SUBSTITUTE(LOWER(TRIM(G36)),"á","a"),"é","e"),"í","i"),"ó","o"),"ú","u"),"ü","u"),"Solo formato","Conflicto")))</f>
        <v/>
      </c>
      <c r="K36">
        <f>IF(F36&lt;&gt;"En ambos","",IF(EXACT(C36,H36),"Igual",IF(LOWER(TRIM(C36))=LOWER(TRIM(H36)),"Solo formato","Conflicto")))</f>
        <v/>
      </c>
      <c r="L36">
        <f>IF(F36&lt;&gt;"En ambos","",IF(EXACT(D36,I36),"Igual",IF(LOWER(TRIM(D36))=LOWER(TRIM(I36)),"Solo formato","Conflicto")))</f>
        <v/>
      </c>
    </row>
    <row r="37">
      <c r="A37" s="4" t="n"/>
      <c r="B37" s="4" t="n"/>
      <c r="C37" s="4" t="n"/>
      <c r="D37" s="4" t="n"/>
      <c r="E37">
        <f>IF(B37="","",SUBSTITUTE(SUBSTITUTE(SUBSTITUTE(SUBSTITUTE(SUBSTITUTE(SUBSTITUTE(LOWER(TRIM(B37)),"á","a"),"é","e"),"í","i"),"ó","o"),"ú","u"),"ü","u"))</f>
        <v/>
      </c>
      <c r="F37">
        <f>IF(A37="","",IF(SUMPRODUCT(--EXACT(Lista_B!$A$4:$A$63,A37))&gt;0,"En ambos",IF(SUMPRODUCT(--EXACT(Lista_B!$A$4:$A$63,TEXT(VALUE(A37),"0")))&gt;0,"Posible cero perdido","Solo en A")))</f>
        <v/>
      </c>
      <c r="G37">
        <f>IF(F37&lt;&gt;"En ambos","",INDEX(Lista_B!$B$4:$B$63,MATCH(A37,Lista_B!$A$4:$A$63,0)))</f>
        <v/>
      </c>
      <c r="H37">
        <f>IF(F37&lt;&gt;"En ambos","",INDEX(Lista_B!$C$4:$C$63,MATCH(A37,Lista_B!$A$4:$A$63,0)))</f>
        <v/>
      </c>
      <c r="I37">
        <f>IF(F37&lt;&gt;"En ambos","",INDEX(Lista_B!$D$4:$D$63,MATCH(A37,Lista_B!$A$4:$A$63,0)))</f>
        <v/>
      </c>
      <c r="J37">
        <f>IF(F37&lt;&gt;"En ambos","",IF(EXACT(B37,G37),"Igual",IF(E37=SUBSTITUTE(SUBSTITUTE(SUBSTITUTE(SUBSTITUTE(SUBSTITUTE(SUBSTITUTE(LOWER(TRIM(G37)),"á","a"),"é","e"),"í","i"),"ó","o"),"ú","u"),"ü","u"),"Solo formato","Conflicto")))</f>
        <v/>
      </c>
      <c r="K37">
        <f>IF(F37&lt;&gt;"En ambos","",IF(EXACT(C37,H37),"Igual",IF(LOWER(TRIM(C37))=LOWER(TRIM(H37)),"Solo formato","Conflicto")))</f>
        <v/>
      </c>
      <c r="L37">
        <f>IF(F37&lt;&gt;"En ambos","",IF(EXACT(D37,I37),"Igual",IF(LOWER(TRIM(D37))=LOWER(TRIM(I37)),"Solo formato","Conflicto")))</f>
        <v/>
      </c>
    </row>
    <row r="38">
      <c r="A38" s="4" t="n"/>
      <c r="B38" s="4" t="n"/>
      <c r="C38" s="4" t="n"/>
      <c r="D38" s="4" t="n"/>
      <c r="E38">
        <f>IF(B38="","",SUBSTITUTE(SUBSTITUTE(SUBSTITUTE(SUBSTITUTE(SUBSTITUTE(SUBSTITUTE(LOWER(TRIM(B38)),"á","a"),"é","e"),"í","i"),"ó","o"),"ú","u"),"ü","u"))</f>
        <v/>
      </c>
      <c r="F38">
        <f>IF(A38="","",IF(SUMPRODUCT(--EXACT(Lista_B!$A$4:$A$63,A38))&gt;0,"En ambos",IF(SUMPRODUCT(--EXACT(Lista_B!$A$4:$A$63,TEXT(VALUE(A38),"0")))&gt;0,"Posible cero perdido","Solo en A")))</f>
        <v/>
      </c>
      <c r="G38">
        <f>IF(F38&lt;&gt;"En ambos","",INDEX(Lista_B!$B$4:$B$63,MATCH(A38,Lista_B!$A$4:$A$63,0)))</f>
        <v/>
      </c>
      <c r="H38">
        <f>IF(F38&lt;&gt;"En ambos","",INDEX(Lista_B!$C$4:$C$63,MATCH(A38,Lista_B!$A$4:$A$63,0)))</f>
        <v/>
      </c>
      <c r="I38">
        <f>IF(F38&lt;&gt;"En ambos","",INDEX(Lista_B!$D$4:$D$63,MATCH(A38,Lista_B!$A$4:$A$63,0)))</f>
        <v/>
      </c>
      <c r="J38">
        <f>IF(F38&lt;&gt;"En ambos","",IF(EXACT(B38,G38),"Igual",IF(E38=SUBSTITUTE(SUBSTITUTE(SUBSTITUTE(SUBSTITUTE(SUBSTITUTE(SUBSTITUTE(LOWER(TRIM(G38)),"á","a"),"é","e"),"í","i"),"ó","o"),"ú","u"),"ü","u"),"Solo formato","Conflicto")))</f>
        <v/>
      </c>
      <c r="K38">
        <f>IF(F38&lt;&gt;"En ambos","",IF(EXACT(C38,H38),"Igual",IF(LOWER(TRIM(C38))=LOWER(TRIM(H38)),"Solo formato","Conflicto")))</f>
        <v/>
      </c>
      <c r="L38">
        <f>IF(F38&lt;&gt;"En ambos","",IF(EXACT(D38,I38),"Igual",IF(LOWER(TRIM(D38))=LOWER(TRIM(I38)),"Solo formato","Conflicto")))</f>
        <v/>
      </c>
    </row>
    <row r="39">
      <c r="A39" s="4" t="n"/>
      <c r="B39" s="4" t="n"/>
      <c r="C39" s="4" t="n"/>
      <c r="D39" s="4" t="n"/>
      <c r="E39">
        <f>IF(B39="","",SUBSTITUTE(SUBSTITUTE(SUBSTITUTE(SUBSTITUTE(SUBSTITUTE(SUBSTITUTE(LOWER(TRIM(B39)),"á","a"),"é","e"),"í","i"),"ó","o"),"ú","u"),"ü","u"))</f>
        <v/>
      </c>
      <c r="F39">
        <f>IF(A39="","",IF(SUMPRODUCT(--EXACT(Lista_B!$A$4:$A$63,A39))&gt;0,"En ambos",IF(SUMPRODUCT(--EXACT(Lista_B!$A$4:$A$63,TEXT(VALUE(A39),"0")))&gt;0,"Posible cero perdido","Solo en A")))</f>
        <v/>
      </c>
      <c r="G39">
        <f>IF(F39&lt;&gt;"En ambos","",INDEX(Lista_B!$B$4:$B$63,MATCH(A39,Lista_B!$A$4:$A$63,0)))</f>
        <v/>
      </c>
      <c r="H39">
        <f>IF(F39&lt;&gt;"En ambos","",INDEX(Lista_B!$C$4:$C$63,MATCH(A39,Lista_B!$A$4:$A$63,0)))</f>
        <v/>
      </c>
      <c r="I39">
        <f>IF(F39&lt;&gt;"En ambos","",INDEX(Lista_B!$D$4:$D$63,MATCH(A39,Lista_B!$A$4:$A$63,0)))</f>
        <v/>
      </c>
      <c r="J39">
        <f>IF(F39&lt;&gt;"En ambos","",IF(EXACT(B39,G39),"Igual",IF(E39=SUBSTITUTE(SUBSTITUTE(SUBSTITUTE(SUBSTITUTE(SUBSTITUTE(SUBSTITUTE(LOWER(TRIM(G39)),"á","a"),"é","e"),"í","i"),"ó","o"),"ú","u"),"ü","u"),"Solo formato","Conflicto")))</f>
        <v/>
      </c>
      <c r="K39">
        <f>IF(F39&lt;&gt;"En ambos","",IF(EXACT(C39,H39),"Igual",IF(LOWER(TRIM(C39))=LOWER(TRIM(H39)),"Solo formato","Conflicto")))</f>
        <v/>
      </c>
      <c r="L39">
        <f>IF(F39&lt;&gt;"En ambos","",IF(EXACT(D39,I39),"Igual",IF(LOWER(TRIM(D39))=LOWER(TRIM(I39)),"Solo formato","Conflicto")))</f>
        <v/>
      </c>
    </row>
    <row r="40">
      <c r="A40" s="4" t="n"/>
      <c r="B40" s="4" t="n"/>
      <c r="C40" s="4" t="n"/>
      <c r="D40" s="4" t="n"/>
      <c r="E40">
        <f>IF(B40="","",SUBSTITUTE(SUBSTITUTE(SUBSTITUTE(SUBSTITUTE(SUBSTITUTE(SUBSTITUTE(LOWER(TRIM(B40)),"á","a"),"é","e"),"í","i"),"ó","o"),"ú","u"),"ü","u"))</f>
        <v/>
      </c>
      <c r="F40">
        <f>IF(A40="","",IF(SUMPRODUCT(--EXACT(Lista_B!$A$4:$A$63,A40))&gt;0,"En ambos",IF(SUMPRODUCT(--EXACT(Lista_B!$A$4:$A$63,TEXT(VALUE(A40),"0")))&gt;0,"Posible cero perdido","Solo en A")))</f>
        <v/>
      </c>
      <c r="G40">
        <f>IF(F40&lt;&gt;"En ambos","",INDEX(Lista_B!$B$4:$B$63,MATCH(A40,Lista_B!$A$4:$A$63,0)))</f>
        <v/>
      </c>
      <c r="H40">
        <f>IF(F40&lt;&gt;"En ambos","",INDEX(Lista_B!$C$4:$C$63,MATCH(A40,Lista_B!$A$4:$A$63,0)))</f>
        <v/>
      </c>
      <c r="I40">
        <f>IF(F40&lt;&gt;"En ambos","",INDEX(Lista_B!$D$4:$D$63,MATCH(A40,Lista_B!$A$4:$A$63,0)))</f>
        <v/>
      </c>
      <c r="J40">
        <f>IF(F40&lt;&gt;"En ambos","",IF(EXACT(B40,G40),"Igual",IF(E40=SUBSTITUTE(SUBSTITUTE(SUBSTITUTE(SUBSTITUTE(SUBSTITUTE(SUBSTITUTE(LOWER(TRIM(G40)),"á","a"),"é","e"),"í","i"),"ó","o"),"ú","u"),"ü","u"),"Solo formato","Conflicto")))</f>
        <v/>
      </c>
      <c r="K40">
        <f>IF(F40&lt;&gt;"En ambos","",IF(EXACT(C40,H40),"Igual",IF(LOWER(TRIM(C40))=LOWER(TRIM(H40)),"Solo formato","Conflicto")))</f>
        <v/>
      </c>
      <c r="L40">
        <f>IF(F40&lt;&gt;"En ambos","",IF(EXACT(D40,I40),"Igual",IF(LOWER(TRIM(D40))=LOWER(TRIM(I40)),"Solo formato","Conflicto")))</f>
        <v/>
      </c>
    </row>
    <row r="41">
      <c r="A41" s="4" t="n"/>
      <c r="B41" s="4" t="n"/>
      <c r="C41" s="4" t="n"/>
      <c r="D41" s="4" t="n"/>
      <c r="E41">
        <f>IF(B41="","",SUBSTITUTE(SUBSTITUTE(SUBSTITUTE(SUBSTITUTE(SUBSTITUTE(SUBSTITUTE(LOWER(TRIM(B41)),"á","a"),"é","e"),"í","i"),"ó","o"),"ú","u"),"ü","u"))</f>
        <v/>
      </c>
      <c r="F41">
        <f>IF(A41="","",IF(SUMPRODUCT(--EXACT(Lista_B!$A$4:$A$63,A41))&gt;0,"En ambos",IF(SUMPRODUCT(--EXACT(Lista_B!$A$4:$A$63,TEXT(VALUE(A41),"0")))&gt;0,"Posible cero perdido","Solo en A")))</f>
        <v/>
      </c>
      <c r="G41">
        <f>IF(F41&lt;&gt;"En ambos","",INDEX(Lista_B!$B$4:$B$63,MATCH(A41,Lista_B!$A$4:$A$63,0)))</f>
        <v/>
      </c>
      <c r="H41">
        <f>IF(F41&lt;&gt;"En ambos","",INDEX(Lista_B!$C$4:$C$63,MATCH(A41,Lista_B!$A$4:$A$63,0)))</f>
        <v/>
      </c>
      <c r="I41">
        <f>IF(F41&lt;&gt;"En ambos","",INDEX(Lista_B!$D$4:$D$63,MATCH(A41,Lista_B!$A$4:$A$63,0)))</f>
        <v/>
      </c>
      <c r="J41">
        <f>IF(F41&lt;&gt;"En ambos","",IF(EXACT(B41,G41),"Igual",IF(E41=SUBSTITUTE(SUBSTITUTE(SUBSTITUTE(SUBSTITUTE(SUBSTITUTE(SUBSTITUTE(LOWER(TRIM(G41)),"á","a"),"é","e"),"í","i"),"ó","o"),"ú","u"),"ü","u"),"Solo formato","Conflicto")))</f>
        <v/>
      </c>
      <c r="K41">
        <f>IF(F41&lt;&gt;"En ambos","",IF(EXACT(C41,H41),"Igual",IF(LOWER(TRIM(C41))=LOWER(TRIM(H41)),"Solo formato","Conflicto")))</f>
        <v/>
      </c>
      <c r="L41">
        <f>IF(F41&lt;&gt;"En ambos","",IF(EXACT(D41,I41),"Igual",IF(LOWER(TRIM(D41))=LOWER(TRIM(I41)),"Solo formato","Conflicto")))</f>
        <v/>
      </c>
    </row>
    <row r="42">
      <c r="A42" s="4" t="n"/>
      <c r="B42" s="4" t="n"/>
      <c r="C42" s="4" t="n"/>
      <c r="D42" s="4" t="n"/>
      <c r="E42">
        <f>IF(B42="","",SUBSTITUTE(SUBSTITUTE(SUBSTITUTE(SUBSTITUTE(SUBSTITUTE(SUBSTITUTE(LOWER(TRIM(B42)),"á","a"),"é","e"),"í","i"),"ó","o"),"ú","u"),"ü","u"))</f>
        <v/>
      </c>
      <c r="F42">
        <f>IF(A42="","",IF(SUMPRODUCT(--EXACT(Lista_B!$A$4:$A$63,A42))&gt;0,"En ambos",IF(SUMPRODUCT(--EXACT(Lista_B!$A$4:$A$63,TEXT(VALUE(A42),"0")))&gt;0,"Posible cero perdido","Solo en A")))</f>
        <v/>
      </c>
      <c r="G42">
        <f>IF(F42&lt;&gt;"En ambos","",INDEX(Lista_B!$B$4:$B$63,MATCH(A42,Lista_B!$A$4:$A$63,0)))</f>
        <v/>
      </c>
      <c r="H42">
        <f>IF(F42&lt;&gt;"En ambos","",INDEX(Lista_B!$C$4:$C$63,MATCH(A42,Lista_B!$A$4:$A$63,0)))</f>
        <v/>
      </c>
      <c r="I42">
        <f>IF(F42&lt;&gt;"En ambos","",INDEX(Lista_B!$D$4:$D$63,MATCH(A42,Lista_B!$A$4:$A$63,0)))</f>
        <v/>
      </c>
      <c r="J42">
        <f>IF(F42&lt;&gt;"En ambos","",IF(EXACT(B42,G42),"Igual",IF(E42=SUBSTITUTE(SUBSTITUTE(SUBSTITUTE(SUBSTITUTE(SUBSTITUTE(SUBSTITUTE(LOWER(TRIM(G42)),"á","a"),"é","e"),"í","i"),"ó","o"),"ú","u"),"ü","u"),"Solo formato","Conflicto")))</f>
        <v/>
      </c>
      <c r="K42">
        <f>IF(F42&lt;&gt;"En ambos","",IF(EXACT(C42,H42),"Igual",IF(LOWER(TRIM(C42))=LOWER(TRIM(H42)),"Solo formato","Conflicto")))</f>
        <v/>
      </c>
      <c r="L42">
        <f>IF(F42&lt;&gt;"En ambos","",IF(EXACT(D42,I42),"Igual",IF(LOWER(TRIM(D42))=LOWER(TRIM(I42)),"Solo formato","Conflicto")))</f>
        <v/>
      </c>
    </row>
    <row r="43">
      <c r="A43" s="4" t="n"/>
      <c r="B43" s="4" t="n"/>
      <c r="C43" s="4" t="n"/>
      <c r="D43" s="4" t="n"/>
      <c r="E43">
        <f>IF(B43="","",SUBSTITUTE(SUBSTITUTE(SUBSTITUTE(SUBSTITUTE(SUBSTITUTE(SUBSTITUTE(LOWER(TRIM(B43)),"á","a"),"é","e"),"í","i"),"ó","o"),"ú","u"),"ü","u"))</f>
        <v/>
      </c>
      <c r="F43">
        <f>IF(A43="","",IF(SUMPRODUCT(--EXACT(Lista_B!$A$4:$A$63,A43))&gt;0,"En ambos",IF(SUMPRODUCT(--EXACT(Lista_B!$A$4:$A$63,TEXT(VALUE(A43),"0")))&gt;0,"Posible cero perdido","Solo en A")))</f>
        <v/>
      </c>
      <c r="G43">
        <f>IF(F43&lt;&gt;"En ambos","",INDEX(Lista_B!$B$4:$B$63,MATCH(A43,Lista_B!$A$4:$A$63,0)))</f>
        <v/>
      </c>
      <c r="H43">
        <f>IF(F43&lt;&gt;"En ambos","",INDEX(Lista_B!$C$4:$C$63,MATCH(A43,Lista_B!$A$4:$A$63,0)))</f>
        <v/>
      </c>
      <c r="I43">
        <f>IF(F43&lt;&gt;"En ambos","",INDEX(Lista_B!$D$4:$D$63,MATCH(A43,Lista_B!$A$4:$A$63,0)))</f>
        <v/>
      </c>
      <c r="J43">
        <f>IF(F43&lt;&gt;"En ambos","",IF(EXACT(B43,G43),"Igual",IF(E43=SUBSTITUTE(SUBSTITUTE(SUBSTITUTE(SUBSTITUTE(SUBSTITUTE(SUBSTITUTE(LOWER(TRIM(G43)),"á","a"),"é","e"),"í","i"),"ó","o"),"ú","u"),"ü","u"),"Solo formato","Conflicto")))</f>
        <v/>
      </c>
      <c r="K43">
        <f>IF(F43&lt;&gt;"En ambos","",IF(EXACT(C43,H43),"Igual",IF(LOWER(TRIM(C43))=LOWER(TRIM(H43)),"Solo formato","Conflicto")))</f>
        <v/>
      </c>
      <c r="L43">
        <f>IF(F43&lt;&gt;"En ambos","",IF(EXACT(D43,I43),"Igual",IF(LOWER(TRIM(D43))=LOWER(TRIM(I43)),"Solo formato","Conflicto")))</f>
        <v/>
      </c>
    </row>
    <row r="44">
      <c r="A44" s="4" t="n"/>
      <c r="B44" s="4" t="n"/>
      <c r="C44" s="4" t="n"/>
      <c r="D44" s="4" t="n"/>
      <c r="E44">
        <f>IF(B44="","",SUBSTITUTE(SUBSTITUTE(SUBSTITUTE(SUBSTITUTE(SUBSTITUTE(SUBSTITUTE(LOWER(TRIM(B44)),"á","a"),"é","e"),"í","i"),"ó","o"),"ú","u"),"ü","u"))</f>
        <v/>
      </c>
      <c r="F44">
        <f>IF(A44="","",IF(SUMPRODUCT(--EXACT(Lista_B!$A$4:$A$63,A44))&gt;0,"En ambos",IF(SUMPRODUCT(--EXACT(Lista_B!$A$4:$A$63,TEXT(VALUE(A44),"0")))&gt;0,"Posible cero perdido","Solo en A")))</f>
        <v/>
      </c>
      <c r="G44">
        <f>IF(F44&lt;&gt;"En ambos","",INDEX(Lista_B!$B$4:$B$63,MATCH(A44,Lista_B!$A$4:$A$63,0)))</f>
        <v/>
      </c>
      <c r="H44">
        <f>IF(F44&lt;&gt;"En ambos","",INDEX(Lista_B!$C$4:$C$63,MATCH(A44,Lista_B!$A$4:$A$63,0)))</f>
        <v/>
      </c>
      <c r="I44">
        <f>IF(F44&lt;&gt;"En ambos","",INDEX(Lista_B!$D$4:$D$63,MATCH(A44,Lista_B!$A$4:$A$63,0)))</f>
        <v/>
      </c>
      <c r="J44">
        <f>IF(F44&lt;&gt;"En ambos","",IF(EXACT(B44,G44),"Igual",IF(E44=SUBSTITUTE(SUBSTITUTE(SUBSTITUTE(SUBSTITUTE(SUBSTITUTE(SUBSTITUTE(LOWER(TRIM(G44)),"á","a"),"é","e"),"í","i"),"ó","o"),"ú","u"),"ü","u"),"Solo formato","Conflicto")))</f>
        <v/>
      </c>
      <c r="K44">
        <f>IF(F44&lt;&gt;"En ambos","",IF(EXACT(C44,H44),"Igual",IF(LOWER(TRIM(C44))=LOWER(TRIM(H44)),"Solo formato","Conflicto")))</f>
        <v/>
      </c>
      <c r="L44">
        <f>IF(F44&lt;&gt;"En ambos","",IF(EXACT(D44,I44),"Igual",IF(LOWER(TRIM(D44))=LOWER(TRIM(I44)),"Solo formato","Conflicto")))</f>
        <v/>
      </c>
    </row>
    <row r="45">
      <c r="A45" s="4" t="n"/>
      <c r="B45" s="4" t="n"/>
      <c r="C45" s="4" t="n"/>
      <c r="D45" s="4" t="n"/>
      <c r="E45">
        <f>IF(B45="","",SUBSTITUTE(SUBSTITUTE(SUBSTITUTE(SUBSTITUTE(SUBSTITUTE(SUBSTITUTE(LOWER(TRIM(B45)),"á","a"),"é","e"),"í","i"),"ó","o"),"ú","u"),"ü","u"))</f>
        <v/>
      </c>
      <c r="F45">
        <f>IF(A45="","",IF(SUMPRODUCT(--EXACT(Lista_B!$A$4:$A$63,A45))&gt;0,"En ambos",IF(SUMPRODUCT(--EXACT(Lista_B!$A$4:$A$63,TEXT(VALUE(A45),"0")))&gt;0,"Posible cero perdido","Solo en A")))</f>
        <v/>
      </c>
      <c r="G45">
        <f>IF(F45&lt;&gt;"En ambos","",INDEX(Lista_B!$B$4:$B$63,MATCH(A45,Lista_B!$A$4:$A$63,0)))</f>
        <v/>
      </c>
      <c r="H45">
        <f>IF(F45&lt;&gt;"En ambos","",INDEX(Lista_B!$C$4:$C$63,MATCH(A45,Lista_B!$A$4:$A$63,0)))</f>
        <v/>
      </c>
      <c r="I45">
        <f>IF(F45&lt;&gt;"En ambos","",INDEX(Lista_B!$D$4:$D$63,MATCH(A45,Lista_B!$A$4:$A$63,0)))</f>
        <v/>
      </c>
      <c r="J45">
        <f>IF(F45&lt;&gt;"En ambos","",IF(EXACT(B45,G45),"Igual",IF(E45=SUBSTITUTE(SUBSTITUTE(SUBSTITUTE(SUBSTITUTE(SUBSTITUTE(SUBSTITUTE(LOWER(TRIM(G45)),"á","a"),"é","e"),"í","i"),"ó","o"),"ú","u"),"ü","u"),"Solo formato","Conflicto")))</f>
        <v/>
      </c>
      <c r="K45">
        <f>IF(F45&lt;&gt;"En ambos","",IF(EXACT(C45,H45),"Igual",IF(LOWER(TRIM(C45))=LOWER(TRIM(H45)),"Solo formato","Conflicto")))</f>
        <v/>
      </c>
      <c r="L45">
        <f>IF(F45&lt;&gt;"En ambos","",IF(EXACT(D45,I45),"Igual",IF(LOWER(TRIM(D45))=LOWER(TRIM(I45)),"Solo formato","Conflicto")))</f>
        <v/>
      </c>
    </row>
    <row r="46">
      <c r="A46" s="4" t="n"/>
      <c r="B46" s="4" t="n"/>
      <c r="C46" s="4" t="n"/>
      <c r="D46" s="4" t="n"/>
      <c r="E46">
        <f>IF(B46="","",SUBSTITUTE(SUBSTITUTE(SUBSTITUTE(SUBSTITUTE(SUBSTITUTE(SUBSTITUTE(LOWER(TRIM(B46)),"á","a"),"é","e"),"í","i"),"ó","o"),"ú","u"),"ü","u"))</f>
        <v/>
      </c>
      <c r="F46">
        <f>IF(A46="","",IF(SUMPRODUCT(--EXACT(Lista_B!$A$4:$A$63,A46))&gt;0,"En ambos",IF(SUMPRODUCT(--EXACT(Lista_B!$A$4:$A$63,TEXT(VALUE(A46),"0")))&gt;0,"Posible cero perdido","Solo en A")))</f>
        <v/>
      </c>
      <c r="G46">
        <f>IF(F46&lt;&gt;"En ambos","",INDEX(Lista_B!$B$4:$B$63,MATCH(A46,Lista_B!$A$4:$A$63,0)))</f>
        <v/>
      </c>
      <c r="H46">
        <f>IF(F46&lt;&gt;"En ambos","",INDEX(Lista_B!$C$4:$C$63,MATCH(A46,Lista_B!$A$4:$A$63,0)))</f>
        <v/>
      </c>
      <c r="I46">
        <f>IF(F46&lt;&gt;"En ambos","",INDEX(Lista_B!$D$4:$D$63,MATCH(A46,Lista_B!$A$4:$A$63,0)))</f>
        <v/>
      </c>
      <c r="J46">
        <f>IF(F46&lt;&gt;"En ambos","",IF(EXACT(B46,G46),"Igual",IF(E46=SUBSTITUTE(SUBSTITUTE(SUBSTITUTE(SUBSTITUTE(SUBSTITUTE(SUBSTITUTE(LOWER(TRIM(G46)),"á","a"),"é","e"),"í","i"),"ó","o"),"ú","u"),"ü","u"),"Solo formato","Conflicto")))</f>
        <v/>
      </c>
      <c r="K46">
        <f>IF(F46&lt;&gt;"En ambos","",IF(EXACT(C46,H46),"Igual",IF(LOWER(TRIM(C46))=LOWER(TRIM(H46)),"Solo formato","Conflicto")))</f>
        <v/>
      </c>
      <c r="L46">
        <f>IF(F46&lt;&gt;"En ambos","",IF(EXACT(D46,I46),"Igual",IF(LOWER(TRIM(D46))=LOWER(TRIM(I46)),"Solo formato","Conflicto")))</f>
        <v/>
      </c>
    </row>
    <row r="47">
      <c r="A47" s="4" t="n"/>
      <c r="B47" s="4" t="n"/>
      <c r="C47" s="4" t="n"/>
      <c r="D47" s="4" t="n"/>
      <c r="E47">
        <f>IF(B47="","",SUBSTITUTE(SUBSTITUTE(SUBSTITUTE(SUBSTITUTE(SUBSTITUTE(SUBSTITUTE(LOWER(TRIM(B47)),"á","a"),"é","e"),"í","i"),"ó","o"),"ú","u"),"ü","u"))</f>
        <v/>
      </c>
      <c r="F47">
        <f>IF(A47="","",IF(SUMPRODUCT(--EXACT(Lista_B!$A$4:$A$63,A47))&gt;0,"En ambos",IF(SUMPRODUCT(--EXACT(Lista_B!$A$4:$A$63,TEXT(VALUE(A47),"0")))&gt;0,"Posible cero perdido","Solo en A")))</f>
        <v/>
      </c>
      <c r="G47">
        <f>IF(F47&lt;&gt;"En ambos","",INDEX(Lista_B!$B$4:$B$63,MATCH(A47,Lista_B!$A$4:$A$63,0)))</f>
        <v/>
      </c>
      <c r="H47">
        <f>IF(F47&lt;&gt;"En ambos","",INDEX(Lista_B!$C$4:$C$63,MATCH(A47,Lista_B!$A$4:$A$63,0)))</f>
        <v/>
      </c>
      <c r="I47">
        <f>IF(F47&lt;&gt;"En ambos","",INDEX(Lista_B!$D$4:$D$63,MATCH(A47,Lista_B!$A$4:$A$63,0)))</f>
        <v/>
      </c>
      <c r="J47">
        <f>IF(F47&lt;&gt;"En ambos","",IF(EXACT(B47,G47),"Igual",IF(E47=SUBSTITUTE(SUBSTITUTE(SUBSTITUTE(SUBSTITUTE(SUBSTITUTE(SUBSTITUTE(LOWER(TRIM(G47)),"á","a"),"é","e"),"í","i"),"ó","o"),"ú","u"),"ü","u"),"Solo formato","Conflicto")))</f>
        <v/>
      </c>
      <c r="K47">
        <f>IF(F47&lt;&gt;"En ambos","",IF(EXACT(C47,H47),"Igual",IF(LOWER(TRIM(C47))=LOWER(TRIM(H47)),"Solo formato","Conflicto")))</f>
        <v/>
      </c>
      <c r="L47">
        <f>IF(F47&lt;&gt;"En ambos","",IF(EXACT(D47,I47),"Igual",IF(LOWER(TRIM(D47))=LOWER(TRIM(I47)),"Solo formato","Conflicto")))</f>
        <v/>
      </c>
    </row>
    <row r="48">
      <c r="A48" s="4" t="n"/>
      <c r="B48" s="4" t="n"/>
      <c r="C48" s="4" t="n"/>
      <c r="D48" s="4" t="n"/>
      <c r="E48">
        <f>IF(B48="","",SUBSTITUTE(SUBSTITUTE(SUBSTITUTE(SUBSTITUTE(SUBSTITUTE(SUBSTITUTE(LOWER(TRIM(B48)),"á","a"),"é","e"),"í","i"),"ó","o"),"ú","u"),"ü","u"))</f>
        <v/>
      </c>
      <c r="F48">
        <f>IF(A48="","",IF(SUMPRODUCT(--EXACT(Lista_B!$A$4:$A$63,A48))&gt;0,"En ambos",IF(SUMPRODUCT(--EXACT(Lista_B!$A$4:$A$63,TEXT(VALUE(A48),"0")))&gt;0,"Posible cero perdido","Solo en A")))</f>
        <v/>
      </c>
      <c r="G48">
        <f>IF(F48&lt;&gt;"En ambos","",INDEX(Lista_B!$B$4:$B$63,MATCH(A48,Lista_B!$A$4:$A$63,0)))</f>
        <v/>
      </c>
      <c r="H48">
        <f>IF(F48&lt;&gt;"En ambos","",INDEX(Lista_B!$C$4:$C$63,MATCH(A48,Lista_B!$A$4:$A$63,0)))</f>
        <v/>
      </c>
      <c r="I48">
        <f>IF(F48&lt;&gt;"En ambos","",INDEX(Lista_B!$D$4:$D$63,MATCH(A48,Lista_B!$A$4:$A$63,0)))</f>
        <v/>
      </c>
      <c r="J48">
        <f>IF(F48&lt;&gt;"En ambos","",IF(EXACT(B48,G48),"Igual",IF(E48=SUBSTITUTE(SUBSTITUTE(SUBSTITUTE(SUBSTITUTE(SUBSTITUTE(SUBSTITUTE(LOWER(TRIM(G48)),"á","a"),"é","e"),"í","i"),"ó","o"),"ú","u"),"ü","u"),"Solo formato","Conflicto")))</f>
        <v/>
      </c>
      <c r="K48">
        <f>IF(F48&lt;&gt;"En ambos","",IF(EXACT(C48,H48),"Igual",IF(LOWER(TRIM(C48))=LOWER(TRIM(H48)),"Solo formato","Conflicto")))</f>
        <v/>
      </c>
      <c r="L48">
        <f>IF(F48&lt;&gt;"En ambos","",IF(EXACT(D48,I48),"Igual",IF(LOWER(TRIM(D48))=LOWER(TRIM(I48)),"Solo formato","Conflicto")))</f>
        <v/>
      </c>
    </row>
    <row r="49">
      <c r="A49" s="4" t="n"/>
      <c r="B49" s="4" t="n"/>
      <c r="C49" s="4" t="n"/>
      <c r="D49" s="4" t="n"/>
      <c r="E49">
        <f>IF(B49="","",SUBSTITUTE(SUBSTITUTE(SUBSTITUTE(SUBSTITUTE(SUBSTITUTE(SUBSTITUTE(LOWER(TRIM(B49)),"á","a"),"é","e"),"í","i"),"ó","o"),"ú","u"),"ü","u"))</f>
        <v/>
      </c>
      <c r="F49">
        <f>IF(A49="","",IF(SUMPRODUCT(--EXACT(Lista_B!$A$4:$A$63,A49))&gt;0,"En ambos",IF(SUMPRODUCT(--EXACT(Lista_B!$A$4:$A$63,TEXT(VALUE(A49),"0")))&gt;0,"Posible cero perdido","Solo en A")))</f>
        <v/>
      </c>
      <c r="G49">
        <f>IF(F49&lt;&gt;"En ambos","",INDEX(Lista_B!$B$4:$B$63,MATCH(A49,Lista_B!$A$4:$A$63,0)))</f>
        <v/>
      </c>
      <c r="H49">
        <f>IF(F49&lt;&gt;"En ambos","",INDEX(Lista_B!$C$4:$C$63,MATCH(A49,Lista_B!$A$4:$A$63,0)))</f>
        <v/>
      </c>
      <c r="I49">
        <f>IF(F49&lt;&gt;"En ambos","",INDEX(Lista_B!$D$4:$D$63,MATCH(A49,Lista_B!$A$4:$A$63,0)))</f>
        <v/>
      </c>
      <c r="J49">
        <f>IF(F49&lt;&gt;"En ambos","",IF(EXACT(B49,G49),"Igual",IF(E49=SUBSTITUTE(SUBSTITUTE(SUBSTITUTE(SUBSTITUTE(SUBSTITUTE(SUBSTITUTE(LOWER(TRIM(G49)),"á","a"),"é","e"),"í","i"),"ó","o"),"ú","u"),"ü","u"),"Solo formato","Conflicto")))</f>
        <v/>
      </c>
      <c r="K49">
        <f>IF(F49&lt;&gt;"En ambos","",IF(EXACT(C49,H49),"Igual",IF(LOWER(TRIM(C49))=LOWER(TRIM(H49)),"Solo formato","Conflicto")))</f>
        <v/>
      </c>
      <c r="L49">
        <f>IF(F49&lt;&gt;"En ambos","",IF(EXACT(D49,I49),"Igual",IF(LOWER(TRIM(D49))=LOWER(TRIM(I49)),"Solo formato","Conflicto")))</f>
        <v/>
      </c>
    </row>
    <row r="50">
      <c r="A50" s="4" t="n"/>
      <c r="B50" s="4" t="n"/>
      <c r="C50" s="4" t="n"/>
      <c r="D50" s="4" t="n"/>
      <c r="E50">
        <f>IF(B50="","",SUBSTITUTE(SUBSTITUTE(SUBSTITUTE(SUBSTITUTE(SUBSTITUTE(SUBSTITUTE(LOWER(TRIM(B50)),"á","a"),"é","e"),"í","i"),"ó","o"),"ú","u"),"ü","u"))</f>
        <v/>
      </c>
      <c r="F50">
        <f>IF(A50="","",IF(SUMPRODUCT(--EXACT(Lista_B!$A$4:$A$63,A50))&gt;0,"En ambos",IF(SUMPRODUCT(--EXACT(Lista_B!$A$4:$A$63,TEXT(VALUE(A50),"0")))&gt;0,"Posible cero perdido","Solo en A")))</f>
        <v/>
      </c>
      <c r="G50">
        <f>IF(F50&lt;&gt;"En ambos","",INDEX(Lista_B!$B$4:$B$63,MATCH(A50,Lista_B!$A$4:$A$63,0)))</f>
        <v/>
      </c>
      <c r="H50">
        <f>IF(F50&lt;&gt;"En ambos","",INDEX(Lista_B!$C$4:$C$63,MATCH(A50,Lista_B!$A$4:$A$63,0)))</f>
        <v/>
      </c>
      <c r="I50">
        <f>IF(F50&lt;&gt;"En ambos","",INDEX(Lista_B!$D$4:$D$63,MATCH(A50,Lista_B!$A$4:$A$63,0)))</f>
        <v/>
      </c>
      <c r="J50">
        <f>IF(F50&lt;&gt;"En ambos","",IF(EXACT(B50,G50),"Igual",IF(E50=SUBSTITUTE(SUBSTITUTE(SUBSTITUTE(SUBSTITUTE(SUBSTITUTE(SUBSTITUTE(LOWER(TRIM(G50)),"á","a"),"é","e"),"í","i"),"ó","o"),"ú","u"),"ü","u"),"Solo formato","Conflicto")))</f>
        <v/>
      </c>
      <c r="K50">
        <f>IF(F50&lt;&gt;"En ambos","",IF(EXACT(C50,H50),"Igual",IF(LOWER(TRIM(C50))=LOWER(TRIM(H50)),"Solo formato","Conflicto")))</f>
        <v/>
      </c>
      <c r="L50">
        <f>IF(F50&lt;&gt;"En ambos","",IF(EXACT(D50,I50),"Igual",IF(LOWER(TRIM(D50))=LOWER(TRIM(I50)),"Solo formato","Conflicto")))</f>
        <v/>
      </c>
    </row>
    <row r="51">
      <c r="A51" s="4" t="n"/>
      <c r="B51" s="4" t="n"/>
      <c r="C51" s="4" t="n"/>
      <c r="D51" s="4" t="n"/>
      <c r="E51">
        <f>IF(B51="","",SUBSTITUTE(SUBSTITUTE(SUBSTITUTE(SUBSTITUTE(SUBSTITUTE(SUBSTITUTE(LOWER(TRIM(B51)),"á","a"),"é","e"),"í","i"),"ó","o"),"ú","u"),"ü","u"))</f>
        <v/>
      </c>
      <c r="F51">
        <f>IF(A51="","",IF(SUMPRODUCT(--EXACT(Lista_B!$A$4:$A$63,A51))&gt;0,"En ambos",IF(SUMPRODUCT(--EXACT(Lista_B!$A$4:$A$63,TEXT(VALUE(A51),"0")))&gt;0,"Posible cero perdido","Solo en A")))</f>
        <v/>
      </c>
      <c r="G51">
        <f>IF(F51&lt;&gt;"En ambos","",INDEX(Lista_B!$B$4:$B$63,MATCH(A51,Lista_B!$A$4:$A$63,0)))</f>
        <v/>
      </c>
      <c r="H51">
        <f>IF(F51&lt;&gt;"En ambos","",INDEX(Lista_B!$C$4:$C$63,MATCH(A51,Lista_B!$A$4:$A$63,0)))</f>
        <v/>
      </c>
      <c r="I51">
        <f>IF(F51&lt;&gt;"En ambos","",INDEX(Lista_B!$D$4:$D$63,MATCH(A51,Lista_B!$A$4:$A$63,0)))</f>
        <v/>
      </c>
      <c r="J51">
        <f>IF(F51&lt;&gt;"En ambos","",IF(EXACT(B51,G51),"Igual",IF(E51=SUBSTITUTE(SUBSTITUTE(SUBSTITUTE(SUBSTITUTE(SUBSTITUTE(SUBSTITUTE(LOWER(TRIM(G51)),"á","a"),"é","e"),"í","i"),"ó","o"),"ú","u"),"ü","u"),"Solo formato","Conflicto")))</f>
        <v/>
      </c>
      <c r="K51">
        <f>IF(F51&lt;&gt;"En ambos","",IF(EXACT(C51,H51),"Igual",IF(LOWER(TRIM(C51))=LOWER(TRIM(H51)),"Solo formato","Conflicto")))</f>
        <v/>
      </c>
      <c r="L51">
        <f>IF(F51&lt;&gt;"En ambos","",IF(EXACT(D51,I51),"Igual",IF(LOWER(TRIM(D51))=LOWER(TRIM(I51)),"Solo formato","Conflicto")))</f>
        <v/>
      </c>
    </row>
    <row r="52">
      <c r="A52" s="4" t="n"/>
      <c r="B52" s="4" t="n"/>
      <c r="C52" s="4" t="n"/>
      <c r="D52" s="4" t="n"/>
      <c r="E52">
        <f>IF(B52="","",SUBSTITUTE(SUBSTITUTE(SUBSTITUTE(SUBSTITUTE(SUBSTITUTE(SUBSTITUTE(LOWER(TRIM(B52)),"á","a"),"é","e"),"í","i"),"ó","o"),"ú","u"),"ü","u"))</f>
        <v/>
      </c>
      <c r="F52">
        <f>IF(A52="","",IF(SUMPRODUCT(--EXACT(Lista_B!$A$4:$A$63,A52))&gt;0,"En ambos",IF(SUMPRODUCT(--EXACT(Lista_B!$A$4:$A$63,TEXT(VALUE(A52),"0")))&gt;0,"Posible cero perdido","Solo en A")))</f>
        <v/>
      </c>
      <c r="G52">
        <f>IF(F52&lt;&gt;"En ambos","",INDEX(Lista_B!$B$4:$B$63,MATCH(A52,Lista_B!$A$4:$A$63,0)))</f>
        <v/>
      </c>
      <c r="H52">
        <f>IF(F52&lt;&gt;"En ambos","",INDEX(Lista_B!$C$4:$C$63,MATCH(A52,Lista_B!$A$4:$A$63,0)))</f>
        <v/>
      </c>
      <c r="I52">
        <f>IF(F52&lt;&gt;"En ambos","",INDEX(Lista_B!$D$4:$D$63,MATCH(A52,Lista_B!$A$4:$A$63,0)))</f>
        <v/>
      </c>
      <c r="J52">
        <f>IF(F52&lt;&gt;"En ambos","",IF(EXACT(B52,G52),"Igual",IF(E52=SUBSTITUTE(SUBSTITUTE(SUBSTITUTE(SUBSTITUTE(SUBSTITUTE(SUBSTITUTE(LOWER(TRIM(G52)),"á","a"),"é","e"),"í","i"),"ó","o"),"ú","u"),"ü","u"),"Solo formato","Conflicto")))</f>
        <v/>
      </c>
      <c r="K52">
        <f>IF(F52&lt;&gt;"En ambos","",IF(EXACT(C52,H52),"Igual",IF(LOWER(TRIM(C52))=LOWER(TRIM(H52)),"Solo formato","Conflicto")))</f>
        <v/>
      </c>
      <c r="L52">
        <f>IF(F52&lt;&gt;"En ambos","",IF(EXACT(D52,I52),"Igual",IF(LOWER(TRIM(D52))=LOWER(TRIM(I52)),"Solo formato","Conflicto")))</f>
        <v/>
      </c>
    </row>
    <row r="53">
      <c r="A53" s="4" t="n"/>
      <c r="B53" s="4" t="n"/>
      <c r="C53" s="4" t="n"/>
      <c r="D53" s="4" t="n"/>
      <c r="E53">
        <f>IF(B53="","",SUBSTITUTE(SUBSTITUTE(SUBSTITUTE(SUBSTITUTE(SUBSTITUTE(SUBSTITUTE(LOWER(TRIM(B53)),"á","a"),"é","e"),"í","i"),"ó","o"),"ú","u"),"ü","u"))</f>
        <v/>
      </c>
      <c r="F53">
        <f>IF(A53="","",IF(SUMPRODUCT(--EXACT(Lista_B!$A$4:$A$63,A53))&gt;0,"En ambos",IF(SUMPRODUCT(--EXACT(Lista_B!$A$4:$A$63,TEXT(VALUE(A53),"0")))&gt;0,"Posible cero perdido","Solo en A")))</f>
        <v/>
      </c>
      <c r="G53">
        <f>IF(F53&lt;&gt;"En ambos","",INDEX(Lista_B!$B$4:$B$63,MATCH(A53,Lista_B!$A$4:$A$63,0)))</f>
        <v/>
      </c>
      <c r="H53">
        <f>IF(F53&lt;&gt;"En ambos","",INDEX(Lista_B!$C$4:$C$63,MATCH(A53,Lista_B!$A$4:$A$63,0)))</f>
        <v/>
      </c>
      <c r="I53">
        <f>IF(F53&lt;&gt;"En ambos","",INDEX(Lista_B!$D$4:$D$63,MATCH(A53,Lista_B!$A$4:$A$63,0)))</f>
        <v/>
      </c>
      <c r="J53">
        <f>IF(F53&lt;&gt;"En ambos","",IF(EXACT(B53,G53),"Igual",IF(E53=SUBSTITUTE(SUBSTITUTE(SUBSTITUTE(SUBSTITUTE(SUBSTITUTE(SUBSTITUTE(LOWER(TRIM(G53)),"á","a"),"é","e"),"í","i"),"ó","o"),"ú","u"),"ü","u"),"Solo formato","Conflicto")))</f>
        <v/>
      </c>
      <c r="K53">
        <f>IF(F53&lt;&gt;"En ambos","",IF(EXACT(C53,H53),"Igual",IF(LOWER(TRIM(C53))=LOWER(TRIM(H53)),"Solo formato","Conflicto")))</f>
        <v/>
      </c>
      <c r="L53">
        <f>IF(F53&lt;&gt;"En ambos","",IF(EXACT(D53,I53),"Igual",IF(LOWER(TRIM(D53))=LOWER(TRIM(I53)),"Solo formato","Conflicto")))</f>
        <v/>
      </c>
    </row>
    <row r="54">
      <c r="A54" s="4" t="n"/>
      <c r="B54" s="4" t="n"/>
      <c r="C54" s="4" t="n"/>
      <c r="D54" s="4" t="n"/>
      <c r="E54">
        <f>IF(B54="","",SUBSTITUTE(SUBSTITUTE(SUBSTITUTE(SUBSTITUTE(SUBSTITUTE(SUBSTITUTE(LOWER(TRIM(B54)),"á","a"),"é","e"),"í","i"),"ó","o"),"ú","u"),"ü","u"))</f>
        <v/>
      </c>
      <c r="F54">
        <f>IF(A54="","",IF(SUMPRODUCT(--EXACT(Lista_B!$A$4:$A$63,A54))&gt;0,"En ambos",IF(SUMPRODUCT(--EXACT(Lista_B!$A$4:$A$63,TEXT(VALUE(A54),"0")))&gt;0,"Posible cero perdido","Solo en A")))</f>
        <v/>
      </c>
      <c r="G54">
        <f>IF(F54&lt;&gt;"En ambos","",INDEX(Lista_B!$B$4:$B$63,MATCH(A54,Lista_B!$A$4:$A$63,0)))</f>
        <v/>
      </c>
      <c r="H54">
        <f>IF(F54&lt;&gt;"En ambos","",INDEX(Lista_B!$C$4:$C$63,MATCH(A54,Lista_B!$A$4:$A$63,0)))</f>
        <v/>
      </c>
      <c r="I54">
        <f>IF(F54&lt;&gt;"En ambos","",INDEX(Lista_B!$D$4:$D$63,MATCH(A54,Lista_B!$A$4:$A$63,0)))</f>
        <v/>
      </c>
      <c r="J54">
        <f>IF(F54&lt;&gt;"En ambos","",IF(EXACT(B54,G54),"Igual",IF(E54=SUBSTITUTE(SUBSTITUTE(SUBSTITUTE(SUBSTITUTE(SUBSTITUTE(SUBSTITUTE(LOWER(TRIM(G54)),"á","a"),"é","e"),"í","i"),"ó","o"),"ú","u"),"ü","u"),"Solo formato","Conflicto")))</f>
        <v/>
      </c>
      <c r="K54">
        <f>IF(F54&lt;&gt;"En ambos","",IF(EXACT(C54,H54),"Igual",IF(LOWER(TRIM(C54))=LOWER(TRIM(H54)),"Solo formato","Conflicto")))</f>
        <v/>
      </c>
      <c r="L54">
        <f>IF(F54&lt;&gt;"En ambos","",IF(EXACT(D54,I54),"Igual",IF(LOWER(TRIM(D54))=LOWER(TRIM(I54)),"Solo formato","Conflicto")))</f>
        <v/>
      </c>
    </row>
    <row r="55">
      <c r="A55" s="4" t="n"/>
      <c r="B55" s="4" t="n"/>
      <c r="C55" s="4" t="n"/>
      <c r="D55" s="4" t="n"/>
      <c r="E55">
        <f>IF(B55="","",SUBSTITUTE(SUBSTITUTE(SUBSTITUTE(SUBSTITUTE(SUBSTITUTE(SUBSTITUTE(LOWER(TRIM(B55)),"á","a"),"é","e"),"í","i"),"ó","o"),"ú","u"),"ü","u"))</f>
        <v/>
      </c>
      <c r="F55">
        <f>IF(A55="","",IF(SUMPRODUCT(--EXACT(Lista_B!$A$4:$A$63,A55))&gt;0,"En ambos",IF(SUMPRODUCT(--EXACT(Lista_B!$A$4:$A$63,TEXT(VALUE(A55),"0")))&gt;0,"Posible cero perdido","Solo en A")))</f>
        <v/>
      </c>
      <c r="G55">
        <f>IF(F55&lt;&gt;"En ambos","",INDEX(Lista_B!$B$4:$B$63,MATCH(A55,Lista_B!$A$4:$A$63,0)))</f>
        <v/>
      </c>
      <c r="H55">
        <f>IF(F55&lt;&gt;"En ambos","",INDEX(Lista_B!$C$4:$C$63,MATCH(A55,Lista_B!$A$4:$A$63,0)))</f>
        <v/>
      </c>
      <c r="I55">
        <f>IF(F55&lt;&gt;"En ambos","",INDEX(Lista_B!$D$4:$D$63,MATCH(A55,Lista_B!$A$4:$A$63,0)))</f>
        <v/>
      </c>
      <c r="J55">
        <f>IF(F55&lt;&gt;"En ambos","",IF(EXACT(B55,G55),"Igual",IF(E55=SUBSTITUTE(SUBSTITUTE(SUBSTITUTE(SUBSTITUTE(SUBSTITUTE(SUBSTITUTE(LOWER(TRIM(G55)),"á","a"),"é","e"),"í","i"),"ó","o"),"ú","u"),"ü","u"),"Solo formato","Conflicto")))</f>
        <v/>
      </c>
      <c r="K55">
        <f>IF(F55&lt;&gt;"En ambos","",IF(EXACT(C55,H55),"Igual",IF(LOWER(TRIM(C55))=LOWER(TRIM(H55)),"Solo formato","Conflicto")))</f>
        <v/>
      </c>
      <c r="L55">
        <f>IF(F55&lt;&gt;"En ambos","",IF(EXACT(D55,I55),"Igual",IF(LOWER(TRIM(D55))=LOWER(TRIM(I55)),"Solo formato","Conflicto")))</f>
        <v/>
      </c>
    </row>
    <row r="56">
      <c r="A56" s="4" t="n"/>
      <c r="B56" s="4" t="n"/>
      <c r="C56" s="4" t="n"/>
      <c r="D56" s="4" t="n"/>
      <c r="E56">
        <f>IF(B56="","",SUBSTITUTE(SUBSTITUTE(SUBSTITUTE(SUBSTITUTE(SUBSTITUTE(SUBSTITUTE(LOWER(TRIM(B56)),"á","a"),"é","e"),"í","i"),"ó","o"),"ú","u"),"ü","u"))</f>
        <v/>
      </c>
      <c r="F56">
        <f>IF(A56="","",IF(SUMPRODUCT(--EXACT(Lista_B!$A$4:$A$63,A56))&gt;0,"En ambos",IF(SUMPRODUCT(--EXACT(Lista_B!$A$4:$A$63,TEXT(VALUE(A56),"0")))&gt;0,"Posible cero perdido","Solo en A")))</f>
        <v/>
      </c>
      <c r="G56">
        <f>IF(F56&lt;&gt;"En ambos","",INDEX(Lista_B!$B$4:$B$63,MATCH(A56,Lista_B!$A$4:$A$63,0)))</f>
        <v/>
      </c>
      <c r="H56">
        <f>IF(F56&lt;&gt;"En ambos","",INDEX(Lista_B!$C$4:$C$63,MATCH(A56,Lista_B!$A$4:$A$63,0)))</f>
        <v/>
      </c>
      <c r="I56">
        <f>IF(F56&lt;&gt;"En ambos","",INDEX(Lista_B!$D$4:$D$63,MATCH(A56,Lista_B!$A$4:$A$63,0)))</f>
        <v/>
      </c>
      <c r="J56">
        <f>IF(F56&lt;&gt;"En ambos","",IF(EXACT(B56,G56),"Igual",IF(E56=SUBSTITUTE(SUBSTITUTE(SUBSTITUTE(SUBSTITUTE(SUBSTITUTE(SUBSTITUTE(LOWER(TRIM(G56)),"á","a"),"é","e"),"í","i"),"ó","o"),"ú","u"),"ü","u"),"Solo formato","Conflicto")))</f>
        <v/>
      </c>
      <c r="K56">
        <f>IF(F56&lt;&gt;"En ambos","",IF(EXACT(C56,H56),"Igual",IF(LOWER(TRIM(C56))=LOWER(TRIM(H56)),"Solo formato","Conflicto")))</f>
        <v/>
      </c>
      <c r="L56">
        <f>IF(F56&lt;&gt;"En ambos","",IF(EXACT(D56,I56),"Igual",IF(LOWER(TRIM(D56))=LOWER(TRIM(I56)),"Solo formato","Conflicto")))</f>
        <v/>
      </c>
    </row>
    <row r="57">
      <c r="A57" s="4" t="n"/>
      <c r="B57" s="4" t="n"/>
      <c r="C57" s="4" t="n"/>
      <c r="D57" s="4" t="n"/>
      <c r="E57">
        <f>IF(B57="","",SUBSTITUTE(SUBSTITUTE(SUBSTITUTE(SUBSTITUTE(SUBSTITUTE(SUBSTITUTE(LOWER(TRIM(B57)),"á","a"),"é","e"),"í","i"),"ó","o"),"ú","u"),"ü","u"))</f>
        <v/>
      </c>
      <c r="F57">
        <f>IF(A57="","",IF(SUMPRODUCT(--EXACT(Lista_B!$A$4:$A$63,A57))&gt;0,"En ambos",IF(SUMPRODUCT(--EXACT(Lista_B!$A$4:$A$63,TEXT(VALUE(A57),"0")))&gt;0,"Posible cero perdido","Solo en A")))</f>
        <v/>
      </c>
      <c r="G57">
        <f>IF(F57&lt;&gt;"En ambos","",INDEX(Lista_B!$B$4:$B$63,MATCH(A57,Lista_B!$A$4:$A$63,0)))</f>
        <v/>
      </c>
      <c r="H57">
        <f>IF(F57&lt;&gt;"En ambos","",INDEX(Lista_B!$C$4:$C$63,MATCH(A57,Lista_B!$A$4:$A$63,0)))</f>
        <v/>
      </c>
      <c r="I57">
        <f>IF(F57&lt;&gt;"En ambos","",INDEX(Lista_B!$D$4:$D$63,MATCH(A57,Lista_B!$A$4:$A$63,0)))</f>
        <v/>
      </c>
      <c r="J57">
        <f>IF(F57&lt;&gt;"En ambos","",IF(EXACT(B57,G57),"Igual",IF(E57=SUBSTITUTE(SUBSTITUTE(SUBSTITUTE(SUBSTITUTE(SUBSTITUTE(SUBSTITUTE(LOWER(TRIM(G57)),"á","a"),"é","e"),"í","i"),"ó","o"),"ú","u"),"ü","u"),"Solo formato","Conflicto")))</f>
        <v/>
      </c>
      <c r="K57">
        <f>IF(F57&lt;&gt;"En ambos","",IF(EXACT(C57,H57),"Igual",IF(LOWER(TRIM(C57))=LOWER(TRIM(H57)),"Solo formato","Conflicto")))</f>
        <v/>
      </c>
      <c r="L57">
        <f>IF(F57&lt;&gt;"En ambos","",IF(EXACT(D57,I57),"Igual",IF(LOWER(TRIM(D57))=LOWER(TRIM(I57)),"Solo formato","Conflicto")))</f>
        <v/>
      </c>
    </row>
    <row r="58">
      <c r="A58" s="4" t="n"/>
      <c r="B58" s="4" t="n"/>
      <c r="C58" s="4" t="n"/>
      <c r="D58" s="4" t="n"/>
      <c r="E58">
        <f>IF(B58="","",SUBSTITUTE(SUBSTITUTE(SUBSTITUTE(SUBSTITUTE(SUBSTITUTE(SUBSTITUTE(LOWER(TRIM(B58)),"á","a"),"é","e"),"í","i"),"ó","o"),"ú","u"),"ü","u"))</f>
        <v/>
      </c>
      <c r="F58">
        <f>IF(A58="","",IF(SUMPRODUCT(--EXACT(Lista_B!$A$4:$A$63,A58))&gt;0,"En ambos",IF(SUMPRODUCT(--EXACT(Lista_B!$A$4:$A$63,TEXT(VALUE(A58),"0")))&gt;0,"Posible cero perdido","Solo en A")))</f>
        <v/>
      </c>
      <c r="G58">
        <f>IF(F58&lt;&gt;"En ambos","",INDEX(Lista_B!$B$4:$B$63,MATCH(A58,Lista_B!$A$4:$A$63,0)))</f>
        <v/>
      </c>
      <c r="H58">
        <f>IF(F58&lt;&gt;"En ambos","",INDEX(Lista_B!$C$4:$C$63,MATCH(A58,Lista_B!$A$4:$A$63,0)))</f>
        <v/>
      </c>
      <c r="I58">
        <f>IF(F58&lt;&gt;"En ambos","",INDEX(Lista_B!$D$4:$D$63,MATCH(A58,Lista_B!$A$4:$A$63,0)))</f>
        <v/>
      </c>
      <c r="J58">
        <f>IF(F58&lt;&gt;"En ambos","",IF(EXACT(B58,G58),"Igual",IF(E58=SUBSTITUTE(SUBSTITUTE(SUBSTITUTE(SUBSTITUTE(SUBSTITUTE(SUBSTITUTE(LOWER(TRIM(G58)),"á","a"),"é","e"),"í","i"),"ó","o"),"ú","u"),"ü","u"),"Solo formato","Conflicto")))</f>
        <v/>
      </c>
      <c r="K58">
        <f>IF(F58&lt;&gt;"En ambos","",IF(EXACT(C58,H58),"Igual",IF(LOWER(TRIM(C58))=LOWER(TRIM(H58)),"Solo formato","Conflicto")))</f>
        <v/>
      </c>
      <c r="L58">
        <f>IF(F58&lt;&gt;"En ambos","",IF(EXACT(D58,I58),"Igual",IF(LOWER(TRIM(D58))=LOWER(TRIM(I58)),"Solo formato","Conflicto")))</f>
        <v/>
      </c>
    </row>
    <row r="59">
      <c r="A59" s="4" t="n"/>
      <c r="B59" s="4" t="n"/>
      <c r="C59" s="4" t="n"/>
      <c r="D59" s="4" t="n"/>
      <c r="E59">
        <f>IF(B59="","",SUBSTITUTE(SUBSTITUTE(SUBSTITUTE(SUBSTITUTE(SUBSTITUTE(SUBSTITUTE(LOWER(TRIM(B59)),"á","a"),"é","e"),"í","i"),"ó","o"),"ú","u"),"ü","u"))</f>
        <v/>
      </c>
      <c r="F59">
        <f>IF(A59="","",IF(SUMPRODUCT(--EXACT(Lista_B!$A$4:$A$63,A59))&gt;0,"En ambos",IF(SUMPRODUCT(--EXACT(Lista_B!$A$4:$A$63,TEXT(VALUE(A59),"0")))&gt;0,"Posible cero perdido","Solo en A")))</f>
        <v/>
      </c>
      <c r="G59">
        <f>IF(F59&lt;&gt;"En ambos","",INDEX(Lista_B!$B$4:$B$63,MATCH(A59,Lista_B!$A$4:$A$63,0)))</f>
        <v/>
      </c>
      <c r="H59">
        <f>IF(F59&lt;&gt;"En ambos","",INDEX(Lista_B!$C$4:$C$63,MATCH(A59,Lista_B!$A$4:$A$63,0)))</f>
        <v/>
      </c>
      <c r="I59">
        <f>IF(F59&lt;&gt;"En ambos","",INDEX(Lista_B!$D$4:$D$63,MATCH(A59,Lista_B!$A$4:$A$63,0)))</f>
        <v/>
      </c>
      <c r="J59">
        <f>IF(F59&lt;&gt;"En ambos","",IF(EXACT(B59,G59),"Igual",IF(E59=SUBSTITUTE(SUBSTITUTE(SUBSTITUTE(SUBSTITUTE(SUBSTITUTE(SUBSTITUTE(LOWER(TRIM(G59)),"á","a"),"é","e"),"í","i"),"ó","o"),"ú","u"),"ü","u"),"Solo formato","Conflicto")))</f>
        <v/>
      </c>
      <c r="K59">
        <f>IF(F59&lt;&gt;"En ambos","",IF(EXACT(C59,H59),"Igual",IF(LOWER(TRIM(C59))=LOWER(TRIM(H59)),"Solo formato","Conflicto")))</f>
        <v/>
      </c>
      <c r="L59">
        <f>IF(F59&lt;&gt;"En ambos","",IF(EXACT(D59,I59),"Igual",IF(LOWER(TRIM(D59))=LOWER(TRIM(I59)),"Solo formato","Conflicto")))</f>
        <v/>
      </c>
    </row>
    <row r="60">
      <c r="A60" s="4" t="n"/>
      <c r="B60" s="4" t="n"/>
      <c r="C60" s="4" t="n"/>
      <c r="D60" s="4" t="n"/>
      <c r="E60">
        <f>IF(B60="","",SUBSTITUTE(SUBSTITUTE(SUBSTITUTE(SUBSTITUTE(SUBSTITUTE(SUBSTITUTE(LOWER(TRIM(B60)),"á","a"),"é","e"),"í","i"),"ó","o"),"ú","u"),"ü","u"))</f>
        <v/>
      </c>
      <c r="F60">
        <f>IF(A60="","",IF(SUMPRODUCT(--EXACT(Lista_B!$A$4:$A$63,A60))&gt;0,"En ambos",IF(SUMPRODUCT(--EXACT(Lista_B!$A$4:$A$63,TEXT(VALUE(A60),"0")))&gt;0,"Posible cero perdido","Solo en A")))</f>
        <v/>
      </c>
      <c r="G60">
        <f>IF(F60&lt;&gt;"En ambos","",INDEX(Lista_B!$B$4:$B$63,MATCH(A60,Lista_B!$A$4:$A$63,0)))</f>
        <v/>
      </c>
      <c r="H60">
        <f>IF(F60&lt;&gt;"En ambos","",INDEX(Lista_B!$C$4:$C$63,MATCH(A60,Lista_B!$A$4:$A$63,0)))</f>
        <v/>
      </c>
      <c r="I60">
        <f>IF(F60&lt;&gt;"En ambos","",INDEX(Lista_B!$D$4:$D$63,MATCH(A60,Lista_B!$A$4:$A$63,0)))</f>
        <v/>
      </c>
      <c r="J60">
        <f>IF(F60&lt;&gt;"En ambos","",IF(EXACT(B60,G60),"Igual",IF(E60=SUBSTITUTE(SUBSTITUTE(SUBSTITUTE(SUBSTITUTE(SUBSTITUTE(SUBSTITUTE(LOWER(TRIM(G60)),"á","a"),"é","e"),"í","i"),"ó","o"),"ú","u"),"ü","u"),"Solo formato","Conflicto")))</f>
        <v/>
      </c>
      <c r="K60">
        <f>IF(F60&lt;&gt;"En ambos","",IF(EXACT(C60,H60),"Igual",IF(LOWER(TRIM(C60))=LOWER(TRIM(H60)),"Solo formato","Conflicto")))</f>
        <v/>
      </c>
      <c r="L60">
        <f>IF(F60&lt;&gt;"En ambos","",IF(EXACT(D60,I60),"Igual",IF(LOWER(TRIM(D60))=LOWER(TRIM(I60)),"Solo formato","Conflicto")))</f>
        <v/>
      </c>
    </row>
    <row r="61">
      <c r="A61" s="4" t="n"/>
      <c r="B61" s="4" t="n"/>
      <c r="C61" s="4" t="n"/>
      <c r="D61" s="4" t="n"/>
      <c r="E61">
        <f>IF(B61="","",SUBSTITUTE(SUBSTITUTE(SUBSTITUTE(SUBSTITUTE(SUBSTITUTE(SUBSTITUTE(LOWER(TRIM(B61)),"á","a"),"é","e"),"í","i"),"ó","o"),"ú","u"),"ü","u"))</f>
        <v/>
      </c>
      <c r="F61">
        <f>IF(A61="","",IF(SUMPRODUCT(--EXACT(Lista_B!$A$4:$A$63,A61))&gt;0,"En ambos",IF(SUMPRODUCT(--EXACT(Lista_B!$A$4:$A$63,TEXT(VALUE(A61),"0")))&gt;0,"Posible cero perdido","Solo en A")))</f>
        <v/>
      </c>
      <c r="G61">
        <f>IF(F61&lt;&gt;"En ambos","",INDEX(Lista_B!$B$4:$B$63,MATCH(A61,Lista_B!$A$4:$A$63,0)))</f>
        <v/>
      </c>
      <c r="H61">
        <f>IF(F61&lt;&gt;"En ambos","",INDEX(Lista_B!$C$4:$C$63,MATCH(A61,Lista_B!$A$4:$A$63,0)))</f>
        <v/>
      </c>
      <c r="I61">
        <f>IF(F61&lt;&gt;"En ambos","",INDEX(Lista_B!$D$4:$D$63,MATCH(A61,Lista_B!$A$4:$A$63,0)))</f>
        <v/>
      </c>
      <c r="J61">
        <f>IF(F61&lt;&gt;"En ambos","",IF(EXACT(B61,G61),"Igual",IF(E61=SUBSTITUTE(SUBSTITUTE(SUBSTITUTE(SUBSTITUTE(SUBSTITUTE(SUBSTITUTE(LOWER(TRIM(G61)),"á","a"),"é","e"),"í","i"),"ó","o"),"ú","u"),"ü","u"),"Solo formato","Conflicto")))</f>
        <v/>
      </c>
      <c r="K61">
        <f>IF(F61&lt;&gt;"En ambos","",IF(EXACT(C61,H61),"Igual",IF(LOWER(TRIM(C61))=LOWER(TRIM(H61)),"Solo formato","Conflicto")))</f>
        <v/>
      </c>
      <c r="L61">
        <f>IF(F61&lt;&gt;"En ambos","",IF(EXACT(D61,I61),"Igual",IF(LOWER(TRIM(D61))=LOWER(TRIM(I61)),"Solo formato","Conflicto")))</f>
        <v/>
      </c>
    </row>
    <row r="62">
      <c r="A62" s="4" t="n"/>
      <c r="B62" s="4" t="n"/>
      <c r="C62" s="4" t="n"/>
      <c r="D62" s="4" t="n"/>
      <c r="E62">
        <f>IF(B62="","",SUBSTITUTE(SUBSTITUTE(SUBSTITUTE(SUBSTITUTE(SUBSTITUTE(SUBSTITUTE(LOWER(TRIM(B62)),"á","a"),"é","e"),"í","i"),"ó","o"),"ú","u"),"ü","u"))</f>
        <v/>
      </c>
      <c r="F62">
        <f>IF(A62="","",IF(SUMPRODUCT(--EXACT(Lista_B!$A$4:$A$63,A62))&gt;0,"En ambos",IF(SUMPRODUCT(--EXACT(Lista_B!$A$4:$A$63,TEXT(VALUE(A62),"0")))&gt;0,"Posible cero perdido","Solo en A")))</f>
        <v/>
      </c>
      <c r="G62">
        <f>IF(F62&lt;&gt;"En ambos","",INDEX(Lista_B!$B$4:$B$63,MATCH(A62,Lista_B!$A$4:$A$63,0)))</f>
        <v/>
      </c>
      <c r="H62">
        <f>IF(F62&lt;&gt;"En ambos","",INDEX(Lista_B!$C$4:$C$63,MATCH(A62,Lista_B!$A$4:$A$63,0)))</f>
        <v/>
      </c>
      <c r="I62">
        <f>IF(F62&lt;&gt;"En ambos","",INDEX(Lista_B!$D$4:$D$63,MATCH(A62,Lista_B!$A$4:$A$63,0)))</f>
        <v/>
      </c>
      <c r="J62">
        <f>IF(F62&lt;&gt;"En ambos","",IF(EXACT(B62,G62),"Igual",IF(E62=SUBSTITUTE(SUBSTITUTE(SUBSTITUTE(SUBSTITUTE(SUBSTITUTE(SUBSTITUTE(LOWER(TRIM(G62)),"á","a"),"é","e"),"í","i"),"ó","o"),"ú","u"),"ü","u"),"Solo formato","Conflicto")))</f>
        <v/>
      </c>
      <c r="K62">
        <f>IF(F62&lt;&gt;"En ambos","",IF(EXACT(C62,H62),"Igual",IF(LOWER(TRIM(C62))=LOWER(TRIM(H62)),"Solo formato","Conflicto")))</f>
        <v/>
      </c>
      <c r="L62">
        <f>IF(F62&lt;&gt;"En ambos","",IF(EXACT(D62,I62),"Igual",IF(LOWER(TRIM(D62))=LOWER(TRIM(I62)),"Solo formato","Conflicto")))</f>
        <v/>
      </c>
    </row>
    <row r="63">
      <c r="A63" s="4" t="n"/>
      <c r="B63" s="4" t="n"/>
      <c r="C63" s="4" t="n"/>
      <c r="D63" s="4" t="n"/>
      <c r="E63">
        <f>IF(B63="","",SUBSTITUTE(SUBSTITUTE(SUBSTITUTE(SUBSTITUTE(SUBSTITUTE(SUBSTITUTE(LOWER(TRIM(B63)),"á","a"),"é","e"),"í","i"),"ó","o"),"ú","u"),"ü","u"))</f>
        <v/>
      </c>
      <c r="F63">
        <f>IF(A63="","",IF(SUMPRODUCT(--EXACT(Lista_B!$A$4:$A$63,A63))&gt;0,"En ambos",IF(SUMPRODUCT(--EXACT(Lista_B!$A$4:$A$63,TEXT(VALUE(A63),"0")))&gt;0,"Posible cero perdido","Solo en A")))</f>
        <v/>
      </c>
      <c r="G63">
        <f>IF(F63&lt;&gt;"En ambos","",INDEX(Lista_B!$B$4:$B$63,MATCH(A63,Lista_B!$A$4:$A$63,0)))</f>
        <v/>
      </c>
      <c r="H63">
        <f>IF(F63&lt;&gt;"En ambos","",INDEX(Lista_B!$C$4:$C$63,MATCH(A63,Lista_B!$A$4:$A$63,0)))</f>
        <v/>
      </c>
      <c r="I63">
        <f>IF(F63&lt;&gt;"En ambos","",INDEX(Lista_B!$D$4:$D$63,MATCH(A63,Lista_B!$A$4:$A$63,0)))</f>
        <v/>
      </c>
      <c r="J63">
        <f>IF(F63&lt;&gt;"En ambos","",IF(EXACT(B63,G63),"Igual",IF(E63=SUBSTITUTE(SUBSTITUTE(SUBSTITUTE(SUBSTITUTE(SUBSTITUTE(SUBSTITUTE(LOWER(TRIM(G63)),"á","a"),"é","e"),"í","i"),"ó","o"),"ú","u"),"ü","u"),"Solo formato","Conflicto")))</f>
        <v/>
      </c>
      <c r="K63">
        <f>IF(F63&lt;&gt;"En ambos","",IF(EXACT(C63,H63),"Igual",IF(LOWER(TRIM(C63))=LOWER(TRIM(H63)),"Solo formato","Conflicto")))</f>
        <v/>
      </c>
      <c r="L63">
        <f>IF(F63&lt;&gt;"En ambos","",IF(EXACT(D63,I63),"Igual",IF(LOWER(TRIM(D63))=LOWER(TRIM(I63)),"Solo formato","Conflicto")))</f>
        <v/>
      </c>
    </row>
  </sheetData>
  <conditionalFormatting sqref="F4:F63">
    <cfRule type="expression" priority="1" dxfId="0">
      <formula>OR(F4="Conflicto",F4="Solo en A",F4="Posible cero perdido")</formula>
    </cfRule>
  </conditionalFormatting>
  <conditionalFormatting sqref="J4:L63">
    <cfRule type="expression" priority="2" dxfId="0">
      <formula>OR(J4="Conflicto",J4="Solo en A",J4="Posible cero perdido")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4" customWidth="1" min="3" max="3"/>
    <col width="8" customWidth="1" min="4" max="4"/>
    <col width="20" customWidth="1" min="5" max="5"/>
  </cols>
  <sheetData>
    <row r="1">
      <c r="A1" s="2" t="inlineStr">
        <is>
          <t>LISTA B: AULA VIRTUAL (ejemplo ficticio)</t>
        </is>
      </c>
    </row>
    <row r="3">
      <c r="A3" s="3" t="inlineStr">
        <is>
          <t>Código</t>
        </is>
      </c>
      <c r="B3" s="3" t="inlineStr">
        <is>
          <t>Nombre</t>
        </is>
      </c>
      <c r="C3" s="3" t="inlineStr">
        <is>
          <t>Correo</t>
        </is>
      </c>
      <c r="D3" s="3" t="inlineStr">
        <is>
          <t>Curso</t>
        </is>
      </c>
      <c r="E3" s="3" t="inlineStr">
        <is>
          <t>Estado de la llave</t>
        </is>
      </c>
    </row>
    <row r="4">
      <c r="A4" s="4" t="inlineStr">
        <is>
          <t>0001</t>
        </is>
      </c>
      <c r="B4" s="4" t="inlineStr">
        <is>
          <t>MARIA PEREZ</t>
        </is>
      </c>
      <c r="C4" s="4" t="inlineStr">
        <is>
          <t>maria.perez@colegio.example</t>
        </is>
      </c>
      <c r="D4" s="4" t="inlineStr">
        <is>
          <t>7A</t>
        </is>
      </c>
      <c r="E4">
        <f>IF(A4="","",IF(SUMPRODUCT(--EXACT(Lista_A!$A$4:$A$63,A4))&gt;0,"En ambos",IF(SUMPRODUCT(--EXACT(Lista_A!$A$4:$A$63,TEXT(VALUE(A4),"0000")))&gt;0,"Posible cero perdido","Solo en B")))</f>
        <v/>
      </c>
    </row>
    <row r="5">
      <c r="A5" s="4" t="inlineStr">
        <is>
          <t>0002</t>
        </is>
      </c>
      <c r="B5" s="4" t="inlineStr">
        <is>
          <t>Jose  Diaz</t>
        </is>
      </c>
      <c r="C5" s="4" t="inlineStr">
        <is>
          <t>jose.diaz@colegio.example</t>
        </is>
      </c>
      <c r="D5" s="4" t="inlineStr">
        <is>
          <t>7B</t>
        </is>
      </c>
      <c r="E5">
        <f>IF(A5="","",IF(SUMPRODUCT(--EXACT(Lista_A!$A$4:$A$63,A5))&gt;0,"En ambos",IF(SUMPRODUCT(--EXACT(Lista_A!$A$4:$A$63,TEXT(VALUE(A5),"0000")))&gt;0,"Posible cero perdido","Solo en B")))</f>
        <v/>
      </c>
    </row>
    <row r="6">
      <c r="A6" s="4" t="inlineStr">
        <is>
          <t>0003</t>
        </is>
      </c>
      <c r="B6" s="4" t="inlineStr">
        <is>
          <t>ÁNGEL Ruiz</t>
        </is>
      </c>
      <c r="C6" s="4" t="inlineStr">
        <is>
          <t>angel.ruiz@colegio.example</t>
        </is>
      </c>
      <c r="D6" s="4" t="inlineStr">
        <is>
          <t>8A</t>
        </is>
      </c>
      <c r="E6">
        <f>IF(A6="","",IF(SUMPRODUCT(--EXACT(Lista_A!$A$4:$A$63,A6))&gt;0,"En ambos",IF(SUMPRODUCT(--EXACT(Lista_A!$A$4:$A$63,TEXT(VALUE(A6),"0000")))&gt;0,"Posible cero perdido","Solo en B")))</f>
        <v/>
      </c>
    </row>
    <row r="7">
      <c r="A7" s="4" t="inlineStr">
        <is>
          <t>0004</t>
        </is>
      </c>
      <c r="B7" s="4" t="inlineStr">
        <is>
          <t>Andrea Gómez Ruiz</t>
        </is>
      </c>
      <c r="C7" s="4" t="inlineStr">
        <is>
          <t>andrea.gomez@colegio.example</t>
        </is>
      </c>
      <c r="D7" s="4" t="inlineStr">
        <is>
          <t>7A</t>
        </is>
      </c>
      <c r="E7">
        <f>IF(A7="","",IF(SUMPRODUCT(--EXACT(Lista_A!$A$4:$A$63,A7))&gt;0,"En ambos",IF(SUMPRODUCT(--EXACT(Lista_A!$A$4:$A$63,TEXT(VALUE(A7),"0000")))&gt;0,"Posible cero perdido","Solo en B")))</f>
        <v/>
      </c>
    </row>
    <row r="8">
      <c r="A8" s="4" t="inlineStr">
        <is>
          <t>0005</t>
        </is>
      </c>
      <c r="B8" s="4" t="inlineStr">
        <is>
          <t>Camilo Torrez</t>
        </is>
      </c>
      <c r="C8" s="4" t="inlineStr">
        <is>
          <t>camilo.torres@colegio.example</t>
        </is>
      </c>
      <c r="D8" s="4" t="inlineStr">
        <is>
          <t>7B</t>
        </is>
      </c>
      <c r="E8">
        <f>IF(A8="","",IF(SUMPRODUCT(--EXACT(Lista_A!$A$4:$A$63,A8))&gt;0,"En ambos",IF(SUMPRODUCT(--EXACT(Lista_A!$A$4:$A$63,TEXT(VALUE(A8),"0000")))&gt;0,"Posible cero perdido","Solo en B")))</f>
        <v/>
      </c>
    </row>
    <row r="9">
      <c r="A9" s="4" t="inlineStr">
        <is>
          <t>0006</t>
        </is>
      </c>
      <c r="B9" s="4" t="inlineStr">
        <is>
          <t>Lucía Mora</t>
        </is>
      </c>
      <c r="C9" s="4" t="inlineStr">
        <is>
          <t>lucia.mora@colegio.example.com</t>
        </is>
      </c>
      <c r="D9" s="4" t="inlineStr">
        <is>
          <t>8A</t>
        </is>
      </c>
      <c r="E9">
        <f>IF(A9="","",IF(SUMPRODUCT(--EXACT(Lista_A!$A$4:$A$63,A9))&gt;0,"En ambos",IF(SUMPRODUCT(--EXACT(Lista_A!$A$4:$A$63,TEXT(VALUE(A9),"0000")))&gt;0,"Posible cero perdido","Solo en B")))</f>
        <v/>
      </c>
    </row>
    <row r="10">
      <c r="A10" s="4" t="inlineStr">
        <is>
          <t>0007</t>
        </is>
      </c>
      <c r="B10" s="4" t="inlineStr">
        <is>
          <t>Santiago Vega</t>
        </is>
      </c>
      <c r="C10" s="4" t="inlineStr">
        <is>
          <t>santiago.vega@colegio.exmaple</t>
        </is>
      </c>
      <c r="D10" s="4" t="inlineStr">
        <is>
          <t>7A</t>
        </is>
      </c>
      <c r="E10">
        <f>IF(A10="","",IF(SUMPRODUCT(--EXACT(Lista_A!$A$4:$A$63,A10))&gt;0,"En ambos",IF(SUMPRODUCT(--EXACT(Lista_A!$A$4:$A$63,TEXT(VALUE(A10),"0000")))&gt;0,"Posible cero perdido","Solo en B")))</f>
        <v/>
      </c>
    </row>
    <row r="11">
      <c r="A11" s="4" t="inlineStr">
        <is>
          <t>0008</t>
        </is>
      </c>
      <c r="B11" s="4" t="inlineStr">
        <is>
          <t>Valentina Rojas</t>
        </is>
      </c>
      <c r="C11" s="4" t="inlineStr">
        <is>
          <t>valentina.rojas@colegio.example</t>
        </is>
      </c>
      <c r="D11" s="4" t="inlineStr">
        <is>
          <t>8A</t>
        </is>
      </c>
      <c r="E11">
        <f>IF(A11="","",IF(SUMPRODUCT(--EXACT(Lista_A!$A$4:$A$63,A11))&gt;0,"En ambos",IF(SUMPRODUCT(--EXACT(Lista_A!$A$4:$A$63,TEXT(VALUE(A11),"0000")))&gt;0,"Posible cero perdido","Solo en B")))</f>
        <v/>
      </c>
    </row>
    <row r="12">
      <c r="A12" s="4" t="inlineStr">
        <is>
          <t>0009</t>
        </is>
      </c>
      <c r="B12" s="4" t="inlineStr">
        <is>
          <t>Mateo Cruz</t>
        </is>
      </c>
      <c r="C12" s="4" t="inlineStr">
        <is>
          <t>mateo.cruz@colegio.example</t>
        </is>
      </c>
      <c r="D12" s="4" t="inlineStr">
        <is>
          <t>8A</t>
        </is>
      </c>
      <c r="E12">
        <f>IF(A12="","",IF(SUMPRODUCT(--EXACT(Lista_A!$A$4:$A$63,A12))&gt;0,"En ambos",IF(SUMPRODUCT(--EXACT(Lista_A!$A$4:$A$63,TEXT(VALUE(A12),"0000")))&gt;0,"Posible cero perdido","Solo en B")))</f>
        <v/>
      </c>
    </row>
    <row r="13">
      <c r="A13" s="4" t="inlineStr">
        <is>
          <t>0010</t>
        </is>
      </c>
      <c r="B13" s="4" t="inlineStr">
        <is>
          <t>Sara Pardo</t>
        </is>
      </c>
      <c r="C13" s="4" t="inlineStr">
        <is>
          <t>sara.pardo@colegio.example</t>
        </is>
      </c>
      <c r="D13" s="4" t="inlineStr">
        <is>
          <t>8B</t>
        </is>
      </c>
      <c r="E13">
        <f>IF(A13="","",IF(SUMPRODUCT(--EXACT(Lista_A!$A$4:$A$63,A13))&gt;0,"En ambos",IF(SUMPRODUCT(--EXACT(Lista_A!$A$4:$A$63,TEXT(VALUE(A13),"0000")))&gt;0,"Posible cero perdido","Solo en B")))</f>
        <v/>
      </c>
    </row>
    <row r="14">
      <c r="A14" s="4" t="inlineStr">
        <is>
          <t>0011</t>
        </is>
      </c>
      <c r="B14" s="4" t="inlineStr">
        <is>
          <t>Daniel Salas</t>
        </is>
      </c>
      <c r="C14" s="4" t="inlineStr">
        <is>
          <t>daniel.salas@colegio.example</t>
        </is>
      </c>
      <c r="D14" s="4" t="inlineStr">
        <is>
          <t>7B</t>
        </is>
      </c>
      <c r="E14">
        <f>IF(A14="","",IF(SUMPRODUCT(--EXACT(Lista_A!$A$4:$A$63,A14))&gt;0,"En ambos",IF(SUMPRODUCT(--EXACT(Lista_A!$A$4:$A$63,TEXT(VALUE(A14),"0000")))&gt;0,"Posible cero perdido","Solo en B")))</f>
        <v/>
      </c>
    </row>
    <row r="15">
      <c r="A15" s="4" t="inlineStr">
        <is>
          <t>12</t>
        </is>
      </c>
      <c r="B15" s="4" t="inlineStr">
        <is>
          <t>Laura Gil</t>
        </is>
      </c>
      <c r="C15" s="4" t="inlineStr">
        <is>
          <t>laura.gil@colegio.example</t>
        </is>
      </c>
      <c r="D15" s="4" t="inlineStr">
        <is>
          <t>8A</t>
        </is>
      </c>
      <c r="E15">
        <f>IF(A15="","",IF(SUMPRODUCT(--EXACT(Lista_A!$A$4:$A$63,A15))&gt;0,"En ambos",IF(SUMPRODUCT(--EXACT(Lista_A!$A$4:$A$63,TEXT(VALUE(A15),"0000")))&gt;0,"Posible cero perdido","Solo en B")))</f>
        <v/>
      </c>
    </row>
    <row r="16">
      <c r="A16" s="4" t="inlineStr">
        <is>
          <t>0013</t>
        </is>
      </c>
      <c r="B16" s="4" t="inlineStr">
        <is>
          <t>Nicolás Peña</t>
        </is>
      </c>
      <c r="C16" s="4" t="inlineStr">
        <is>
          <t>nicolas.pena@colegio.example</t>
        </is>
      </c>
      <c r="D16" s="4" t="inlineStr">
        <is>
          <t>7A</t>
        </is>
      </c>
      <c r="E16">
        <f>IF(A16="","",IF(SUMPRODUCT(--EXACT(Lista_A!$A$4:$A$63,A16))&gt;0,"En ambos",IF(SUMPRODUCT(--EXACT(Lista_A!$A$4:$A$63,TEXT(VALUE(A16),"0000")))&gt;0,"Posible cero perdido","Solo en B")))</f>
        <v/>
      </c>
    </row>
    <row r="17">
      <c r="A17" s="4" t="inlineStr">
        <is>
          <t>0014</t>
        </is>
      </c>
      <c r="B17" s="4" t="inlineStr">
        <is>
          <t>Isabela Ríos</t>
        </is>
      </c>
      <c r="C17" s="4" t="inlineStr">
        <is>
          <t>isabela.rios@colegio.example</t>
        </is>
      </c>
      <c r="D17" s="4" t="inlineStr">
        <is>
          <t>7B</t>
        </is>
      </c>
      <c r="E17">
        <f>IF(A17="","",IF(SUMPRODUCT(--EXACT(Lista_A!$A$4:$A$63,A17))&gt;0,"En ambos",IF(SUMPRODUCT(--EXACT(Lista_A!$A$4:$A$63,TEXT(VALUE(A17),"0000")))&gt;0,"Posible cero perdido","Solo en B")))</f>
        <v/>
      </c>
    </row>
    <row r="18">
      <c r="A18" s="4" t="inlineStr">
        <is>
          <t>0015</t>
        </is>
      </c>
      <c r="B18" s="4" t="inlineStr">
        <is>
          <t>Tomás León</t>
        </is>
      </c>
      <c r="C18" s="4" t="inlineStr">
        <is>
          <t>tomas.leon@colegio.example</t>
        </is>
      </c>
      <c r="D18" s="4" t="inlineStr">
        <is>
          <t>8A</t>
        </is>
      </c>
      <c r="E18">
        <f>IF(A18="","",IF(SUMPRODUCT(--EXACT(Lista_A!$A$4:$A$63,A18))&gt;0,"En ambos",IF(SUMPRODUCT(--EXACT(Lista_A!$A$4:$A$63,TEXT(VALUE(A18),"0000")))&gt;0,"Posible cero perdido","Solo en B")))</f>
        <v/>
      </c>
    </row>
    <row r="19">
      <c r="A19" s="4" t="inlineStr">
        <is>
          <t>0016</t>
        </is>
      </c>
      <c r="B19" s="4" t="inlineStr">
        <is>
          <t>Camila Ortiz</t>
        </is>
      </c>
      <c r="C19" s="4" t="inlineStr">
        <is>
          <t>camila.ortiz@colegio.example</t>
        </is>
      </c>
      <c r="D19" s="4" t="inlineStr">
        <is>
          <t>7A</t>
        </is>
      </c>
      <c r="E19">
        <f>IF(A19="","",IF(SUMPRODUCT(--EXACT(Lista_A!$A$4:$A$63,A19))&gt;0,"En ambos",IF(SUMPRODUCT(--EXACT(Lista_A!$A$4:$A$63,TEXT(VALUE(A19),"0000")))&gt;0,"Posible cero perdido","Solo en B")))</f>
        <v/>
      </c>
    </row>
    <row r="20">
      <c r="A20" s="4" t="inlineStr">
        <is>
          <t>0017</t>
        </is>
      </c>
      <c r="B20" s="4" t="inlineStr">
        <is>
          <t>Samuel Cano</t>
        </is>
      </c>
      <c r="C20" s="4" t="inlineStr">
        <is>
          <t>samuel.cano@colegio.example</t>
        </is>
      </c>
      <c r="D20" s="4" t="inlineStr">
        <is>
          <t>7B</t>
        </is>
      </c>
      <c r="E20">
        <f>IF(A20="","",IF(SUMPRODUCT(--EXACT(Lista_A!$A$4:$A$63,A20))&gt;0,"En ambos",IF(SUMPRODUCT(--EXACT(Lista_A!$A$4:$A$63,TEXT(VALUE(A20),"0000")))&gt;0,"Posible cero perdido","Solo en B")))</f>
        <v/>
      </c>
    </row>
    <row r="21">
      <c r="A21" s="4" t="inlineStr">
        <is>
          <t>0018</t>
        </is>
      </c>
      <c r="B21" s="4" t="inlineStr">
        <is>
          <t>Mariana Bravo</t>
        </is>
      </c>
      <c r="C21" s="4" t="inlineStr">
        <is>
          <t>mariana.bravo@colegio.example</t>
        </is>
      </c>
      <c r="D21" s="4" t="inlineStr">
        <is>
          <t>8A</t>
        </is>
      </c>
      <c r="E21">
        <f>IF(A21="","",IF(SUMPRODUCT(--EXACT(Lista_A!$A$4:$A$63,A21))&gt;0,"En ambos",IF(SUMPRODUCT(--EXACT(Lista_A!$A$4:$A$63,TEXT(VALUE(A21),"0000")))&gt;0,"Posible cero perdido","Solo en B")))</f>
        <v/>
      </c>
    </row>
    <row r="22">
      <c r="A22" s="4" t="inlineStr">
        <is>
          <t>0019</t>
        </is>
      </c>
      <c r="B22" s="4" t="inlineStr">
        <is>
          <t>Julián Mejía</t>
        </is>
      </c>
      <c r="C22" s="4" t="inlineStr">
        <is>
          <t>julian.mejia@colegio.example</t>
        </is>
      </c>
      <c r="D22" s="4" t="inlineStr">
        <is>
          <t>7A</t>
        </is>
      </c>
      <c r="E22">
        <f>IF(A22="","",IF(SUMPRODUCT(--EXACT(Lista_A!$A$4:$A$63,A22))&gt;0,"En ambos",IF(SUMPRODUCT(--EXACT(Lista_A!$A$4:$A$63,TEXT(VALUE(A22),"0000")))&gt;0,"Posible cero perdido","Solo en B")))</f>
        <v/>
      </c>
    </row>
    <row r="23">
      <c r="A23" s="4" t="inlineStr">
        <is>
          <t>0020</t>
        </is>
      </c>
      <c r="B23" s="4" t="inlineStr">
        <is>
          <t>Emma Soto</t>
        </is>
      </c>
      <c r="C23" s="4" t="inlineStr">
        <is>
          <t>emma.soto@colegio.example</t>
        </is>
      </c>
      <c r="D23" s="4" t="inlineStr">
        <is>
          <t>7B</t>
        </is>
      </c>
      <c r="E23">
        <f>IF(A23="","",IF(SUMPRODUCT(--EXACT(Lista_A!$A$4:$A$63,A23))&gt;0,"En ambos",IF(SUMPRODUCT(--EXACT(Lista_A!$A$4:$A$63,TEXT(VALUE(A23),"0000")))&gt;0,"Posible cero perdido","Solo en B")))</f>
        <v/>
      </c>
    </row>
    <row r="24">
      <c r="A24" s="4" t="inlineStr">
        <is>
          <t>0021</t>
        </is>
      </c>
      <c r="B24" s="4" t="inlineStr">
        <is>
          <t>Felipe Reyes</t>
        </is>
      </c>
      <c r="C24" s="4" t="inlineStr">
        <is>
          <t>felipe.reyes@colegio.example</t>
        </is>
      </c>
      <c r="D24" s="4" t="inlineStr">
        <is>
          <t>8A</t>
        </is>
      </c>
      <c r="E24">
        <f>IF(A24="","",IF(SUMPRODUCT(--EXACT(Lista_A!$A$4:$A$63,A24))&gt;0,"En ambos",IF(SUMPRODUCT(--EXACT(Lista_A!$A$4:$A$63,TEXT(VALUE(A24),"0000")))&gt;0,"Posible cero perdido","Solo en B")))</f>
        <v/>
      </c>
    </row>
    <row r="25">
      <c r="A25" s="4" t="inlineStr">
        <is>
          <t>0022</t>
        </is>
      </c>
      <c r="B25" s="4" t="inlineStr">
        <is>
          <t>Antonia Luna</t>
        </is>
      </c>
      <c r="C25" s="4" t="inlineStr">
        <is>
          <t>antonia.luna@colegio.example</t>
        </is>
      </c>
      <c r="D25" s="4" t="inlineStr">
        <is>
          <t>7A</t>
        </is>
      </c>
      <c r="E25">
        <f>IF(A25="","",IF(SUMPRODUCT(--EXACT(Lista_A!$A$4:$A$63,A25))&gt;0,"En ambos",IF(SUMPRODUCT(--EXACT(Lista_A!$A$4:$A$63,TEXT(VALUE(A25),"0000")))&gt;0,"Posible cero perdido","Solo en B")))</f>
        <v/>
      </c>
    </row>
    <row r="26">
      <c r="A26" s="4" t="inlineStr">
        <is>
          <t>0023</t>
        </is>
      </c>
      <c r="B26" s="4" t="inlineStr">
        <is>
          <t>Gabriel Ramos</t>
        </is>
      </c>
      <c r="C26" s="4" t="inlineStr">
        <is>
          <t>gabriel.ramos@colegio.example</t>
        </is>
      </c>
      <c r="D26" s="4" t="inlineStr">
        <is>
          <t>7B</t>
        </is>
      </c>
      <c r="E26">
        <f>IF(A26="","",IF(SUMPRODUCT(--EXACT(Lista_A!$A$4:$A$63,A26))&gt;0,"En ambos",IF(SUMPRODUCT(--EXACT(Lista_A!$A$4:$A$63,TEXT(VALUE(A26),"0000")))&gt;0,"Posible cero perdido","Solo en B")))</f>
        <v/>
      </c>
    </row>
    <row r="27">
      <c r="A27" s="4" t="inlineStr">
        <is>
          <t>0024</t>
        </is>
      </c>
      <c r="B27" s="4" t="inlineStr">
        <is>
          <t>Paula Cardona</t>
        </is>
      </c>
      <c r="C27" s="4" t="inlineStr">
        <is>
          <t>paula.cardona@colegio.example</t>
        </is>
      </c>
      <c r="D27" s="4" t="inlineStr">
        <is>
          <t>8A</t>
        </is>
      </c>
      <c r="E27">
        <f>IF(A27="","",IF(SUMPRODUCT(--EXACT(Lista_A!$A$4:$A$63,A27))&gt;0,"En ambos",IF(SUMPRODUCT(--EXACT(Lista_A!$A$4:$A$63,TEXT(VALUE(A27),"0000")))&gt;0,"Posible cero perdido","Solo en B")))</f>
        <v/>
      </c>
    </row>
    <row r="28">
      <c r="A28" s="4" t="inlineStr">
        <is>
          <t>0025</t>
        </is>
      </c>
      <c r="B28" s="4" t="inlineStr">
        <is>
          <t>Esteban Núñez</t>
        </is>
      </c>
      <c r="C28" s="4" t="inlineStr">
        <is>
          <t>esteban.nunez@colegio.example</t>
        </is>
      </c>
      <c r="D28" s="4" t="inlineStr">
        <is>
          <t>7A</t>
        </is>
      </c>
      <c r="E28">
        <f>IF(A28="","",IF(SUMPRODUCT(--EXACT(Lista_A!$A$4:$A$63,A28))&gt;0,"En ambos",IF(SUMPRODUCT(--EXACT(Lista_A!$A$4:$A$63,TEXT(VALUE(A28),"0000")))&gt;0,"Posible cero perdido","Solo en B")))</f>
        <v/>
      </c>
    </row>
    <row r="29">
      <c r="A29" s="4" t="inlineStr">
        <is>
          <t>0026</t>
        </is>
      </c>
      <c r="B29" s="4" t="inlineStr">
        <is>
          <t>Juliana Prada</t>
        </is>
      </c>
      <c r="C29" s="4" t="inlineStr">
        <is>
          <t>juliana.prada@colegio.example</t>
        </is>
      </c>
      <c r="D29" s="4" t="inlineStr">
        <is>
          <t>7B</t>
        </is>
      </c>
      <c r="E29">
        <f>IF(A29="","",IF(SUMPRODUCT(--EXACT(Lista_A!$A$4:$A$63,A29))&gt;0,"En ambos",IF(SUMPRODUCT(--EXACT(Lista_A!$A$4:$A$63,TEXT(VALUE(A29),"0000")))&gt;0,"Posible cero perdido","Solo en B")))</f>
        <v/>
      </c>
    </row>
    <row r="30">
      <c r="A30" s="4" t="inlineStr">
        <is>
          <t>0028</t>
        </is>
      </c>
      <c r="B30" s="4" t="inlineStr">
        <is>
          <t>Renata Ávila</t>
        </is>
      </c>
      <c r="C30" s="4" t="inlineStr">
        <is>
          <t>renata.avila@colegio.example</t>
        </is>
      </c>
      <c r="D30" s="4" t="inlineStr">
        <is>
          <t>7A</t>
        </is>
      </c>
      <c r="E30">
        <f>IF(A30="","",IF(SUMPRODUCT(--EXACT(Lista_A!$A$4:$A$63,A30))&gt;0,"En ambos",IF(SUMPRODUCT(--EXACT(Lista_A!$A$4:$A$63,TEXT(VALUE(A30),"0000")))&gt;0,"Posible cero perdido","Solo en B")))</f>
        <v/>
      </c>
    </row>
    <row r="31">
      <c r="A31" s="4" t="inlineStr">
        <is>
          <t>0030</t>
        </is>
      </c>
      <c r="B31" s="4" t="inlineStr">
        <is>
          <t>Alejandra Mesa</t>
        </is>
      </c>
      <c r="C31" s="4" t="inlineStr">
        <is>
          <t>alejandra.mesa@colegio.example</t>
        </is>
      </c>
      <c r="D31" s="4" t="inlineStr">
        <is>
          <t>8A</t>
        </is>
      </c>
      <c r="E31">
        <f>IF(A31="","",IF(SUMPRODUCT(--EXACT(Lista_A!$A$4:$A$63,A31))&gt;0,"En ambos",IF(SUMPRODUCT(--EXACT(Lista_A!$A$4:$A$63,TEXT(VALUE(A31),"0000")))&gt;0,"Posible cero perdido","Solo en B")))</f>
        <v/>
      </c>
    </row>
    <row r="32">
      <c r="A32" s="4" t="inlineStr">
        <is>
          <t>0099</t>
        </is>
      </c>
      <c r="B32" s="4" t="inlineStr">
        <is>
          <t>Retirado Prueba</t>
        </is>
      </c>
      <c r="C32" s="4" t="inlineStr">
        <is>
          <t>retirado.prueba@colegio.example</t>
        </is>
      </c>
      <c r="D32" s="4" t="inlineStr">
        <is>
          <t>8A</t>
        </is>
      </c>
      <c r="E32">
        <f>IF(A32="","",IF(SUMPRODUCT(--EXACT(Lista_A!$A$4:$A$63,A32))&gt;0,"En ambos",IF(SUMPRODUCT(--EXACT(Lista_A!$A$4:$A$63,TEXT(VALUE(A32),"0000")))&gt;0,"Posible cero perdido","Solo en B")))</f>
        <v/>
      </c>
    </row>
    <row r="33">
      <c r="A33" s="4" t="n"/>
      <c r="B33" s="4" t="n"/>
      <c r="C33" s="4" t="n"/>
      <c r="D33" s="4" t="n"/>
      <c r="E33">
        <f>IF(A33="","",IF(SUMPRODUCT(--EXACT(Lista_A!$A$4:$A$63,A33))&gt;0,"En ambos",IF(SUMPRODUCT(--EXACT(Lista_A!$A$4:$A$63,TEXT(VALUE(A33),"0000")))&gt;0,"Posible cero perdido","Solo en B")))</f>
        <v/>
      </c>
    </row>
    <row r="34">
      <c r="A34" s="4" t="n"/>
      <c r="B34" s="4" t="n"/>
      <c r="C34" s="4" t="n"/>
      <c r="D34" s="4" t="n"/>
      <c r="E34">
        <f>IF(A34="","",IF(SUMPRODUCT(--EXACT(Lista_A!$A$4:$A$63,A34))&gt;0,"En ambos",IF(SUMPRODUCT(--EXACT(Lista_A!$A$4:$A$63,TEXT(VALUE(A34),"0000")))&gt;0,"Posible cero perdido","Solo en B")))</f>
        <v/>
      </c>
    </row>
    <row r="35">
      <c r="A35" s="4" t="n"/>
      <c r="B35" s="4" t="n"/>
      <c r="C35" s="4" t="n"/>
      <c r="D35" s="4" t="n"/>
      <c r="E35">
        <f>IF(A35="","",IF(SUMPRODUCT(--EXACT(Lista_A!$A$4:$A$63,A35))&gt;0,"En ambos",IF(SUMPRODUCT(--EXACT(Lista_A!$A$4:$A$63,TEXT(VALUE(A35),"0000")))&gt;0,"Posible cero perdido","Solo en B")))</f>
        <v/>
      </c>
    </row>
    <row r="36">
      <c r="A36" s="4" t="n"/>
      <c r="B36" s="4" t="n"/>
      <c r="C36" s="4" t="n"/>
      <c r="D36" s="4" t="n"/>
      <c r="E36">
        <f>IF(A36="","",IF(SUMPRODUCT(--EXACT(Lista_A!$A$4:$A$63,A36))&gt;0,"En ambos",IF(SUMPRODUCT(--EXACT(Lista_A!$A$4:$A$63,TEXT(VALUE(A36),"0000")))&gt;0,"Posible cero perdido","Solo en B")))</f>
        <v/>
      </c>
    </row>
    <row r="37">
      <c r="A37" s="4" t="n"/>
      <c r="B37" s="4" t="n"/>
      <c r="C37" s="4" t="n"/>
      <c r="D37" s="4" t="n"/>
      <c r="E37">
        <f>IF(A37="","",IF(SUMPRODUCT(--EXACT(Lista_A!$A$4:$A$63,A37))&gt;0,"En ambos",IF(SUMPRODUCT(--EXACT(Lista_A!$A$4:$A$63,TEXT(VALUE(A37),"0000")))&gt;0,"Posible cero perdido","Solo en B")))</f>
        <v/>
      </c>
    </row>
    <row r="38">
      <c r="A38" s="4" t="n"/>
      <c r="B38" s="4" t="n"/>
      <c r="C38" s="4" t="n"/>
      <c r="D38" s="4" t="n"/>
      <c r="E38">
        <f>IF(A38="","",IF(SUMPRODUCT(--EXACT(Lista_A!$A$4:$A$63,A38))&gt;0,"En ambos",IF(SUMPRODUCT(--EXACT(Lista_A!$A$4:$A$63,TEXT(VALUE(A38),"0000")))&gt;0,"Posible cero perdido","Solo en B")))</f>
        <v/>
      </c>
    </row>
    <row r="39">
      <c r="A39" s="4" t="n"/>
      <c r="B39" s="4" t="n"/>
      <c r="C39" s="4" t="n"/>
      <c r="D39" s="4" t="n"/>
      <c r="E39">
        <f>IF(A39="","",IF(SUMPRODUCT(--EXACT(Lista_A!$A$4:$A$63,A39))&gt;0,"En ambos",IF(SUMPRODUCT(--EXACT(Lista_A!$A$4:$A$63,TEXT(VALUE(A39),"0000")))&gt;0,"Posible cero perdido","Solo en B")))</f>
        <v/>
      </c>
    </row>
    <row r="40">
      <c r="A40" s="4" t="n"/>
      <c r="B40" s="4" t="n"/>
      <c r="C40" s="4" t="n"/>
      <c r="D40" s="4" t="n"/>
      <c r="E40">
        <f>IF(A40="","",IF(SUMPRODUCT(--EXACT(Lista_A!$A$4:$A$63,A40))&gt;0,"En ambos",IF(SUMPRODUCT(--EXACT(Lista_A!$A$4:$A$63,TEXT(VALUE(A40),"0000")))&gt;0,"Posible cero perdido","Solo en B")))</f>
        <v/>
      </c>
    </row>
    <row r="41">
      <c r="A41" s="4" t="n"/>
      <c r="B41" s="4" t="n"/>
      <c r="C41" s="4" t="n"/>
      <c r="D41" s="4" t="n"/>
      <c r="E41">
        <f>IF(A41="","",IF(SUMPRODUCT(--EXACT(Lista_A!$A$4:$A$63,A41))&gt;0,"En ambos",IF(SUMPRODUCT(--EXACT(Lista_A!$A$4:$A$63,TEXT(VALUE(A41),"0000")))&gt;0,"Posible cero perdido","Solo en B")))</f>
        <v/>
      </c>
    </row>
    <row r="42">
      <c r="A42" s="4" t="n"/>
      <c r="B42" s="4" t="n"/>
      <c r="C42" s="4" t="n"/>
      <c r="D42" s="4" t="n"/>
      <c r="E42">
        <f>IF(A42="","",IF(SUMPRODUCT(--EXACT(Lista_A!$A$4:$A$63,A42))&gt;0,"En ambos",IF(SUMPRODUCT(--EXACT(Lista_A!$A$4:$A$63,TEXT(VALUE(A42),"0000")))&gt;0,"Posible cero perdido","Solo en B")))</f>
        <v/>
      </c>
    </row>
    <row r="43">
      <c r="A43" s="4" t="n"/>
      <c r="B43" s="4" t="n"/>
      <c r="C43" s="4" t="n"/>
      <c r="D43" s="4" t="n"/>
      <c r="E43">
        <f>IF(A43="","",IF(SUMPRODUCT(--EXACT(Lista_A!$A$4:$A$63,A43))&gt;0,"En ambos",IF(SUMPRODUCT(--EXACT(Lista_A!$A$4:$A$63,TEXT(VALUE(A43),"0000")))&gt;0,"Posible cero perdido","Solo en B")))</f>
        <v/>
      </c>
    </row>
    <row r="44">
      <c r="A44" s="4" t="n"/>
      <c r="B44" s="4" t="n"/>
      <c r="C44" s="4" t="n"/>
      <c r="D44" s="4" t="n"/>
      <c r="E44">
        <f>IF(A44="","",IF(SUMPRODUCT(--EXACT(Lista_A!$A$4:$A$63,A44))&gt;0,"En ambos",IF(SUMPRODUCT(--EXACT(Lista_A!$A$4:$A$63,TEXT(VALUE(A44),"0000")))&gt;0,"Posible cero perdido","Solo en B")))</f>
        <v/>
      </c>
    </row>
    <row r="45">
      <c r="A45" s="4" t="n"/>
      <c r="B45" s="4" t="n"/>
      <c r="C45" s="4" t="n"/>
      <c r="D45" s="4" t="n"/>
      <c r="E45">
        <f>IF(A45="","",IF(SUMPRODUCT(--EXACT(Lista_A!$A$4:$A$63,A45))&gt;0,"En ambos",IF(SUMPRODUCT(--EXACT(Lista_A!$A$4:$A$63,TEXT(VALUE(A45),"0000")))&gt;0,"Posible cero perdido","Solo en B")))</f>
        <v/>
      </c>
    </row>
    <row r="46">
      <c r="A46" s="4" t="n"/>
      <c r="B46" s="4" t="n"/>
      <c r="C46" s="4" t="n"/>
      <c r="D46" s="4" t="n"/>
      <c r="E46">
        <f>IF(A46="","",IF(SUMPRODUCT(--EXACT(Lista_A!$A$4:$A$63,A46))&gt;0,"En ambos",IF(SUMPRODUCT(--EXACT(Lista_A!$A$4:$A$63,TEXT(VALUE(A46),"0000")))&gt;0,"Posible cero perdido","Solo en B")))</f>
        <v/>
      </c>
    </row>
    <row r="47">
      <c r="A47" s="4" t="n"/>
      <c r="B47" s="4" t="n"/>
      <c r="C47" s="4" t="n"/>
      <c r="D47" s="4" t="n"/>
      <c r="E47">
        <f>IF(A47="","",IF(SUMPRODUCT(--EXACT(Lista_A!$A$4:$A$63,A47))&gt;0,"En ambos",IF(SUMPRODUCT(--EXACT(Lista_A!$A$4:$A$63,TEXT(VALUE(A47),"0000")))&gt;0,"Posible cero perdido","Solo en B")))</f>
        <v/>
      </c>
    </row>
    <row r="48">
      <c r="A48" s="4" t="n"/>
      <c r="B48" s="4" t="n"/>
      <c r="C48" s="4" t="n"/>
      <c r="D48" s="4" t="n"/>
      <c r="E48">
        <f>IF(A48="","",IF(SUMPRODUCT(--EXACT(Lista_A!$A$4:$A$63,A48))&gt;0,"En ambos",IF(SUMPRODUCT(--EXACT(Lista_A!$A$4:$A$63,TEXT(VALUE(A48),"0000")))&gt;0,"Posible cero perdido","Solo en B")))</f>
        <v/>
      </c>
    </row>
    <row r="49">
      <c r="A49" s="4" t="n"/>
      <c r="B49" s="4" t="n"/>
      <c r="C49" s="4" t="n"/>
      <c r="D49" s="4" t="n"/>
      <c r="E49">
        <f>IF(A49="","",IF(SUMPRODUCT(--EXACT(Lista_A!$A$4:$A$63,A49))&gt;0,"En ambos",IF(SUMPRODUCT(--EXACT(Lista_A!$A$4:$A$63,TEXT(VALUE(A49),"0000")))&gt;0,"Posible cero perdido","Solo en B")))</f>
        <v/>
      </c>
    </row>
    <row r="50">
      <c r="A50" s="4" t="n"/>
      <c r="B50" s="4" t="n"/>
      <c r="C50" s="4" t="n"/>
      <c r="D50" s="4" t="n"/>
      <c r="E50">
        <f>IF(A50="","",IF(SUMPRODUCT(--EXACT(Lista_A!$A$4:$A$63,A50))&gt;0,"En ambos",IF(SUMPRODUCT(--EXACT(Lista_A!$A$4:$A$63,TEXT(VALUE(A50),"0000")))&gt;0,"Posible cero perdido","Solo en B")))</f>
        <v/>
      </c>
    </row>
    <row r="51">
      <c r="A51" s="4" t="n"/>
      <c r="B51" s="4" t="n"/>
      <c r="C51" s="4" t="n"/>
      <c r="D51" s="4" t="n"/>
      <c r="E51">
        <f>IF(A51="","",IF(SUMPRODUCT(--EXACT(Lista_A!$A$4:$A$63,A51))&gt;0,"En ambos",IF(SUMPRODUCT(--EXACT(Lista_A!$A$4:$A$63,TEXT(VALUE(A51),"0000")))&gt;0,"Posible cero perdido","Solo en B")))</f>
        <v/>
      </c>
    </row>
    <row r="52">
      <c r="A52" s="4" t="n"/>
      <c r="B52" s="4" t="n"/>
      <c r="C52" s="4" t="n"/>
      <c r="D52" s="4" t="n"/>
      <c r="E52">
        <f>IF(A52="","",IF(SUMPRODUCT(--EXACT(Lista_A!$A$4:$A$63,A52))&gt;0,"En ambos",IF(SUMPRODUCT(--EXACT(Lista_A!$A$4:$A$63,TEXT(VALUE(A52),"0000")))&gt;0,"Posible cero perdido","Solo en B")))</f>
        <v/>
      </c>
    </row>
    <row r="53">
      <c r="A53" s="4" t="n"/>
      <c r="B53" s="4" t="n"/>
      <c r="C53" s="4" t="n"/>
      <c r="D53" s="4" t="n"/>
      <c r="E53">
        <f>IF(A53="","",IF(SUMPRODUCT(--EXACT(Lista_A!$A$4:$A$63,A53))&gt;0,"En ambos",IF(SUMPRODUCT(--EXACT(Lista_A!$A$4:$A$63,TEXT(VALUE(A53),"0000")))&gt;0,"Posible cero perdido","Solo en B")))</f>
        <v/>
      </c>
    </row>
    <row r="54">
      <c r="A54" s="4" t="n"/>
      <c r="B54" s="4" t="n"/>
      <c r="C54" s="4" t="n"/>
      <c r="D54" s="4" t="n"/>
      <c r="E54">
        <f>IF(A54="","",IF(SUMPRODUCT(--EXACT(Lista_A!$A$4:$A$63,A54))&gt;0,"En ambos",IF(SUMPRODUCT(--EXACT(Lista_A!$A$4:$A$63,TEXT(VALUE(A54),"0000")))&gt;0,"Posible cero perdido","Solo en B")))</f>
        <v/>
      </c>
    </row>
    <row r="55">
      <c r="A55" s="4" t="n"/>
      <c r="B55" s="4" t="n"/>
      <c r="C55" s="4" t="n"/>
      <c r="D55" s="4" t="n"/>
      <c r="E55">
        <f>IF(A55="","",IF(SUMPRODUCT(--EXACT(Lista_A!$A$4:$A$63,A55))&gt;0,"En ambos",IF(SUMPRODUCT(--EXACT(Lista_A!$A$4:$A$63,TEXT(VALUE(A55),"0000")))&gt;0,"Posible cero perdido","Solo en B")))</f>
        <v/>
      </c>
    </row>
    <row r="56">
      <c r="A56" s="4" t="n"/>
      <c r="B56" s="4" t="n"/>
      <c r="C56" s="4" t="n"/>
      <c r="D56" s="4" t="n"/>
      <c r="E56">
        <f>IF(A56="","",IF(SUMPRODUCT(--EXACT(Lista_A!$A$4:$A$63,A56))&gt;0,"En ambos",IF(SUMPRODUCT(--EXACT(Lista_A!$A$4:$A$63,TEXT(VALUE(A56),"0000")))&gt;0,"Posible cero perdido","Solo en B")))</f>
        <v/>
      </c>
    </row>
    <row r="57">
      <c r="A57" s="4" t="n"/>
      <c r="B57" s="4" t="n"/>
      <c r="C57" s="4" t="n"/>
      <c r="D57" s="4" t="n"/>
      <c r="E57">
        <f>IF(A57="","",IF(SUMPRODUCT(--EXACT(Lista_A!$A$4:$A$63,A57))&gt;0,"En ambos",IF(SUMPRODUCT(--EXACT(Lista_A!$A$4:$A$63,TEXT(VALUE(A57),"0000")))&gt;0,"Posible cero perdido","Solo en B")))</f>
        <v/>
      </c>
    </row>
    <row r="58">
      <c r="A58" s="4" t="n"/>
      <c r="B58" s="4" t="n"/>
      <c r="C58" s="4" t="n"/>
      <c r="D58" s="4" t="n"/>
      <c r="E58">
        <f>IF(A58="","",IF(SUMPRODUCT(--EXACT(Lista_A!$A$4:$A$63,A58))&gt;0,"En ambos",IF(SUMPRODUCT(--EXACT(Lista_A!$A$4:$A$63,TEXT(VALUE(A58),"0000")))&gt;0,"Posible cero perdido","Solo en B")))</f>
        <v/>
      </c>
    </row>
    <row r="59">
      <c r="A59" s="4" t="n"/>
      <c r="B59" s="4" t="n"/>
      <c r="C59" s="4" t="n"/>
      <c r="D59" s="4" t="n"/>
      <c r="E59">
        <f>IF(A59="","",IF(SUMPRODUCT(--EXACT(Lista_A!$A$4:$A$63,A59))&gt;0,"En ambos",IF(SUMPRODUCT(--EXACT(Lista_A!$A$4:$A$63,TEXT(VALUE(A59),"0000")))&gt;0,"Posible cero perdido","Solo en B")))</f>
        <v/>
      </c>
    </row>
    <row r="60">
      <c r="A60" s="4" t="n"/>
      <c r="B60" s="4" t="n"/>
      <c r="C60" s="4" t="n"/>
      <c r="D60" s="4" t="n"/>
      <c r="E60">
        <f>IF(A60="","",IF(SUMPRODUCT(--EXACT(Lista_A!$A$4:$A$63,A60))&gt;0,"En ambos",IF(SUMPRODUCT(--EXACT(Lista_A!$A$4:$A$63,TEXT(VALUE(A60),"0000")))&gt;0,"Posible cero perdido","Solo en B")))</f>
        <v/>
      </c>
    </row>
    <row r="61">
      <c r="A61" s="4" t="n"/>
      <c r="B61" s="4" t="n"/>
      <c r="C61" s="4" t="n"/>
      <c r="D61" s="4" t="n"/>
      <c r="E61">
        <f>IF(A61="","",IF(SUMPRODUCT(--EXACT(Lista_A!$A$4:$A$63,A61))&gt;0,"En ambos",IF(SUMPRODUCT(--EXACT(Lista_A!$A$4:$A$63,TEXT(VALUE(A61),"0000")))&gt;0,"Posible cero perdido","Solo en B")))</f>
        <v/>
      </c>
    </row>
    <row r="62">
      <c r="A62" s="4" t="n"/>
      <c r="B62" s="4" t="n"/>
      <c r="C62" s="4" t="n"/>
      <c r="D62" s="4" t="n"/>
      <c r="E62">
        <f>IF(A62="","",IF(SUMPRODUCT(--EXACT(Lista_A!$A$4:$A$63,A62))&gt;0,"En ambos",IF(SUMPRODUCT(--EXACT(Lista_A!$A$4:$A$63,TEXT(VALUE(A62),"0000")))&gt;0,"Posible cero perdido","Solo en B")))</f>
        <v/>
      </c>
    </row>
    <row r="63">
      <c r="A63" s="4" t="n"/>
      <c r="B63" s="4" t="n"/>
      <c r="C63" s="4" t="n"/>
      <c r="D63" s="4" t="n"/>
      <c r="E63">
        <f>IF(A63="","",IF(SUMPRODUCT(--EXACT(Lista_A!$A$4:$A$63,A63))&gt;0,"En ambos",IF(SUMPRODUCT(--EXACT(Lista_A!$A$4:$A$63,TEXT(VALUE(A63),"0000")))&gt;0,"Posible cero perdido","Solo en B")))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2026-10-10T17:38:35Z</dcterms:created>
  <dcterms:modified xmlns:dcterms="http://purl.org/dc/terms/" xmlns:xsi="http://www.w3.org/2001/XMLSchema-instance" xsi:type="dcterms:W3CDTF">2026-10-10T17:38:35Z</dcterms:modified>
</cp:coreProperties>
</file>