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omparacion" sheetId="2" state="visible" r:id="rId2"/>
    <sheet xmlns:r="http://schemas.openxmlformats.org/officeDocument/2006/relationships" name="Sensi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3" fontId="0" fillId="0" borderId="0" pivotButton="0" quotePrefix="0" xfId="0"/>
    <xf numFmtId="3" fontId="0" fillId="2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SUPUESTOS ILUSTRATIVOS (edita las celdas amarillas). No son precios reales de ninguna marca.</t>
        </is>
      </c>
    </row>
    <row r="3">
      <c r="A3" t="inlineStr">
        <is>
          <t>Usuarios</t>
        </is>
      </c>
      <c r="B3" s="2" t="n">
        <v>12</v>
      </c>
    </row>
    <row r="4">
      <c r="A4" t="inlineStr">
        <is>
          <t>Tasa de cambio supuesta (COP por USD)</t>
        </is>
      </c>
      <c r="B4" s="2" t="n">
        <v>4000</v>
      </c>
    </row>
    <row r="5">
      <c r="A5" t="inlineStr">
        <is>
          <t>Incremento anual del precio de la suscripción</t>
        </is>
      </c>
      <c r="B5" s="3" t="n">
        <v>0.07000000000000001</v>
      </c>
    </row>
    <row r="6">
      <c r="A6" t="inlineStr">
        <is>
          <t>Licencia perpetua: precio por usuario (USD)</t>
        </is>
      </c>
      <c r="B6" s="2" t="n">
        <v>500</v>
      </c>
    </row>
    <row r="7">
      <c r="A7" t="inlineStr">
        <is>
          <t>Soporte y actualizaciones anual (% de la licencia)</t>
        </is>
      </c>
      <c r="B7" s="3" t="n">
        <v>0.2</v>
      </c>
    </row>
    <row r="8">
      <c r="A8" t="inlineStr">
        <is>
          <t>Suscripción: precio por usuario y mes (USD)</t>
        </is>
      </c>
      <c r="B8" s="2" t="n">
        <v>25</v>
      </c>
    </row>
    <row r="9">
      <c r="A9" t="inlineStr">
        <is>
          <t>Desarrollo propio: costo de construcción (USD)</t>
        </is>
      </c>
      <c r="B9" s="2" t="n">
        <v>18000</v>
      </c>
    </row>
    <row r="10">
      <c r="A10" t="inlineStr">
        <is>
          <t>Desarrollo propio: mantenimiento anual desde el año 2 (% del desarrollo)</t>
        </is>
      </c>
      <c r="B10" s="3" t="n">
        <v>0.2</v>
      </c>
    </row>
    <row r="13">
      <c r="A13" s="4" t="inlineStr">
        <is>
          <t>COSTOS POR OPCIÓN Y AÑO (USD)</t>
        </is>
      </c>
    </row>
    <row r="14">
      <c r="A14" s="5" t="inlineStr">
        <is>
          <t>Concepto</t>
        </is>
      </c>
      <c r="B14" s="5" t="inlineStr">
        <is>
          <t>Año 1</t>
        </is>
      </c>
      <c r="C14" s="5" t="inlineStr">
        <is>
          <t>Año 2</t>
        </is>
      </c>
      <c r="D14" s="5" t="inlineStr">
        <is>
          <t>Año 3</t>
        </is>
      </c>
    </row>
    <row r="15">
      <c r="A15" s="4" t="inlineStr">
        <is>
          <t>A. COMPRAR (licencia perpetua)</t>
        </is>
      </c>
    </row>
    <row r="16">
      <c r="A16" t="inlineStr">
        <is>
          <t>Licencia</t>
        </is>
      </c>
      <c r="B16" s="6">
        <f>B6*B3</f>
        <v/>
      </c>
      <c r="C16" s="7" t="n">
        <v>0</v>
      </c>
      <c r="D16" s="7" t="n">
        <v>0</v>
      </c>
    </row>
    <row r="17">
      <c r="A17" t="inlineStr">
        <is>
          <t>Implementación</t>
        </is>
      </c>
      <c r="B17" s="7" t="n">
        <v>1500</v>
      </c>
      <c r="C17" s="7" t="n">
        <v>0</v>
      </c>
      <c r="D17" s="7" t="n">
        <v>0</v>
      </c>
    </row>
    <row r="18">
      <c r="A18" t="inlineStr">
        <is>
          <t>Capacitación</t>
        </is>
      </c>
      <c r="B18" s="7" t="n">
        <v>600</v>
      </c>
      <c r="C18" s="7" t="n">
        <v>0</v>
      </c>
      <c r="D18" s="7" t="n">
        <v>0</v>
      </c>
    </row>
    <row r="19">
      <c r="A19" t="inlineStr">
        <is>
          <t>Soporte y actualizaciones</t>
        </is>
      </c>
      <c r="B19" s="6">
        <f>B6*B3*B7</f>
        <v/>
      </c>
      <c r="C19" s="6">
        <f>B6*B3*B7</f>
        <v/>
      </c>
      <c r="D19" s="6">
        <f>B6*B3*B7</f>
        <v/>
      </c>
    </row>
    <row r="20">
      <c r="A20" t="inlineStr">
        <is>
          <t>Infraestructura (servidor y respaldo)</t>
        </is>
      </c>
      <c r="B20" s="7" t="n">
        <v>1200</v>
      </c>
      <c r="C20" s="7" t="n">
        <v>300</v>
      </c>
      <c r="D20" s="7" t="n">
        <v>300</v>
      </c>
    </row>
    <row r="21">
      <c r="A21" t="inlineStr">
        <is>
          <t>Seguridad y administración de TI</t>
        </is>
      </c>
      <c r="B21" s="7" t="n">
        <v>600</v>
      </c>
      <c r="C21" s="7" t="n">
        <v>600</v>
      </c>
      <c r="D21" s="7" t="n">
        <v>600</v>
      </c>
    </row>
    <row r="22">
      <c r="A22" s="4" t="inlineStr">
        <is>
          <t>B. SUSCRIPCIÓN</t>
        </is>
      </c>
    </row>
    <row r="23">
      <c r="A23" t="inlineStr">
        <is>
          <t>Suscripción</t>
        </is>
      </c>
      <c r="B23" s="6">
        <f>B8*B3*12</f>
        <v/>
      </c>
      <c r="C23" s="6">
        <f>B8*B3*12*(1+B5)</f>
        <v/>
      </c>
      <c r="D23" s="6">
        <f>B8*B3*12*(1+B5)^2</f>
        <v/>
      </c>
    </row>
    <row r="24">
      <c r="A24" t="inlineStr">
        <is>
          <t>Implementación</t>
        </is>
      </c>
      <c r="B24" s="7" t="n">
        <v>800</v>
      </c>
      <c r="C24" s="7" t="n">
        <v>0</v>
      </c>
      <c r="D24" s="7" t="n">
        <v>0</v>
      </c>
    </row>
    <row r="25">
      <c r="A25" t="inlineStr">
        <is>
          <t>Capacitación</t>
        </is>
      </c>
      <c r="B25" s="7" t="n">
        <v>600</v>
      </c>
      <c r="C25" s="7" t="n">
        <v>0</v>
      </c>
      <c r="D25" s="7" t="n">
        <v>0</v>
      </c>
    </row>
    <row r="26">
      <c r="A26" t="inlineStr">
        <is>
          <t>Integraciones</t>
        </is>
      </c>
      <c r="B26" s="7" t="n">
        <v>400</v>
      </c>
      <c r="C26" s="7" t="n">
        <v>0</v>
      </c>
      <c r="D26" s="7" t="n">
        <v>0</v>
      </c>
    </row>
    <row r="27">
      <c r="A27" t="inlineStr">
        <is>
          <t>Administración</t>
        </is>
      </c>
      <c r="B27" s="7" t="n">
        <v>300</v>
      </c>
      <c r="C27" s="7" t="n">
        <v>300</v>
      </c>
      <c r="D27" s="7" t="n">
        <v>300</v>
      </c>
    </row>
    <row r="28">
      <c r="A28" s="4" t="inlineStr">
        <is>
          <t>C. DESARROLLAR (aplicación propia)</t>
        </is>
      </c>
    </row>
    <row r="29">
      <c r="A29" t="inlineStr">
        <is>
          <t>Desarrollo</t>
        </is>
      </c>
      <c r="B29" s="6">
        <f>B9</f>
        <v/>
      </c>
      <c r="C29" s="7" t="n">
        <v>0</v>
      </c>
      <c r="D29" s="7" t="n">
        <v>0</v>
      </c>
    </row>
    <row r="30">
      <c r="A30" t="inlineStr">
        <is>
          <t>Hosting</t>
        </is>
      </c>
      <c r="B30" s="7" t="n">
        <v>1080</v>
      </c>
      <c r="C30" s="7" t="n">
        <v>1080</v>
      </c>
      <c r="D30" s="7" t="n">
        <v>1080</v>
      </c>
    </row>
    <row r="31">
      <c r="A31" t="inlineStr">
        <is>
          <t>Mantenimiento</t>
        </is>
      </c>
      <c r="B31" s="7" t="n">
        <v>0</v>
      </c>
      <c r="C31" s="6">
        <f>B9*B10</f>
        <v/>
      </c>
      <c r="D31" s="6">
        <f>B9*B10</f>
        <v/>
      </c>
    </row>
    <row r="32">
      <c r="A32" t="inlineStr">
        <is>
          <t>Seguridad y auditoría</t>
        </is>
      </c>
      <c r="B32" s="7" t="n">
        <v>1000</v>
      </c>
      <c r="C32" s="7" t="n">
        <v>1000</v>
      </c>
      <c r="D32" s="7" t="n">
        <v>1000</v>
      </c>
    </row>
    <row r="33">
      <c r="A33" t="inlineStr">
        <is>
          <t>Soporte y ajustes</t>
        </is>
      </c>
      <c r="B33" s="7" t="n">
        <v>1500</v>
      </c>
      <c r="C33" s="7" t="n">
        <v>1500</v>
      </c>
      <c r="D33" s="7" t="n">
        <v>1500</v>
      </c>
    </row>
    <row r="34">
      <c r="A34" t="inlineStr">
        <is>
          <t>Capacitación</t>
        </is>
      </c>
      <c r="B34" s="7" t="n">
        <v>600</v>
      </c>
      <c r="C34" s="7" t="n">
        <v>0</v>
      </c>
      <c r="D34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COMPARACIÓN A TRES AÑOS (USD)</t>
        </is>
      </c>
    </row>
    <row r="3">
      <c r="A3" s="8" t="inlineStr">
        <is>
          <t>Opción</t>
        </is>
      </c>
      <c r="B3" s="8" t="inlineStr">
        <is>
          <t>Año 1</t>
        </is>
      </c>
      <c r="C3" s="8" t="inlineStr">
        <is>
          <t>Año 2</t>
        </is>
      </c>
      <c r="D3" s="8" t="inlineStr">
        <is>
          <t>Año 3</t>
        </is>
      </c>
      <c r="E3" s="8" t="inlineStr">
        <is>
          <t>Total 3 años</t>
        </is>
      </c>
      <c r="F3" s="8" t="inlineStr">
        <is>
          <t>Costo por usuario y mes</t>
        </is>
      </c>
      <c r="G3" s="8" t="inlineStr">
        <is>
          <t>Total en COP</t>
        </is>
      </c>
      <c r="H3" s="8" t="inlineStr">
        <is>
          <t>Pago inicial (año 1) %</t>
        </is>
      </c>
    </row>
    <row r="4">
      <c r="A4" t="inlineStr">
        <is>
          <t>A. Comprar (licencia perpetua)</t>
        </is>
      </c>
      <c r="B4" s="6">
        <f>SUM(Supuestos!B16:B21)</f>
        <v/>
      </c>
      <c r="C4" s="6">
        <f>SUM(Supuestos!C16:C21)</f>
        <v/>
      </c>
      <c r="D4" s="6">
        <f>SUM(Supuestos!D16:D21)</f>
        <v/>
      </c>
      <c r="E4" s="6">
        <f>SUM(B4:D4)</f>
        <v/>
      </c>
      <c r="F4" s="9">
        <f>E4/(Supuestos!$B$3*36)</f>
        <v/>
      </c>
      <c r="G4" s="6">
        <f>E4*Supuestos!$B$4</f>
        <v/>
      </c>
      <c r="H4" s="10">
        <f>B4/E4</f>
        <v/>
      </c>
    </row>
    <row r="5">
      <c r="A5" t="inlineStr">
        <is>
          <t>B. Suscripción</t>
        </is>
      </c>
      <c r="B5" s="6">
        <f>SUM(Supuestos!B23:B27)</f>
        <v/>
      </c>
      <c r="C5" s="6">
        <f>SUM(Supuestos!C23:C27)</f>
        <v/>
      </c>
      <c r="D5" s="6">
        <f>SUM(Supuestos!D23:D27)</f>
        <v/>
      </c>
      <c r="E5" s="6">
        <f>SUM(B5:D5)</f>
        <v/>
      </c>
      <c r="F5" s="9">
        <f>E5/(Supuestos!$B$3*36)</f>
        <v/>
      </c>
      <c r="G5" s="6">
        <f>E5*Supuestos!$B$4</f>
        <v/>
      </c>
      <c r="H5" s="10">
        <f>B5/E5</f>
        <v/>
      </c>
    </row>
    <row r="6">
      <c r="A6" t="inlineStr">
        <is>
          <t>C. Desarrollar (propio)</t>
        </is>
      </c>
      <c r="B6" s="6">
        <f>SUM(Supuestos!B29:B34)</f>
        <v/>
      </c>
      <c r="C6" s="6">
        <f>SUM(Supuestos!C29:C34)</f>
        <v/>
      </c>
      <c r="D6" s="6">
        <f>SUM(Supuestos!D29:D34)</f>
        <v/>
      </c>
      <c r="E6" s="6">
        <f>SUM(B6:D6)</f>
        <v/>
      </c>
      <c r="F6" s="9">
        <f>E6/(Supuestos!$B$3*36)</f>
        <v/>
      </c>
      <c r="G6" s="6">
        <f>E6*Supuestos!$B$4</f>
        <v/>
      </c>
      <c r="H6" s="10">
        <f>B6/E6</f>
        <v/>
      </c>
    </row>
    <row r="8">
      <c r="A8" s="4" t="inlineStr">
        <is>
          <t>Opción más económica a 3 años</t>
        </is>
      </c>
      <c r="B8">
        <f>INDEX(A4:A6,MATCH(MIN(E4:E6),E4:E6,0))</f>
        <v/>
      </c>
    </row>
    <row r="9">
      <c r="A9" t="inlineStr">
        <is>
          <t>Diferencia entre la más cara y la más barata (USD)</t>
        </is>
      </c>
      <c r="B9" s="6">
        <f>MAX(E4:E6)-MIN(E4:E6)</f>
        <v/>
      </c>
    </row>
    <row r="11">
      <c r="A11" t="inlineStr">
        <is>
          <t>Nota: el costo total no es el único criterio: revisa también dependencia, portabilidad de los datos, seguridad y capacidad de mantenimiento.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COSTO A 3 AÑOS SEGÚN EL NÚMERO DE USUARIOS (USD). El resto de supuestos viene de la hoja Supuestos.</t>
        </is>
      </c>
    </row>
    <row r="3">
      <c r="A3" s="5" t="inlineStr">
        <is>
          <t>Usuarios</t>
        </is>
      </c>
      <c r="B3" s="5" t="inlineStr">
        <is>
          <t>A. Comprar</t>
        </is>
      </c>
      <c r="C3" s="5" t="inlineStr">
        <is>
          <t>B. Suscripción</t>
        </is>
      </c>
      <c r="D3" s="5" t="inlineStr">
        <is>
          <t>C. Desarrollar</t>
        </is>
      </c>
      <c r="E3" s="5" t="inlineStr">
        <is>
          <t>Más barata</t>
        </is>
      </c>
    </row>
    <row r="4">
      <c r="A4" t="n">
        <v>5</v>
      </c>
      <c r="B4" s="6">
        <f>Supuestos!$B$6*A4*(1+3*Supuestos!$B$7)+SUM(Supuestos!B17:D18)+SUM(Supuestos!B20:D21)</f>
        <v/>
      </c>
      <c r="C4" s="6">
        <f>Supuestos!$B$8*A4*12*(1+(1+Supuestos!$B$5)+(1+Supuestos!$B$5)^2)+SUM(Supuestos!B24:D27)</f>
        <v/>
      </c>
      <c r="D4" s="6">
        <f>SUM(Supuestos!B29:D34)</f>
        <v/>
      </c>
      <c r="E4">
        <f>INDEX($B$3:$D$3,MATCH(MIN(B4:D4),B4:D4,0))</f>
        <v/>
      </c>
    </row>
    <row r="5">
      <c r="A5" t="n">
        <v>10</v>
      </c>
      <c r="B5" s="6">
        <f>Supuestos!$B$6*A5*(1+3*Supuestos!$B$7)+SUM(Supuestos!B17:D18)+SUM(Supuestos!B20:D21)</f>
        <v/>
      </c>
      <c r="C5" s="6">
        <f>Supuestos!$B$8*A5*12*(1+(1+Supuestos!$B$5)+(1+Supuestos!$B$5)^2)+SUM(Supuestos!B24:D27)</f>
        <v/>
      </c>
      <c r="D5" s="6">
        <f>SUM(Supuestos!B29:D34)</f>
        <v/>
      </c>
      <c r="E5">
        <f>INDEX($B$3:$D$3,MATCH(MIN(B5:D5),B5:D5,0))</f>
        <v/>
      </c>
    </row>
    <row r="6">
      <c r="A6" t="n">
        <v>15</v>
      </c>
      <c r="B6" s="6">
        <f>Supuestos!$B$6*A6*(1+3*Supuestos!$B$7)+SUM(Supuestos!B17:D18)+SUM(Supuestos!B20:D21)</f>
        <v/>
      </c>
      <c r="C6" s="6">
        <f>Supuestos!$B$8*A6*12*(1+(1+Supuestos!$B$5)+(1+Supuestos!$B$5)^2)+SUM(Supuestos!B24:D27)</f>
        <v/>
      </c>
      <c r="D6" s="6">
        <f>SUM(Supuestos!B29:D34)</f>
        <v/>
      </c>
      <c r="E6">
        <f>INDEX($B$3:$D$3,MATCH(MIN(B6:D6),B6:D6,0))</f>
        <v/>
      </c>
    </row>
    <row r="7">
      <c r="A7" t="n">
        <v>20</v>
      </c>
      <c r="B7" s="6">
        <f>Supuestos!$B$6*A7*(1+3*Supuestos!$B$7)+SUM(Supuestos!B17:D18)+SUM(Supuestos!B20:D21)</f>
        <v/>
      </c>
      <c r="C7" s="6">
        <f>Supuestos!$B$8*A7*12*(1+(1+Supuestos!$B$5)+(1+Supuestos!$B$5)^2)+SUM(Supuestos!B24:D27)</f>
        <v/>
      </c>
      <c r="D7" s="6">
        <f>SUM(Supuestos!B29:D34)</f>
        <v/>
      </c>
      <c r="E7">
        <f>INDEX($B$3:$D$3,MATCH(MIN(B7:D7),B7:D7,0))</f>
        <v/>
      </c>
    </row>
    <row r="8">
      <c r="A8" t="n">
        <v>25</v>
      </c>
      <c r="B8" s="6">
        <f>Supuestos!$B$6*A8*(1+3*Supuestos!$B$7)+SUM(Supuestos!B17:D18)+SUM(Supuestos!B20:D21)</f>
        <v/>
      </c>
      <c r="C8" s="6">
        <f>Supuestos!$B$8*A8*12*(1+(1+Supuestos!$B$5)+(1+Supuestos!$B$5)^2)+SUM(Supuestos!B24:D27)</f>
        <v/>
      </c>
      <c r="D8" s="6">
        <f>SUM(Supuestos!B29:D34)</f>
        <v/>
      </c>
      <c r="E8">
        <f>INDEX($B$3:$D$3,MATCH(MIN(B8:D8),B8:D8,0))</f>
        <v/>
      </c>
    </row>
    <row r="9">
      <c r="A9" t="n">
        <v>30</v>
      </c>
      <c r="B9" s="6">
        <f>Supuestos!$B$6*A9*(1+3*Supuestos!$B$7)+SUM(Supuestos!B17:D18)+SUM(Supuestos!B20:D21)</f>
        <v/>
      </c>
      <c r="C9" s="6">
        <f>Supuestos!$B$8*A9*12*(1+(1+Supuestos!$B$5)+(1+Supuestos!$B$5)^2)+SUM(Supuestos!B24:D27)</f>
        <v/>
      </c>
      <c r="D9" s="6">
        <f>SUM(Supuestos!B29:D34)</f>
        <v/>
      </c>
      <c r="E9">
        <f>INDEX($B$3:$D$3,MATCH(MIN(B9:D9),B9:D9,0))</f>
        <v/>
      </c>
    </row>
    <row r="10">
      <c r="A10" t="n">
        <v>35</v>
      </c>
      <c r="B10" s="6">
        <f>Supuestos!$B$6*A10*(1+3*Supuestos!$B$7)+SUM(Supuestos!B17:D18)+SUM(Supuestos!B20:D21)</f>
        <v/>
      </c>
      <c r="C10" s="6">
        <f>Supuestos!$B$8*A10*12*(1+(1+Supuestos!$B$5)+(1+Supuestos!$B$5)^2)+SUM(Supuestos!B24:D27)</f>
        <v/>
      </c>
      <c r="D10" s="6">
        <f>SUM(Supuestos!B29:D34)</f>
        <v/>
      </c>
      <c r="E10">
        <f>INDEX($B$3:$D$3,MATCH(MIN(B10:D10),B10:D10,0))</f>
        <v/>
      </c>
    </row>
    <row r="11">
      <c r="A11" t="n">
        <v>40</v>
      </c>
      <c r="B11" s="6">
        <f>Supuestos!$B$6*A11*(1+3*Supuestos!$B$7)+SUM(Supuestos!B17:D18)+SUM(Supuestos!B20:D21)</f>
        <v/>
      </c>
      <c r="C11" s="6">
        <f>Supuestos!$B$8*A11*12*(1+(1+Supuestos!$B$5)+(1+Supuestos!$B$5)^2)+SUM(Supuestos!B24:D27)</f>
        <v/>
      </c>
      <c r="D11" s="6">
        <f>SUM(Supuestos!B29:D34)</f>
        <v/>
      </c>
      <c r="E11">
        <f>INDEX($B$3:$D$3,MATCH(MIN(B11:D11),B11:D11,0))</f>
        <v/>
      </c>
    </row>
    <row r="12">
      <c r="A12" t="n">
        <v>45</v>
      </c>
      <c r="B12" s="6">
        <f>Supuestos!$B$6*A12*(1+3*Supuestos!$B$7)+SUM(Supuestos!B17:D18)+SUM(Supuestos!B20:D21)</f>
        <v/>
      </c>
      <c r="C12" s="6">
        <f>Supuestos!$B$8*A12*12*(1+(1+Supuestos!$B$5)+(1+Supuestos!$B$5)^2)+SUM(Supuestos!B24:D27)</f>
        <v/>
      </c>
      <c r="D12" s="6">
        <f>SUM(Supuestos!B29:D34)</f>
        <v/>
      </c>
      <c r="E12">
        <f>INDEX($B$3:$D$3,MATCH(MIN(B12:D12),B12:D12,0))</f>
        <v/>
      </c>
    </row>
    <row r="13">
      <c r="A13" t="n">
        <v>50</v>
      </c>
      <c r="B13" s="6">
        <f>Supuestos!$B$6*A13*(1+3*Supuestos!$B$7)+SUM(Supuestos!B17:D18)+SUM(Supuestos!B20:D21)</f>
        <v/>
      </c>
      <c r="C13" s="6">
        <f>Supuestos!$B$8*A13*12*(1+(1+Supuestos!$B$5)+(1+Supuestos!$B$5)^2)+SUM(Supuestos!B24:D27)</f>
        <v/>
      </c>
      <c r="D13" s="6">
        <f>SUM(Supuestos!B29:D34)</f>
        <v/>
      </c>
      <c r="E13">
        <f>INDEX($B$3:$D$3,MATCH(MIN(B13:D13),B13:D13,0))</f>
        <v/>
      </c>
    </row>
    <row r="14">
      <c r="A14" t="n">
        <v>55</v>
      </c>
      <c r="B14" s="6">
        <f>Supuestos!$B$6*A14*(1+3*Supuestos!$B$7)+SUM(Supuestos!B17:D18)+SUM(Supuestos!B20:D21)</f>
        <v/>
      </c>
      <c r="C14" s="6">
        <f>Supuestos!$B$8*A14*12*(1+(1+Supuestos!$B$5)+(1+Supuestos!$B$5)^2)+SUM(Supuestos!B24:D27)</f>
        <v/>
      </c>
      <c r="D14" s="6">
        <f>SUM(Supuestos!B29:D34)</f>
        <v/>
      </c>
      <c r="E14">
        <f>INDEX($B$3:$D$3,MATCH(MIN(B14:D14),B14:D14,0))</f>
        <v/>
      </c>
    </row>
    <row r="15">
      <c r="A15" t="n">
        <v>60</v>
      </c>
      <c r="B15" s="6">
        <f>Supuestos!$B$6*A15*(1+3*Supuestos!$B$7)+SUM(Supuestos!B17:D18)+SUM(Supuestos!B20:D21)</f>
        <v/>
      </c>
      <c r="C15" s="6">
        <f>Supuestos!$B$8*A15*12*(1+(1+Supuestos!$B$5)+(1+Supuestos!$B$5)^2)+SUM(Supuestos!B24:D27)</f>
        <v/>
      </c>
      <c r="D15" s="6">
        <f>SUM(Supuestos!B29:D34)</f>
        <v/>
      </c>
      <c r="E15">
        <f>INDEX($B$3:$D$3,MATCH(MIN(B15:D15),B15:D15,0))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2026-10-09T23:51:56Z</dcterms:created>
  <dcterms:modified xmlns:dcterms="http://purl.org/dc/terms/" xmlns:xsi="http://www.w3.org/2001/XMLSchema-instance" xsi:type="dcterms:W3CDTF">2026-10-09T23:51:56Z</dcterms:modified>
</cp:coreProperties>
</file>