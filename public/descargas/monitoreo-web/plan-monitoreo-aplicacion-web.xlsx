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_de_monitoreo" sheetId="1" state="visible" r:id="rId1"/>
    <sheet xmlns:r="http://schemas.openxmlformats.org/officeDocument/2006/relationships" name="Calculadora_disponibilidad" sheetId="2" state="visible" r:id="rId2"/>
    <sheet xmlns:r="http://schemas.openxmlformats.org/officeDocument/2006/relationships" name="Alertas" sheetId="3" state="visible" r:id="rId3"/>
    <sheet xmlns:r="http://schemas.openxmlformats.org/officeDocument/2006/relationships" name="Antes_de_lanz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34" customWidth="1" min="3" max="3"/>
    <col width="46" customWidth="1" min="4" max="4"/>
    <col width="40" customWidth="1" min="5" max="5"/>
    <col width="11" customWidth="1" min="6" max="6"/>
    <col width="26" customWidth="1" min="7" max="7"/>
    <col width="40" customWidth="1" min="8" max="8"/>
    <col width="14" customWidth="1" min="9" max="9"/>
  </cols>
  <sheetData>
    <row r="1">
      <c r="A1" s="1" t="inlineStr">
        <is>
          <t>PLAN DE MONITOREO DE UNA APLICACIÓN WEB (ejemplo: sistema de inscripciones y pagos de un colegio; adáptalo)</t>
        </is>
      </c>
    </row>
    <row r="3">
      <c r="A3" s="2" t="inlineStr">
        <is>
          <t>#</t>
        </is>
      </c>
      <c r="B3" s="2" t="inlineStr">
        <is>
          <t>Señal</t>
        </is>
      </c>
      <c r="C3" s="2" t="inlineStr">
        <is>
          <t>Qué responde</t>
        </is>
      </c>
      <c r="D3" s="2" t="inlineStr">
        <is>
          <t>Qué medir (ejemplo)</t>
        </is>
      </c>
      <c r="E3" s="2" t="inlineStr">
        <is>
          <t>Umbral de alerta (ejemplo)</t>
        </is>
      </c>
      <c r="F3" s="2" t="inlineStr">
        <is>
          <t>Severidad</t>
        </is>
      </c>
      <c r="G3" s="2" t="inlineStr">
        <is>
          <t>Quién recibe la alerta</t>
        </is>
      </c>
      <c r="H3" s="2" t="inlineStr">
        <is>
          <t>Cómo se mide / herramienta</t>
        </is>
      </c>
      <c r="I3" s="2" t="inlineStr">
        <is>
          <t>Implementado (Sí/No)</t>
        </is>
      </c>
    </row>
    <row r="4">
      <c r="A4" t="n">
        <v>1</v>
      </c>
      <c r="B4" s="3" t="inlineStr">
        <is>
          <t>Disponibilidad</t>
        </is>
      </c>
      <c r="C4" s="3" t="inlineStr">
        <is>
          <t>¿Está arriba y responde bien?</t>
        </is>
      </c>
      <c r="D4" s="3" t="inlineStr">
        <is>
          <t>Comprobación cada minuto de la página de inicio y del formulario de pago</t>
        </is>
      </c>
      <c r="E4" s="3" t="inlineStr">
        <is>
          <t>3 fallos seguidos</t>
        </is>
      </c>
      <c r="F4" s="3" t="inlineStr">
        <is>
          <t>Crítica</t>
        </is>
      </c>
      <c r="G4" s="3" t="inlineStr">
        <is>
          <t>Responsable técnico y directivo</t>
        </is>
      </c>
      <c r="H4" s="3" t="inlineStr">
        <is>
          <t>Monitor externo de disponibilidad desde varios lugares</t>
        </is>
      </c>
      <c r="I4" s="4" t="inlineStr">
        <is>
          <t>No</t>
        </is>
      </c>
    </row>
    <row r="5">
      <c r="A5" t="n">
        <v>2</v>
      </c>
      <c r="B5" s="3" t="inlineStr">
        <is>
          <t>Latencia</t>
        </is>
      </c>
      <c r="C5" s="3" t="inlineStr">
        <is>
          <t>¿Responde rápido?</t>
        </is>
      </c>
      <c r="D5" s="3" t="inlineStr">
        <is>
          <t>Percentil 95 del tiempo de respuesta de las páginas clave</t>
        </is>
      </c>
      <c r="E5" s="3" t="inlineStr">
        <is>
          <t>p95 mayor de 2 s durante 10 minutos</t>
        </is>
      </c>
      <c r="F5" s="3" t="inlineStr">
        <is>
          <t>Alta</t>
        </is>
      </c>
      <c r="G5" s="3" t="inlineStr">
        <is>
          <t>Responsable técnico</t>
        </is>
      </c>
      <c r="H5" s="3" t="inlineStr">
        <is>
          <t>Registros del servidor o monitor externo</t>
        </is>
      </c>
      <c r="I5" s="4" t="inlineStr">
        <is>
          <t>No</t>
        </is>
      </c>
    </row>
    <row r="6">
      <c r="A6" t="n">
        <v>3</v>
      </c>
      <c r="B6" s="3" t="inlineStr">
        <is>
          <t>Errores</t>
        </is>
      </c>
      <c r="C6" s="3" t="inlineStr">
        <is>
          <t>¿Falla por dentro?</t>
        </is>
      </c>
      <c r="D6" s="3" t="inlineStr">
        <is>
          <t>Porcentaje de respuestas 5xx y errores de la aplicación</t>
        </is>
      </c>
      <c r="E6" s="3" t="inlineStr">
        <is>
          <t>Más del 2 % durante 5 minutos</t>
        </is>
      </c>
      <c r="F6" s="3" t="inlineStr">
        <is>
          <t>Alta</t>
        </is>
      </c>
      <c r="G6" s="3" t="inlineStr">
        <is>
          <t>Responsable técnico</t>
        </is>
      </c>
      <c r="H6" s="3" t="inlineStr">
        <is>
          <t>Registros de errores de la aplicación</t>
        </is>
      </c>
      <c r="I6" s="4" t="inlineStr">
        <is>
          <t>No</t>
        </is>
      </c>
    </row>
    <row r="7">
      <c r="A7" t="n">
        <v>4</v>
      </c>
      <c r="B7" s="3" t="inlineStr">
        <is>
          <t>Saturación</t>
        </is>
      </c>
      <c r="C7" s="3" t="inlineStr">
        <is>
          <t>¿Se está quedando sin recursos?</t>
        </is>
      </c>
      <c r="D7" s="3" t="inlineStr">
        <is>
          <t>Disco, memoria, CPU y conexiones a la base de datos</t>
        </is>
      </c>
      <c r="E7" s="3" t="inlineStr">
        <is>
          <t>Disco mayor del 85 %; CPU mayor del 90 % por 10 min</t>
        </is>
      </c>
      <c r="F7" s="3" t="inlineStr">
        <is>
          <t>Alta</t>
        </is>
      </c>
      <c r="G7" s="3" t="inlineStr">
        <is>
          <t>Responsable técnico</t>
        </is>
      </c>
      <c r="H7" s="3" t="inlineStr">
        <is>
          <t>Métricas del servidor</t>
        </is>
      </c>
      <c r="I7" s="4" t="inlineStr">
        <is>
          <t>No</t>
        </is>
      </c>
    </row>
    <row r="8">
      <c r="A8" t="n">
        <v>5</v>
      </c>
      <c r="B8" s="3" t="inlineStr">
        <is>
          <t>Tráfico</t>
        </is>
      </c>
      <c r="C8" s="3" t="inlineStr">
        <is>
          <t>¿Cuánta gente usa el sistema y cuándo?</t>
        </is>
      </c>
      <c r="D8" s="3" t="inlineStr">
        <is>
          <t>Solicitudes por minuto y usuarios activos</t>
        </is>
      </c>
      <c r="E8" s="3" t="inlineStr">
        <is>
          <t>Caída del 50 % frente a lo normal o pico inusual</t>
        </is>
      </c>
      <c r="F8" s="3" t="inlineStr">
        <is>
          <t>Media</t>
        </is>
      </c>
      <c r="G8" s="3" t="inlineStr">
        <is>
          <t>Responsable técnico</t>
        </is>
      </c>
      <c r="H8" s="3" t="inlineStr">
        <is>
          <t>Registros de acceso</t>
        </is>
      </c>
      <c r="I8" s="4" t="inlineStr">
        <is>
          <t>No</t>
        </is>
      </c>
    </row>
    <row r="9">
      <c r="A9" t="n">
        <v>6</v>
      </c>
      <c r="B9" s="3" t="inlineStr">
        <is>
          <t>Procesos programados</t>
        </is>
      </c>
      <c r="C9" s="3" t="inlineStr">
        <is>
          <t>¿Corrieron los trabajos nocturnos (respaldos, correos)?</t>
        </is>
      </c>
      <c r="D9" s="3" t="inlineStr">
        <is>
          <t>Hora de la última ejecución exitosa de cada tarea</t>
        </is>
      </c>
      <c r="E9" s="3" t="inlineStr">
        <is>
          <t>Sin ejecutar en el tiempo esperado más un margen</t>
        </is>
      </c>
      <c r="F9" s="3" t="inlineStr">
        <is>
          <t>Alta</t>
        </is>
      </c>
      <c r="G9" s="3" t="inlineStr">
        <is>
          <t>Responsable técnico</t>
        </is>
      </c>
      <c r="H9" s="3" t="inlineStr">
        <is>
          <t>Latido: la tarea avisa al terminar</t>
        </is>
      </c>
      <c r="I9" s="4" t="inlineStr">
        <is>
          <t>No</t>
        </is>
      </c>
    </row>
    <row r="10">
      <c r="A10" t="n">
        <v>7</v>
      </c>
      <c r="B10" s="3" t="inlineStr">
        <is>
          <t>Pagos y negocio</t>
        </is>
      </c>
      <c r="C10" s="3" t="inlineStr">
        <is>
          <t>¿Se están completando las operaciones clave?</t>
        </is>
      </c>
      <c r="D10" s="3" t="inlineStr">
        <is>
          <t>Pagos iniciados contra pagos confirmados por hora</t>
        </is>
      </c>
      <c r="E10" s="3" t="inlineStr">
        <is>
          <t>Pagos confirmados cero durante 2 horas en horario hábil</t>
        </is>
      </c>
      <c r="F10" s="3" t="inlineStr">
        <is>
          <t>Crítica</t>
        </is>
      </c>
      <c r="G10" s="3" t="inlineStr">
        <is>
          <t>Tesorería y responsable técnico</t>
        </is>
      </c>
      <c r="H10" s="3" t="inlineStr">
        <is>
          <t>Consulta a la base de datos y conciliación</t>
        </is>
      </c>
      <c r="I10" s="4" t="inlineStr">
        <is>
          <t>No</t>
        </is>
      </c>
    </row>
    <row r="11">
      <c r="A11" t="n">
        <v>8</v>
      </c>
      <c r="B11" s="3" t="inlineStr">
        <is>
          <t>Experiencia real (Core Web Vitals)</t>
        </is>
      </c>
      <c r="C11" s="3" t="inlineStr">
        <is>
          <t>¿Se siente rápido en el teléfono de la gente?</t>
        </is>
      </c>
      <c r="D11" s="3" t="inlineStr">
        <is>
          <t>LCP, INP y CLS en dispositivos reales</t>
        </is>
      </c>
      <c r="E11" s="3" t="inlineStr">
        <is>
          <t>LCP mayor de 2,5 s; INP mayor de 200 ms; CLS mayor de 0,1</t>
        </is>
      </c>
      <c r="F11" s="3" t="inlineStr">
        <is>
          <t>Media</t>
        </is>
      </c>
      <c r="G11" s="3" t="inlineStr">
        <is>
          <t>Responsable técnico</t>
        </is>
      </c>
      <c r="H11" s="3" t="inlineStr">
        <is>
          <t>Datos de campo (informe de experiencia del navegador) o medición propia</t>
        </is>
      </c>
      <c r="I11" s="4" t="inlineStr">
        <is>
          <t>No</t>
        </is>
      </c>
    </row>
    <row r="12">
      <c r="A12" t="n">
        <v>9</v>
      </c>
      <c r="B12" s="3" t="inlineStr">
        <is>
          <t>Seguridad</t>
        </is>
      </c>
      <c r="C12" s="3" t="inlineStr">
        <is>
          <t>¿Hay intentos anómalos?</t>
        </is>
      </c>
      <c r="D12" s="3" t="inlineStr">
        <is>
          <t>Inicios de sesión fallidos, cuentas nuevas con privilegios, cambios de archivos</t>
        </is>
      </c>
      <c r="E12" s="3" t="inlineStr">
        <is>
          <t>Más de 20 fallos por minuto desde una dirección</t>
        </is>
      </c>
      <c r="F12" s="3" t="inlineStr">
        <is>
          <t>Alta</t>
        </is>
      </c>
      <c r="G12" s="3" t="inlineStr">
        <is>
          <t>Responsable técnico y de datos</t>
        </is>
      </c>
      <c r="H12" s="3" t="inlineStr">
        <is>
          <t>Registros de autenticación</t>
        </is>
      </c>
      <c r="I12" s="4" t="inlineStr">
        <is>
          <t>No</t>
        </is>
      </c>
    </row>
    <row r="13">
      <c r="A13" t="n">
        <v>10</v>
      </c>
      <c r="B13" s="3" t="inlineStr">
        <is>
          <t>Certificados y dominios</t>
        </is>
      </c>
      <c r="C13" s="3" t="inlineStr">
        <is>
          <t>¿Se vence algo importante?</t>
        </is>
      </c>
      <c r="D13" s="3" t="inlineStr">
        <is>
          <t>Días para el vencimiento del certificado TLS y del dominio</t>
        </is>
      </c>
      <c r="E13" s="3" t="inlineStr">
        <is>
          <t>Menos de 21 días</t>
        </is>
      </c>
      <c r="F13" s="3" t="inlineStr">
        <is>
          <t>Media</t>
        </is>
      </c>
      <c r="G13" s="3" t="inlineStr">
        <is>
          <t>Responsable técnico</t>
        </is>
      </c>
      <c r="H13" s="3" t="inlineStr">
        <is>
          <t>Monitor de certificados y calendario</t>
        </is>
      </c>
      <c r="I13" s="4" t="inlineStr">
        <is>
          <t>No</t>
        </is>
      </c>
    </row>
    <row r="15">
      <c r="B15" t="inlineStr">
        <is>
          <t>Señales implementadas</t>
        </is>
      </c>
      <c r="E15">
        <f>COUNTIF(I4:I13,"Sí")&amp;" de "&amp;COUNTA(B4:B13)</f>
        <v/>
      </c>
    </row>
    <row r="16">
      <c r="B16" t="inlineStr">
        <is>
          <t>Señales críticas sin implementar</t>
        </is>
      </c>
      <c r="E16">
        <f>COUNTIFS(F4:F13,"Crítica",I4:I13,"No")</f>
        <v/>
      </c>
    </row>
    <row r="17">
      <c r="B17" t="inlineStr">
        <is>
          <t>Lectura</t>
        </is>
      </c>
      <c r="E17">
        <f>IF(E16&gt;0,"Empieza por las señales críticas: aún no te enterarías de una caída o de un fallo de pagos","Las señales críticas están cubiertas: sigue con las demás")</f>
        <v/>
      </c>
    </row>
  </sheetData>
  <dataValidations count="1">
    <dataValidation sqref="I4:I13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</cols>
  <sheetData>
    <row r="1">
      <c r="A1" s="1" t="inlineStr">
        <is>
          <t>CUÁNTO TIEMPO CAÍDO PERMITE UNA META DE DISPONIBILIDAD</t>
        </is>
      </c>
    </row>
    <row r="3">
      <c r="A3" t="inlineStr">
        <is>
          <t>Meta de disponibilidad (%)</t>
        </is>
      </c>
      <c r="B3" s="4" t="n">
        <v>99.90000000000001</v>
      </c>
    </row>
    <row r="4">
      <c r="A4" t="inlineStr">
        <is>
          <t>Periodo (días)</t>
        </is>
      </c>
      <c r="B4" s="4" t="n">
        <v>30</v>
      </c>
    </row>
    <row r="5">
      <c r="A5" t="inlineStr">
        <is>
          <t>Minutos del periodo</t>
        </is>
      </c>
      <c r="B5">
        <f>B4*24*60</f>
        <v/>
      </c>
    </row>
    <row r="6">
      <c r="A6" t="inlineStr">
        <is>
          <t>Minutos caído permitidos</t>
        </is>
      </c>
      <c r="B6" s="5">
        <f>B5*(1-B3/100)</f>
        <v/>
      </c>
    </row>
    <row r="7">
      <c r="A7" t="inlineStr">
        <is>
          <t>En horas</t>
        </is>
      </c>
      <c r="B7" s="6">
        <f>B6/60</f>
        <v/>
      </c>
    </row>
    <row r="9">
      <c r="A9" s="7" t="inlineStr">
        <is>
          <t>TABLA COMPARATIVA (periodo de arriba)</t>
        </is>
      </c>
    </row>
    <row r="10">
      <c r="A10" s="8" t="inlineStr">
        <is>
          <t>Disponibilidad (%)</t>
        </is>
      </c>
      <c r="B10" s="8" t="inlineStr">
        <is>
          <t>Minutos caído permitidos</t>
        </is>
      </c>
      <c r="C10" s="8" t="inlineStr">
        <is>
          <t>Horas</t>
        </is>
      </c>
    </row>
    <row r="11">
      <c r="A11" t="n">
        <v>99</v>
      </c>
      <c r="B11" s="5">
        <f>$B$5*(1-A11/100)</f>
        <v/>
      </c>
      <c r="C11" s="6">
        <f>B11/60</f>
        <v/>
      </c>
    </row>
    <row r="12">
      <c r="A12" t="n">
        <v>99.5</v>
      </c>
      <c r="B12" s="5">
        <f>$B$5*(1-A12/100)</f>
        <v/>
      </c>
      <c r="C12" s="6">
        <f>B12/60</f>
        <v/>
      </c>
    </row>
    <row r="13">
      <c r="A13" t="n">
        <v>99.90000000000001</v>
      </c>
      <c r="B13" s="5">
        <f>$B$5*(1-A13/100)</f>
        <v/>
      </c>
      <c r="C13" s="6">
        <f>B13/60</f>
        <v/>
      </c>
    </row>
    <row r="14">
      <c r="A14" t="n">
        <v>99.95</v>
      </c>
      <c r="B14" s="5">
        <f>$B$5*(1-A14/100)</f>
        <v/>
      </c>
      <c r="C14" s="6">
        <f>B14/60</f>
        <v/>
      </c>
    </row>
    <row r="15">
      <c r="A15" t="n">
        <v>99.98999999999999</v>
      </c>
      <c r="B15" s="5">
        <f>$B$5*(1-A15/100)</f>
        <v/>
      </c>
      <c r="C15" s="6">
        <f>B15/60</f>
        <v/>
      </c>
    </row>
    <row r="17">
      <c r="A17" t="inlineStr">
        <is>
          <t>Una meta más alta cuesta más: cada «nueve» extra exige redundancia, procesos y personal. Elige la meta según el daño de una caída para tus usuarios, no por prestigio.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32" customWidth="1" min="3" max="3"/>
    <col width="24" customWidth="1" min="4" max="4"/>
    <col width="34" customWidth="1" min="5" max="5"/>
  </cols>
  <sheetData>
    <row r="1">
      <c r="A1" s="1" t="inlineStr">
        <is>
          <t>REGLAS PARA QUE LAS ALERTAS SIRVAN (y no se ignoren)</t>
        </is>
      </c>
    </row>
    <row r="3">
      <c r="A3" s="8" t="inlineStr">
        <is>
          <t>Severidad</t>
        </is>
      </c>
      <c r="B3" s="8" t="inlineStr">
        <is>
          <t>Cuándo aplica</t>
        </is>
      </c>
      <c r="C3" s="8" t="inlineStr">
        <is>
          <t>Quién responde</t>
        </is>
      </c>
      <c r="D3" s="8" t="inlineStr">
        <is>
          <t>Tiempo máximo para actuar</t>
        </is>
      </c>
      <c r="E3" s="8" t="inlineStr">
        <is>
          <t>Canal</t>
        </is>
      </c>
    </row>
    <row r="4">
      <c r="A4" s="3" t="inlineStr">
        <is>
          <t>Crítica</t>
        </is>
      </c>
      <c r="B4" s="3" t="inlineStr">
        <is>
          <t>El servicio está caído o no se pueden hacer pagos</t>
        </is>
      </c>
      <c r="C4" s="9" t="inlineStr">
        <is>
          <t>Responsable técnico y directivo</t>
        </is>
      </c>
      <c r="D4" s="9" t="inlineStr">
        <is>
          <t>15 minutos</t>
        </is>
      </c>
      <c r="E4" s="3" t="inlineStr">
        <is>
          <t>Llamada o mensaje con confirmación</t>
        </is>
      </c>
    </row>
    <row r="5">
      <c r="A5" s="3" t="inlineStr">
        <is>
          <t>Alta</t>
        </is>
      </c>
      <c r="B5" s="3" t="inlineStr">
        <is>
          <t>Degradación seria o riesgo cercano (disco casi lleno, errores altos)</t>
        </is>
      </c>
      <c r="C5" s="9" t="inlineStr">
        <is>
          <t>Responsable técnico</t>
        </is>
      </c>
      <c r="D5" s="9" t="inlineStr">
        <is>
          <t>1 hora en horario hábil</t>
        </is>
      </c>
      <c r="E5" s="3" t="inlineStr">
        <is>
          <t>Mensaje al celular</t>
        </is>
      </c>
    </row>
    <row r="6">
      <c r="A6" s="3" t="inlineStr">
        <is>
          <t>Media</t>
        </is>
      </c>
      <c r="B6" s="3" t="inlineStr">
        <is>
          <t>Algo por revisar pronto (certificado por vencer, tráfico raro)</t>
        </is>
      </c>
      <c r="C6" s="9" t="inlineStr">
        <is>
          <t>Responsable técnico</t>
        </is>
      </c>
      <c r="D6" s="9" t="inlineStr">
        <is>
          <t>1 día hábil</t>
        </is>
      </c>
      <c r="E6" s="3" t="inlineStr">
        <is>
          <t>Correo o tablero</t>
        </is>
      </c>
    </row>
    <row r="7">
      <c r="A7" s="3" t="inlineStr">
        <is>
          <t>Informativa</t>
        </is>
      </c>
      <c r="B7" s="3" t="inlineStr">
        <is>
          <t>Datos para tendencias</t>
        </is>
      </c>
      <c r="C7" s="9" t="inlineStr">
        <is>
          <t>Nadie debe despertarse</t>
        </is>
      </c>
      <c r="D7" s="9" t="inlineStr">
        <is>
          <t>En la revisión semanal</t>
        </is>
      </c>
      <c r="E7" s="3" t="inlineStr">
        <is>
          <t>Tablero</t>
        </is>
      </c>
    </row>
    <row r="9" ht="44" customHeight="1">
      <c r="A9" s="3" t="inlineStr">
        <is>
          <t>Reglas: cada alerta tiene un responsable con nombre; cada alerta explica qué hacer primero; si una alerta se ignora tres veces, se arregla la causa o se elimina; las alertas críticas se prueban cada trimestre.</t>
        </is>
      </c>
    </row>
  </sheetData>
  <mergeCells count="1"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100" customWidth="1" min="2" max="2"/>
    <col width="12" customWidth="1" min="3" max="3"/>
  </cols>
  <sheetData>
    <row r="1">
      <c r="A1" s="1" t="inlineStr">
        <is>
          <t>LISTA «ANTES DE LANZAR»: ¿VAS A ENTERARTE SI FALLA?</t>
        </is>
      </c>
    </row>
    <row r="3">
      <c r="A3" s="8" t="inlineStr">
        <is>
          <t>#</t>
        </is>
      </c>
      <c r="B3" s="8" t="inlineStr">
        <is>
          <t>Pregunta</t>
        </is>
      </c>
      <c r="C3" s="8" t="inlineStr">
        <is>
          <t>Sí / No</t>
        </is>
      </c>
    </row>
    <row r="4">
      <c r="A4" t="n">
        <v>1</v>
      </c>
      <c r="B4" s="3" t="inlineStr">
        <is>
          <t>¿Hay una comprobación externa de disponibilidad de la página principal y del flujo crítico (por ejemplo, el pago)?</t>
        </is>
      </c>
      <c r="C4" s="4" t="inlineStr">
        <is>
          <t>No</t>
        </is>
      </c>
    </row>
    <row r="5">
      <c r="A5" t="n">
        <v>2</v>
      </c>
      <c r="B5" s="3" t="inlineStr">
        <is>
          <t>¿Los errores de la aplicación se registran y alguien los revisa?</t>
        </is>
      </c>
      <c r="C5" s="4" t="inlineStr">
        <is>
          <t>No</t>
        </is>
      </c>
    </row>
    <row r="6">
      <c r="A6" t="n">
        <v>3</v>
      </c>
      <c r="B6" s="3" t="inlineStr">
        <is>
          <t>¿Se mide el tiempo de respuesta de las páginas clave?</t>
        </is>
      </c>
      <c r="C6" s="4" t="inlineStr">
        <is>
          <t>No</t>
        </is>
      </c>
    </row>
    <row r="7">
      <c r="A7" t="n">
        <v>4</v>
      </c>
      <c r="B7" s="3" t="inlineStr">
        <is>
          <t>¿Hay alertas por disco, memoria y base de datos?</t>
        </is>
      </c>
      <c r="C7" s="4" t="inlineStr">
        <is>
          <t>No</t>
        </is>
      </c>
    </row>
    <row r="8">
      <c r="A8" t="n">
        <v>5</v>
      </c>
      <c r="B8" s="3" t="inlineStr">
        <is>
          <t>¿Los trabajos programados avisan si NO corrieron?</t>
        </is>
      </c>
      <c r="C8" s="4" t="inlineStr">
        <is>
          <t>No</t>
        </is>
      </c>
    </row>
    <row r="9">
      <c r="A9" t="n">
        <v>6</v>
      </c>
      <c r="B9" s="3" t="inlineStr">
        <is>
          <t>¿Hay una alerta por pagos o inscripciones que dejan de llegar?</t>
        </is>
      </c>
      <c r="C9" s="4" t="inlineStr">
        <is>
          <t>No</t>
        </is>
      </c>
    </row>
    <row r="10">
      <c r="A10" t="n">
        <v>7</v>
      </c>
      <c r="B10" s="3" t="inlineStr">
        <is>
          <t>¿Cada alerta tiene un responsable con nombre y un canal que sí se lee?</t>
        </is>
      </c>
      <c r="C10" s="4" t="inlineStr">
        <is>
          <t>No</t>
        </is>
      </c>
    </row>
    <row r="11">
      <c r="A11" t="n">
        <v>8</v>
      </c>
      <c r="B11" s="3" t="inlineStr">
        <is>
          <t>¿Se probó una alerta de verdad (se apagó algo a propósito)?</t>
        </is>
      </c>
      <c r="C11" s="4" t="inlineStr">
        <is>
          <t>No</t>
        </is>
      </c>
    </row>
    <row r="12">
      <c r="A12" t="n">
        <v>9</v>
      </c>
      <c r="B12" s="3" t="inlineStr">
        <is>
          <t>¿Se vigilan los vencimientos de certificado y dominio?</t>
        </is>
      </c>
      <c r="C12" s="4" t="inlineStr">
        <is>
          <t>No</t>
        </is>
      </c>
    </row>
    <row r="13">
      <c r="A13" t="n">
        <v>10</v>
      </c>
      <c r="B13" s="3" t="inlineStr">
        <is>
          <t>¿Hay un respaldo probado y un plan para una caída (ver el protocolo de ransomware)?</t>
        </is>
      </c>
      <c r="C13" s="4" t="inlineStr">
        <is>
          <t>No</t>
        </is>
      </c>
    </row>
    <row r="15">
      <c r="B15" t="inlineStr">
        <is>
          <t>Respuestas Sí</t>
        </is>
      </c>
      <c r="C15">
        <f>COUNTIF(C4:C13,"Sí")&amp;" de 10"</f>
        <v/>
      </c>
    </row>
  </sheetData>
  <dataValidations count="1">
    <dataValidation sqref="C4:C13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2026-10-10T12:19:31Z</dcterms:created>
  <dcterms:modified xmlns:dcterms="http://purl.org/dc/terms/" xmlns:xsi="http://www.w3.org/2001/XMLSchema-instance" xsi:type="dcterms:W3CDTF">2026-10-10T12:19:31Z</dcterms:modified>
</cp:coreProperties>
</file>