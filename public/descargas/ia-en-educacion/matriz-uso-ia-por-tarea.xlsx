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T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90" customWidth="1" min="3" max="3"/>
  </cols>
  <sheetData>
    <row r="1">
      <c r="A1" s="1" t="inlineStr">
        <is>
          <t>ESCALA DE USO DE IA POR TAREA (adaptada de la AI Assessment Scale, versión 1, de Furze, Perkins, Roe y MacVaugh) Y NIVEL MÁXIMO SEGÚN EL OBJETIVO</t>
        </is>
      </c>
    </row>
    <row r="3">
      <c r="A3" s="2" t="inlineStr">
        <is>
          <t>Nivel</t>
        </is>
      </c>
      <c r="B3" s="2" t="inlineStr">
        <is>
          <t>Nombre</t>
        </is>
      </c>
      <c r="C3" s="2" t="inlineStr">
        <is>
          <t>Qué se permite</t>
        </is>
      </c>
    </row>
    <row r="4">
      <c r="A4" s="3" t="n">
        <v>1</v>
      </c>
      <c r="B4" s="3" t="inlineStr">
        <is>
          <t>Sin IA</t>
        </is>
      </c>
      <c r="C4" s="3" t="inlineStr">
        <is>
          <t>La tarea se hace sin herramientas de IA (en clase, a mano o con supervisión)</t>
        </is>
      </c>
    </row>
    <row r="5">
      <c r="A5" s="3" t="n">
        <v>2</v>
      </c>
      <c r="B5" s="3" t="inlineStr">
        <is>
          <t>Lluvia de ideas</t>
        </is>
      </c>
      <c r="C5" s="3" t="inlineStr">
        <is>
          <t>La IA puede usarse al inicio para generar y revisar ideas</t>
        </is>
      </c>
    </row>
    <row r="6">
      <c r="A6" s="3" t="n">
        <v>3</v>
      </c>
      <c r="B6" s="3" t="inlineStr">
        <is>
          <t>Esquemas y notas</t>
        </is>
      </c>
      <c r="C6" s="3" t="inlineStr">
        <is>
          <t>La IA puede proponer esquemas u ordenar notas; la redacción es propia</t>
        </is>
      </c>
    </row>
    <row r="7">
      <c r="A7" s="3" t="n">
        <v>4</v>
      </c>
      <c r="B7" s="3" t="inlineStr">
        <is>
          <t>Retroalimentación y edición</t>
        </is>
      </c>
      <c r="C7" s="3" t="inlineStr">
        <is>
          <t>La IA puede dar retroalimentación, sugerir ediciones y revisar; las ideas son propias y se declara el uso</t>
        </is>
      </c>
    </row>
    <row r="8">
      <c r="A8" s="3" t="n">
        <v>5</v>
      </c>
      <c r="B8" s="3" t="inlineStr">
        <is>
          <t>IA total</t>
        </is>
      </c>
      <c r="C8" s="3" t="inlineStr">
        <is>
          <t>La IA puede generar todo el producto; se evalúa lo que se hace con él (verificar, criticar, usar)</t>
        </is>
      </c>
    </row>
    <row r="11">
      <c r="A11" s="2" t="inlineStr">
        <is>
          <t>Objetivo de aprendizaje que evalúa la tarea</t>
        </is>
      </c>
      <c r="B11" s="2" t="inlineStr">
        <is>
          <t>Nivel máximo recomendado</t>
        </is>
      </c>
      <c r="C11" s="2" t="inlineStr">
        <is>
          <t>Por qué</t>
        </is>
      </c>
    </row>
    <row r="12">
      <c r="A12" s="3" t="inlineStr">
        <is>
          <t>Conocimiento base</t>
        </is>
      </c>
      <c r="B12" s="4" t="n">
        <v>1</v>
      </c>
      <c r="C12" s="3" t="inlineStr">
        <is>
          <t>Se quiere saber qué sabe el estudiante sin ayuda</t>
        </is>
      </c>
    </row>
    <row r="13">
      <c r="A13" s="3" t="inlineStr">
        <is>
          <t>Escritura y razonamiento propios</t>
        </is>
      </c>
      <c r="B13" s="4" t="n">
        <v>3</v>
      </c>
      <c r="C13" s="3" t="inlineStr">
        <is>
          <t>Se evalúa cómo redacta y razona; la IA puede ayudar a empezar y ordenar, no a escribir</t>
        </is>
      </c>
    </row>
    <row r="14">
      <c r="A14" s="3" t="inlineStr">
        <is>
          <t>Ideas y comprensión</t>
        </is>
      </c>
      <c r="B14" s="4" t="n">
        <v>4</v>
      </c>
      <c r="C14" s="3" t="inlineStr">
        <is>
          <t>Se evalúa qué entiende y qué ideas aporta, más que la redacción</t>
        </is>
      </c>
    </row>
    <row r="15">
      <c r="A15" s="3" t="inlineStr">
        <is>
          <t>Habilidad de usar IA</t>
        </is>
      </c>
      <c r="B15" s="4" t="n">
        <v>5</v>
      </c>
      <c r="C15" s="3" t="inlineStr">
        <is>
          <t>Usar y juzgar la IA es el objetivo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0" customWidth="1" min="2" max="2"/>
  </cols>
  <sheetData>
    <row r="1">
      <c r="A1" s="1" t="inlineStr">
        <is>
          <t>RESUMEN</t>
        </is>
      </c>
    </row>
    <row r="3">
      <c r="A3" t="inlineStr">
        <is>
          <t>Tareas revisadas</t>
        </is>
      </c>
      <c r="B3" s="5">
        <f>COUNTA(Tareas!B4:B15)</f>
        <v/>
      </c>
    </row>
    <row r="4">
      <c r="A4" t="inlineStr">
        <is>
          <t>Tareas en el nivel 1 (Sin IA)</t>
        </is>
      </c>
      <c r="B4" s="5">
        <f>COUNTIF(Tareas!D4:D15,1)</f>
        <v/>
      </c>
    </row>
    <row r="5">
      <c r="A5" t="inlineStr">
        <is>
          <t>Tareas en el nivel 2 (Lluvia de ideas)</t>
        </is>
      </c>
      <c r="B5" s="5">
        <f>COUNTIF(Tareas!D4:D15,2)</f>
        <v/>
      </c>
    </row>
    <row r="6">
      <c r="A6" t="inlineStr">
        <is>
          <t>Tareas en el nivel 3 (Esquemas y notas)</t>
        </is>
      </c>
      <c r="B6" s="5">
        <f>COUNTIF(Tareas!D4:D15,3)</f>
        <v/>
      </c>
    </row>
    <row r="7">
      <c r="A7" t="inlineStr">
        <is>
          <t>Tareas en el nivel 4 (Retroalimentación y edición)</t>
        </is>
      </c>
      <c r="B7" s="5">
        <f>COUNTIF(Tareas!D4:D15,4)</f>
        <v/>
      </c>
    </row>
    <row r="8">
      <c r="A8" t="inlineStr">
        <is>
          <t>Tareas en el nivel 5 (IA total)</t>
        </is>
      </c>
      <c r="B8" s="5">
        <f>COUNTIF(Tareas!D4:D15,5)</f>
        <v/>
      </c>
    </row>
    <row r="9">
      <c r="A9" t="inlineStr">
        <is>
          <t>Tareas con IA permitida (nivel 2 o más)</t>
        </is>
      </c>
      <c r="B9" s="5">
        <f>COUNTIF(Tareas!D4:D15,"&gt;=2")</f>
        <v/>
      </c>
    </row>
    <row r="10">
      <c r="A10" t="inlineStr">
        <is>
          <t>% de tareas con IA permitida</t>
        </is>
      </c>
      <c r="B10" s="6">
        <f>B9/B3</f>
        <v/>
      </c>
    </row>
    <row r="11">
      <c r="A11" t="inlineStr">
        <is>
          <t>Tareas desalineadas con su objetivo</t>
        </is>
      </c>
      <c r="B11" s="5">
        <f>COUNTIF(Tareas!H4:H15,"Desal*")</f>
        <v/>
      </c>
    </row>
    <row r="12">
      <c r="A12" t="inlineStr">
        <is>
          <t>Tareas con IA sin pedir declaración</t>
        </is>
      </c>
      <c r="B12" s="5">
        <f>COUNTIF(Tareas!I4:I15,"Falta*")</f>
        <v/>
      </c>
    </row>
    <row r="13">
      <c r="A13" t="inlineStr">
        <is>
          <t>Tareas con IA sin evidencia del proceso</t>
        </is>
      </c>
      <c r="B13" s="5">
        <f>COUNTIF(Tareas!J4:J15,"Falta*")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32" customWidth="1" min="3" max="3"/>
    <col width="14" customWidth="1" min="4" max="4"/>
    <col width="16" customWidth="1" min="5" max="5"/>
    <col width="16" customWidth="1" min="6" max="6"/>
    <col width="14" customWidth="1" min="7" max="7"/>
    <col width="40" customWidth="1" min="8" max="8"/>
    <col width="32" customWidth="1" min="9" max="9"/>
    <col width="28" customWidth="1" min="10" max="10"/>
  </cols>
  <sheetData>
    <row r="1">
      <c r="A1" s="1" t="inlineStr">
        <is>
          <t>MATRIZ DE USO DE IA POR TAREA (ejemplo ficticio: Ciencias Naturales, grado 9.°)</t>
        </is>
      </c>
    </row>
    <row r="3" ht="60" customHeight="1">
      <c r="A3" s="2" t="inlineStr">
        <is>
          <t>N.º</t>
        </is>
      </c>
      <c r="B3" s="2" t="inlineStr">
        <is>
          <t>Tarea</t>
        </is>
      </c>
      <c r="C3" s="2" t="inlineStr">
        <is>
          <t>Objetivo que evalúa</t>
        </is>
      </c>
      <c r="D3" s="2" t="inlineStr">
        <is>
          <t>Nivel de IA permitido (1 a 5)</t>
        </is>
      </c>
      <c r="E3" s="2" t="inlineStr">
        <is>
          <t>¿Se pide declarar el uso? (Sí/No)</t>
        </is>
      </c>
      <c r="F3" s="2" t="inlineStr">
        <is>
          <t>¿Hay evidencia del proceso? (Sí/No)</t>
        </is>
      </c>
      <c r="G3" s="2" t="inlineStr">
        <is>
          <t>Nivel máximo recomendado</t>
        </is>
      </c>
      <c r="H3" s="2" t="inlineStr">
        <is>
          <t>Alineación</t>
        </is>
      </c>
      <c r="I3" s="2" t="inlineStr">
        <is>
          <t>Declaración</t>
        </is>
      </c>
      <c r="J3" s="2" t="inlineStr">
        <is>
          <t>Evidencia</t>
        </is>
      </c>
    </row>
    <row r="4">
      <c r="A4" t="n">
        <v>1</v>
      </c>
      <c r="B4" s="3" t="inlineStr">
        <is>
          <t>Quiz semanal de vocabulario científico</t>
        </is>
      </c>
      <c r="C4" s="7" t="inlineStr">
        <is>
          <t>Conocimiento base</t>
        </is>
      </c>
      <c r="D4" s="7" t="n">
        <v>1</v>
      </c>
      <c r="E4" s="7" t="inlineStr">
        <is>
          <t>No</t>
        </is>
      </c>
      <c r="F4" s="7" t="inlineStr">
        <is>
          <t>No</t>
        </is>
      </c>
      <c r="G4">
        <f>VLOOKUP(C4,Parametros!$A$12:$B$15,2,FALSE)</f>
        <v/>
      </c>
      <c r="H4">
        <f>IF(D4&gt;G4,"Desalineada: permite más IA de la que admite el objetivo","Alineada")</f>
        <v/>
      </c>
      <c r="I4">
        <f>IF(AND(D4&gt;=2,E4="No"),"Falta pedir que se declare el uso","")</f>
        <v/>
      </c>
      <c r="J4">
        <f>IF(AND(D4&gt;=2,F4="No"),"Falta evidencia del proceso","")</f>
        <v/>
      </c>
    </row>
    <row r="5">
      <c r="A5" t="n">
        <v>2</v>
      </c>
      <c r="B5" s="3" t="inlineStr">
        <is>
          <t>Informe de laboratorio con datos propios</t>
        </is>
      </c>
      <c r="C5" s="7" t="inlineStr">
        <is>
          <t>Escritura y razonamiento propios</t>
        </is>
      </c>
      <c r="D5" s="7" t="n">
        <v>3</v>
      </c>
      <c r="E5" s="7" t="inlineStr">
        <is>
          <t>Sí</t>
        </is>
      </c>
      <c r="F5" s="7" t="inlineStr">
        <is>
          <t>Sí</t>
        </is>
      </c>
      <c r="G5">
        <f>VLOOKUP(C5,Parametros!$A$12:$B$15,2,FALSE)</f>
        <v/>
      </c>
      <c r="H5">
        <f>IF(D5&gt;G5,"Desalineada: permite más IA de la que admite el objetivo","Alineada")</f>
        <v/>
      </c>
      <c r="I5">
        <f>IF(AND(D5&gt;=2,E5="No"),"Falta pedir que se declare el uso","")</f>
        <v/>
      </c>
      <c r="J5">
        <f>IF(AND(D5&gt;=2,F5="No"),"Falta evidencia del proceso","")</f>
        <v/>
      </c>
    </row>
    <row r="6">
      <c r="A6" t="n">
        <v>3</v>
      </c>
      <c r="B6" s="3" t="inlineStr">
        <is>
          <t>Ensayo argumentativo sobre energías renovables</t>
        </is>
      </c>
      <c r="C6" s="7" t="inlineStr">
        <is>
          <t>Escritura y razonamiento propios</t>
        </is>
      </c>
      <c r="D6" s="7" t="n">
        <v>4</v>
      </c>
      <c r="E6" s="7" t="inlineStr">
        <is>
          <t>Sí</t>
        </is>
      </c>
      <c r="F6" s="7" t="inlineStr">
        <is>
          <t>No</t>
        </is>
      </c>
      <c r="G6">
        <f>VLOOKUP(C6,Parametros!$A$12:$B$15,2,FALSE)</f>
        <v/>
      </c>
      <c r="H6">
        <f>IF(D6&gt;G6,"Desalineada: permite más IA de la que admite el objetivo","Alineada")</f>
        <v/>
      </c>
      <c r="I6">
        <f>IF(AND(D6&gt;=2,E6="No"),"Falta pedir que se declare el uso","")</f>
        <v/>
      </c>
      <c r="J6">
        <f>IF(AND(D6&gt;=2,F6="No"),"Falta evidencia del proceso","")</f>
        <v/>
      </c>
    </row>
    <row r="7">
      <c r="A7" t="n">
        <v>4</v>
      </c>
      <c r="B7" s="3" t="inlineStr">
        <is>
          <t>Resumen de un artículo para la cartelera</t>
        </is>
      </c>
      <c r="C7" s="7" t="inlineStr">
        <is>
          <t>Ideas y comprensión</t>
        </is>
      </c>
      <c r="D7" s="7" t="n">
        <v>4</v>
      </c>
      <c r="E7" s="7" t="inlineStr">
        <is>
          <t>No</t>
        </is>
      </c>
      <c r="F7" s="7" t="inlineStr">
        <is>
          <t>No</t>
        </is>
      </c>
      <c r="G7">
        <f>VLOOKUP(C7,Parametros!$A$12:$B$15,2,FALSE)</f>
        <v/>
      </c>
      <c r="H7">
        <f>IF(D7&gt;G7,"Desalineada: permite más IA de la que admite el objetivo","Alineada")</f>
        <v/>
      </c>
      <c r="I7">
        <f>IF(AND(D7&gt;=2,E7="No"),"Falta pedir que se declare el uso","")</f>
        <v/>
      </c>
      <c r="J7">
        <f>IF(AND(D7&gt;=2,F7="No"),"Falta evidencia del proceso","")</f>
        <v/>
      </c>
    </row>
    <row r="8">
      <c r="A8" t="n">
        <v>5</v>
      </c>
      <c r="B8" s="3" t="inlineStr">
        <is>
          <t>Proyecto: diseño de un experimento</t>
        </is>
      </c>
      <c r="C8" s="7" t="inlineStr">
        <is>
          <t>Ideas y comprensión</t>
        </is>
      </c>
      <c r="D8" s="7" t="n">
        <v>4</v>
      </c>
      <c r="E8" s="7" t="inlineStr">
        <is>
          <t>Sí</t>
        </is>
      </c>
      <c r="F8" s="7" t="inlineStr">
        <is>
          <t>Sí</t>
        </is>
      </c>
      <c r="G8">
        <f>VLOOKUP(C8,Parametros!$A$12:$B$15,2,FALSE)</f>
        <v/>
      </c>
      <c r="H8">
        <f>IF(D8&gt;G8,"Desalineada: permite más IA de la que admite el objetivo","Alineada")</f>
        <v/>
      </c>
      <c r="I8">
        <f>IF(AND(D8&gt;=2,E8="No"),"Falta pedir que se declare el uso","")</f>
        <v/>
      </c>
      <c r="J8">
        <f>IF(AND(D8&gt;=2,F8="No"),"Falta evidencia del proceso","")</f>
        <v/>
      </c>
    </row>
    <row r="9">
      <c r="A9" t="n">
        <v>6</v>
      </c>
      <c r="B9" s="3" t="inlineStr">
        <is>
          <t>Examen de periodo</t>
        </is>
      </c>
      <c r="C9" s="7" t="inlineStr">
        <is>
          <t>Conocimiento base</t>
        </is>
      </c>
      <c r="D9" s="7" t="n">
        <v>1</v>
      </c>
      <c r="E9" s="7" t="inlineStr">
        <is>
          <t>No</t>
        </is>
      </c>
      <c r="F9" s="7" t="inlineStr">
        <is>
          <t>No</t>
        </is>
      </c>
      <c r="G9">
        <f>VLOOKUP(C9,Parametros!$A$12:$B$15,2,FALSE)</f>
        <v/>
      </c>
      <c r="H9">
        <f>IF(D9&gt;G9,"Desalineada: permite más IA de la que admite el objetivo","Alineada")</f>
        <v/>
      </c>
      <c r="I9">
        <f>IF(AND(D9&gt;=2,E9="No"),"Falta pedir que se declare el uso","")</f>
        <v/>
      </c>
      <c r="J9">
        <f>IF(AND(D9&gt;=2,F9="No"),"Falta evidencia del proceso","")</f>
        <v/>
      </c>
    </row>
    <row r="10">
      <c r="A10" t="n">
        <v>7</v>
      </c>
      <c r="B10" s="3" t="inlineStr">
        <is>
          <t>Taller: comparar respuestas de una IA y verificarlas</t>
        </is>
      </c>
      <c r="C10" s="7" t="inlineStr">
        <is>
          <t>Habilidad de usar IA</t>
        </is>
      </c>
      <c r="D10" s="7" t="n">
        <v>5</v>
      </c>
      <c r="E10" s="7" t="inlineStr">
        <is>
          <t>Sí</t>
        </is>
      </c>
      <c r="F10" s="7" t="inlineStr">
        <is>
          <t>Sí</t>
        </is>
      </c>
      <c r="G10">
        <f>VLOOKUP(C10,Parametros!$A$12:$B$15,2,FALSE)</f>
        <v/>
      </c>
      <c r="H10">
        <f>IF(D10&gt;G10,"Desalineada: permite más IA de la que admite el objetivo","Alineada")</f>
        <v/>
      </c>
      <c r="I10">
        <f>IF(AND(D10&gt;=2,E10="No"),"Falta pedir que se declare el uso","")</f>
        <v/>
      </c>
      <c r="J10">
        <f>IF(AND(D10&gt;=2,F10="No"),"Falta evidencia del proceso","")</f>
        <v/>
      </c>
    </row>
    <row r="11">
      <c r="A11" t="n">
        <v>8</v>
      </c>
      <c r="B11" s="3" t="inlineStr">
        <is>
          <t>Bitácora de indagación</t>
        </is>
      </c>
      <c r="C11" s="7" t="inlineStr">
        <is>
          <t>Escritura y razonamiento propios</t>
        </is>
      </c>
      <c r="D11" s="7" t="n">
        <v>2</v>
      </c>
      <c r="E11" s="7" t="inlineStr">
        <is>
          <t>Sí</t>
        </is>
      </c>
      <c r="F11" s="7" t="inlineStr">
        <is>
          <t>Sí</t>
        </is>
      </c>
      <c r="G11">
        <f>VLOOKUP(C11,Parametros!$A$12:$B$15,2,FALSE)</f>
        <v/>
      </c>
      <c r="H11">
        <f>IF(D11&gt;G11,"Desalineada: permite más IA de la que admite el objetivo","Alineada")</f>
        <v/>
      </c>
      <c r="I11">
        <f>IF(AND(D11&gt;=2,E11="No"),"Falta pedir que se declare el uso","")</f>
        <v/>
      </c>
      <c r="J11">
        <f>IF(AND(D11&gt;=2,F11="No"),"Falta evidencia del proceso","")</f>
        <v/>
      </c>
    </row>
    <row r="12">
      <c r="A12" t="n">
        <v>9</v>
      </c>
      <c r="B12" s="3" t="inlineStr">
        <is>
          <t>Exposición oral del proyecto</t>
        </is>
      </c>
      <c r="C12" s="7" t="inlineStr">
        <is>
          <t>Escritura y razonamiento propios</t>
        </is>
      </c>
      <c r="D12" s="7" t="n">
        <v>1</v>
      </c>
      <c r="E12" s="7" t="inlineStr">
        <is>
          <t>No</t>
        </is>
      </c>
      <c r="F12" s="7" t="inlineStr">
        <is>
          <t>Sí</t>
        </is>
      </c>
      <c r="G12">
        <f>VLOOKUP(C12,Parametros!$A$12:$B$15,2,FALSE)</f>
        <v/>
      </c>
      <c r="H12">
        <f>IF(D12&gt;G12,"Desalineada: permite más IA de la que admite el objetivo","Alineada")</f>
        <v/>
      </c>
      <c r="I12">
        <f>IF(AND(D12&gt;=2,E12="No"),"Falta pedir que se declare el uso","")</f>
        <v/>
      </c>
      <c r="J12">
        <f>IF(AND(D12&gt;=2,F12="No"),"Falta evidencia del proceso","")</f>
        <v/>
      </c>
    </row>
    <row r="13">
      <c r="A13" t="n">
        <v>10</v>
      </c>
      <c r="B13" s="3" t="inlineStr">
        <is>
          <t>Tarea de ejercicios de cálculo</t>
        </is>
      </c>
      <c r="C13" s="7" t="inlineStr">
        <is>
          <t>Conocimiento base</t>
        </is>
      </c>
      <c r="D13" s="7" t="n">
        <v>3</v>
      </c>
      <c r="E13" s="7" t="inlineStr">
        <is>
          <t>No</t>
        </is>
      </c>
      <c r="F13" s="7" t="inlineStr">
        <is>
          <t>No</t>
        </is>
      </c>
      <c r="G13">
        <f>VLOOKUP(C13,Parametros!$A$12:$B$15,2,FALSE)</f>
        <v/>
      </c>
      <c r="H13">
        <f>IF(D13&gt;G13,"Desalineada: permite más IA de la que admite el objetivo","Alineada")</f>
        <v/>
      </c>
      <c r="I13">
        <f>IF(AND(D13&gt;=2,E13="No"),"Falta pedir que se declare el uso","")</f>
        <v/>
      </c>
      <c r="J13">
        <f>IF(AND(D13&gt;=2,F13="No"),"Falta evidencia del proceso","")</f>
        <v/>
      </c>
    </row>
    <row r="14">
      <c r="A14" t="n">
        <v>11</v>
      </c>
      <c r="B14" s="3" t="inlineStr">
        <is>
          <t>Mapa conceptual de la unidad</t>
        </is>
      </c>
      <c r="C14" s="7" t="inlineStr">
        <is>
          <t>Ideas y comprensión</t>
        </is>
      </c>
      <c r="D14" s="7" t="n">
        <v>3</v>
      </c>
      <c r="E14" s="7" t="inlineStr">
        <is>
          <t>Sí</t>
        </is>
      </c>
      <c r="F14" s="7" t="inlineStr">
        <is>
          <t>No</t>
        </is>
      </c>
      <c r="G14">
        <f>VLOOKUP(C14,Parametros!$A$12:$B$15,2,FALSE)</f>
        <v/>
      </c>
      <c r="H14">
        <f>IF(D14&gt;G14,"Desalineada: permite más IA de la que admite el objetivo","Alineada")</f>
        <v/>
      </c>
      <c r="I14">
        <f>IF(AND(D14&gt;=2,E14="No"),"Falta pedir que se declare el uso","")</f>
        <v/>
      </c>
      <c r="J14">
        <f>IF(AND(D14&gt;=2,F14="No"),"Falta evidencia del proceso","")</f>
        <v/>
      </c>
    </row>
    <row r="15">
      <c r="A15" t="n">
        <v>12</v>
      </c>
      <c r="B15" s="3" t="inlineStr">
        <is>
          <t>Reseña crítica de un video</t>
        </is>
      </c>
      <c r="C15" s="7" t="inlineStr">
        <is>
          <t>Escritura y razonamiento propios</t>
        </is>
      </c>
      <c r="D15" s="7" t="n">
        <v>2</v>
      </c>
      <c r="E15" s="7" t="inlineStr">
        <is>
          <t>Sí</t>
        </is>
      </c>
      <c r="F15" s="7" t="inlineStr">
        <is>
          <t>No</t>
        </is>
      </c>
      <c r="G15">
        <f>VLOOKUP(C15,Parametros!$A$12:$B$15,2,FALSE)</f>
        <v/>
      </c>
      <c r="H15">
        <f>IF(D15&gt;G15,"Desalineada: permite más IA de la que admite el objetivo","Alineada")</f>
        <v/>
      </c>
      <c r="I15">
        <f>IF(AND(D15&gt;=2,E15="No"),"Falta pedir que se declare el uso","")</f>
        <v/>
      </c>
      <c r="J15">
        <f>IF(AND(D15&gt;=2,F15="No"),"Falta evidencia del proceso","")</f>
        <v/>
      </c>
    </row>
  </sheetData>
  <conditionalFormatting sqref="H4:H15">
    <cfRule type="expression" priority="1" dxfId="0">
      <formula>LEFT(H4,5)="Desal"</formula>
    </cfRule>
  </conditionalFormatting>
  <conditionalFormatting sqref="I4:J15">
    <cfRule type="expression" priority="2" dxfId="1">
      <formula>I4&lt;&gt;""</formula>
    </cfRule>
  </conditionalFormatting>
  <dataValidations count="3">
    <dataValidation sqref="C4:C25" showDropDown="0" showInputMessage="0" showErrorMessage="0" allowBlank="0" type="list">
      <formula1>"Conocimiento base,Escritura y razonamiento propios,Ideas y comprensión,Habilidad de usar IA"</formula1>
    </dataValidation>
    <dataValidation sqref="D4:D25" showDropDown="0" showInputMessage="0" showErrorMessage="0" allowBlank="0" type="whole" operator="between">
      <formula1>1</formula1>
      <formula2>5</formula2>
    </dataValidation>
    <dataValidation sqref="E4:F25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2026-10-11T20:49:26Z</dcterms:created>
  <dcterms:modified xmlns:dcterms="http://purl.org/dc/terms/" xmlns:xsi="http://www.w3.org/2001/XMLSchema-instance" xsi:type="dcterms:W3CDTF">2026-10-11T20:49:26Z</dcterms:modified>
</cp:coreProperties>
</file>