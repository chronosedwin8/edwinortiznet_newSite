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ario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Docentes" sheetId="3" state="visible" r:id="rId3"/>
    <sheet xmlns:r="http://schemas.openxmlformats.org/officeDocument/2006/relationships" name="Ventan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B4B6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3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18" customWidth="1" min="4" max="4"/>
    <col width="12" customWidth="1" min="5" max="5"/>
    <col width="18" customWidth="1" min="6" max="6"/>
    <col width="18" customWidth="1" min="7" max="7"/>
    <col width="22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Día</t>
        </is>
      </c>
      <c r="B1" s="1" t="inlineStr">
        <is>
          <t>Franja</t>
        </is>
      </c>
      <c r="C1" s="1" t="inlineStr">
        <is>
          <t>Grupo</t>
        </is>
      </c>
      <c r="D1" s="1" t="inlineStr">
        <is>
          <t>Materia</t>
        </is>
      </c>
      <c r="E1" s="1" t="inlineStr">
        <is>
          <t>Docente</t>
        </is>
      </c>
      <c r="F1" s="1" t="inlineStr">
        <is>
          <t>Aula</t>
        </is>
      </c>
      <c r="G1" s="1" t="inlineStr">
        <is>
          <t>Clave docente</t>
        </is>
      </c>
      <c r="H1" s="1" t="inlineStr">
        <is>
          <t>Clave aula</t>
        </is>
      </c>
      <c r="I1" s="1" t="inlineStr">
        <is>
          <t>Clave grupo</t>
        </is>
      </c>
      <c r="J1" s="1" t="inlineStr">
        <is>
          <t>Docente repetido</t>
        </is>
      </c>
      <c r="K1" s="1" t="inlineStr">
        <is>
          <t>Aula repetida</t>
        </is>
      </c>
      <c r="L1" s="1" t="inlineStr">
        <is>
          <t>Grupo repetido</t>
        </is>
      </c>
      <c r="M1" s="1" t="inlineStr">
        <is>
          <t>Estado</t>
        </is>
      </c>
      <c r="N1" s="1" t="inlineStr">
        <is>
          <t>Peso docente</t>
        </is>
      </c>
      <c r="O1" s="1" t="inlineStr">
        <is>
          <t>Peso aula</t>
        </is>
      </c>
      <c r="P1" s="1" t="inlineStr">
        <is>
          <t>Peso grupo</t>
        </is>
      </c>
    </row>
    <row r="2">
      <c r="A2" s="2" t="inlineStr">
        <is>
          <t>Lun</t>
        </is>
      </c>
      <c r="B2" s="2" t="n">
        <v>1</v>
      </c>
      <c r="C2" s="2" t="inlineStr">
        <is>
          <t>7A</t>
        </is>
      </c>
      <c r="D2" s="2" t="inlineStr">
        <is>
          <t>Lenguaje</t>
        </is>
      </c>
      <c r="E2" s="2" t="inlineStr">
        <is>
          <t>Gómez</t>
        </is>
      </c>
      <c r="F2" s="2" t="inlineStr">
        <is>
          <t>Aula 7A</t>
        </is>
      </c>
      <c r="G2">
        <f>IF(A2="","",A2&amp;"|"&amp;B2&amp;"|"&amp;E2)</f>
        <v/>
      </c>
      <c r="H2">
        <f>IF(A2="","",A2&amp;"|"&amp;B2&amp;"|"&amp;F2)</f>
        <v/>
      </c>
      <c r="I2">
        <f>IF(A2="","",A2&amp;"|"&amp;B2&amp;"|"&amp;C2)</f>
        <v/>
      </c>
      <c r="J2">
        <f>IF(A2="","",IF(COUNTIF($G$2:$G$300,G2)&gt;1,"Sí",""))</f>
        <v/>
      </c>
      <c r="K2">
        <f>IF(A2="","",IF(COUNTIF($H$2:$H$300,H2)&gt;1,"Sí",""))</f>
        <v/>
      </c>
      <c r="L2">
        <f>IF(A2="","",IF(COUNTIF($I$2:$I$300,I2)&gt;1,"Sí",""))</f>
        <v/>
      </c>
      <c r="M2">
        <f>IF(A2="","",IF(OR(J2="Sí",K2="Sí",L2="Sí"),"Conflicto","OK"))</f>
        <v/>
      </c>
      <c r="N2">
        <f>IF(J2="Sí",1/COUNTIF($G$2:$G$300,G2),0)</f>
        <v/>
      </c>
      <c r="O2">
        <f>IF(K2="Sí",1/COUNTIF($H$2:$H$300,H2),0)</f>
        <v/>
      </c>
      <c r="P2">
        <f>IF(L2="Sí",1/COUNTIF($I$2:$I$300,I2),0)</f>
        <v/>
      </c>
    </row>
    <row r="3">
      <c r="A3" s="2" t="inlineStr">
        <is>
          <t>Lun</t>
        </is>
      </c>
      <c r="B3" s="2" t="n">
        <v>1</v>
      </c>
      <c r="C3" s="2" t="inlineStr">
        <is>
          <t>7B</t>
        </is>
      </c>
      <c r="D3" s="2" t="inlineStr">
        <is>
          <t>Ciencias</t>
        </is>
      </c>
      <c r="E3" s="2" t="inlineStr">
        <is>
          <t>Torres</t>
        </is>
      </c>
      <c r="F3" s="2" t="inlineStr">
        <is>
          <t>Laboratorio</t>
        </is>
      </c>
      <c r="G3">
        <f>IF(A3="","",A3&amp;"|"&amp;B3&amp;"|"&amp;E3)</f>
        <v/>
      </c>
      <c r="H3">
        <f>IF(A3="","",A3&amp;"|"&amp;B3&amp;"|"&amp;F3)</f>
        <v/>
      </c>
      <c r="I3">
        <f>IF(A3="","",A3&amp;"|"&amp;B3&amp;"|"&amp;C3)</f>
        <v/>
      </c>
      <c r="J3">
        <f>IF(A3="","",IF(COUNTIF($G$2:$G$300,G3)&gt;1,"Sí",""))</f>
        <v/>
      </c>
      <c r="K3">
        <f>IF(A3="","",IF(COUNTIF($H$2:$H$300,H3)&gt;1,"Sí",""))</f>
        <v/>
      </c>
      <c r="L3">
        <f>IF(A3="","",IF(COUNTIF($I$2:$I$300,I3)&gt;1,"Sí",""))</f>
        <v/>
      </c>
      <c r="M3">
        <f>IF(A3="","",IF(OR(J3="Sí",K3="Sí",L3="Sí"),"Conflicto","OK"))</f>
        <v/>
      </c>
      <c r="N3">
        <f>IF(J3="Sí",1/COUNTIF($G$2:$G$300,G3),0)</f>
        <v/>
      </c>
      <c r="O3">
        <f>IF(K3="Sí",1/COUNTIF($H$2:$H$300,H3),0)</f>
        <v/>
      </c>
      <c r="P3">
        <f>IF(L3="Sí",1/COUNTIF($I$2:$I$300,I3),0)</f>
        <v/>
      </c>
    </row>
    <row r="4">
      <c r="A4" s="2" t="inlineStr">
        <is>
          <t>Lun</t>
        </is>
      </c>
      <c r="B4" s="2" t="n">
        <v>1</v>
      </c>
      <c r="C4" s="2" t="inlineStr">
        <is>
          <t>8A</t>
        </is>
      </c>
      <c r="D4" s="2" t="inlineStr">
        <is>
          <t>Matemáticas</t>
        </is>
      </c>
      <c r="E4" s="2" t="inlineStr">
        <is>
          <t>Ruiz</t>
        </is>
      </c>
      <c r="F4" s="2" t="inlineStr">
        <is>
          <t>Aula 8A</t>
        </is>
      </c>
      <c r="G4">
        <f>IF(A4="","",A4&amp;"|"&amp;B4&amp;"|"&amp;E4)</f>
        <v/>
      </c>
      <c r="H4">
        <f>IF(A4="","",A4&amp;"|"&amp;B4&amp;"|"&amp;F4)</f>
        <v/>
      </c>
      <c r="I4">
        <f>IF(A4="","",A4&amp;"|"&amp;B4&amp;"|"&amp;C4)</f>
        <v/>
      </c>
      <c r="J4">
        <f>IF(A4="","",IF(COUNTIF($G$2:$G$300,G4)&gt;1,"Sí",""))</f>
        <v/>
      </c>
      <c r="K4">
        <f>IF(A4="","",IF(COUNTIF($H$2:$H$300,H4)&gt;1,"Sí",""))</f>
        <v/>
      </c>
      <c r="L4">
        <f>IF(A4="","",IF(COUNTIF($I$2:$I$300,I4)&gt;1,"Sí",""))</f>
        <v/>
      </c>
      <c r="M4">
        <f>IF(A4="","",IF(OR(J4="Sí",K4="Sí",L4="Sí"),"Conflicto","OK"))</f>
        <v/>
      </c>
      <c r="N4">
        <f>IF(J4="Sí",1/COUNTIF($G$2:$G$300,G4),0)</f>
        <v/>
      </c>
      <c r="O4">
        <f>IF(K4="Sí",1/COUNTIF($H$2:$H$300,H4),0)</f>
        <v/>
      </c>
      <c r="P4">
        <f>IF(L4="Sí",1/COUNTIF($I$2:$I$300,I4),0)</f>
        <v/>
      </c>
    </row>
    <row r="5">
      <c r="A5" s="2" t="inlineStr">
        <is>
          <t>Lun</t>
        </is>
      </c>
      <c r="B5" s="2" t="n">
        <v>2</v>
      </c>
      <c r="C5" s="2" t="inlineStr">
        <is>
          <t>7A</t>
        </is>
      </c>
      <c r="D5" s="2" t="inlineStr">
        <is>
          <t>Matemáticas</t>
        </is>
      </c>
      <c r="E5" s="2" t="inlineStr">
        <is>
          <t>Ruiz</t>
        </is>
      </c>
      <c r="F5" s="2" t="inlineStr">
        <is>
          <t>Aula 7A</t>
        </is>
      </c>
      <c r="G5">
        <f>IF(A5="","",A5&amp;"|"&amp;B5&amp;"|"&amp;E5)</f>
        <v/>
      </c>
      <c r="H5">
        <f>IF(A5="","",A5&amp;"|"&amp;B5&amp;"|"&amp;F5)</f>
        <v/>
      </c>
      <c r="I5">
        <f>IF(A5="","",A5&amp;"|"&amp;B5&amp;"|"&amp;C5)</f>
        <v/>
      </c>
      <c r="J5">
        <f>IF(A5="","",IF(COUNTIF($G$2:$G$300,G5)&gt;1,"Sí",""))</f>
        <v/>
      </c>
      <c r="K5">
        <f>IF(A5="","",IF(COUNTIF($H$2:$H$300,H5)&gt;1,"Sí",""))</f>
        <v/>
      </c>
      <c r="L5">
        <f>IF(A5="","",IF(COUNTIF($I$2:$I$300,I5)&gt;1,"Sí",""))</f>
        <v/>
      </c>
      <c r="M5">
        <f>IF(A5="","",IF(OR(J5="Sí",K5="Sí",L5="Sí"),"Conflicto","OK"))</f>
        <v/>
      </c>
      <c r="N5">
        <f>IF(J5="Sí",1/COUNTIF($G$2:$G$300,G5),0)</f>
        <v/>
      </c>
      <c r="O5">
        <f>IF(K5="Sí",1/COUNTIF($H$2:$H$300,H5),0)</f>
        <v/>
      </c>
      <c r="P5">
        <f>IF(L5="Sí",1/COUNTIF($I$2:$I$300,I5),0)</f>
        <v/>
      </c>
    </row>
    <row r="6">
      <c r="A6" s="2" t="inlineStr">
        <is>
          <t>Lun</t>
        </is>
      </c>
      <c r="B6" s="2" t="n">
        <v>2</v>
      </c>
      <c r="C6" s="2" t="inlineStr">
        <is>
          <t>7B</t>
        </is>
      </c>
      <c r="D6" s="2" t="inlineStr">
        <is>
          <t>Sociales</t>
        </is>
      </c>
      <c r="E6" s="2" t="inlineStr">
        <is>
          <t>Ruiz</t>
        </is>
      </c>
      <c r="F6" s="2" t="inlineStr">
        <is>
          <t>Aula 7B</t>
        </is>
      </c>
      <c r="G6">
        <f>IF(A6="","",A6&amp;"|"&amp;B6&amp;"|"&amp;E6)</f>
        <v/>
      </c>
      <c r="H6">
        <f>IF(A6="","",A6&amp;"|"&amp;B6&amp;"|"&amp;F6)</f>
        <v/>
      </c>
      <c r="I6">
        <f>IF(A6="","",A6&amp;"|"&amp;B6&amp;"|"&amp;C6)</f>
        <v/>
      </c>
      <c r="J6">
        <f>IF(A6="","",IF(COUNTIF($G$2:$G$300,G6)&gt;1,"Sí",""))</f>
        <v/>
      </c>
      <c r="K6">
        <f>IF(A6="","",IF(COUNTIF($H$2:$H$300,H6)&gt;1,"Sí",""))</f>
        <v/>
      </c>
      <c r="L6">
        <f>IF(A6="","",IF(COUNTIF($I$2:$I$300,I6)&gt;1,"Sí",""))</f>
        <v/>
      </c>
      <c r="M6">
        <f>IF(A6="","",IF(OR(J6="Sí",K6="Sí",L6="Sí"),"Conflicto","OK"))</f>
        <v/>
      </c>
      <c r="N6">
        <f>IF(J6="Sí",1/COUNTIF($G$2:$G$300,G6),0)</f>
        <v/>
      </c>
      <c r="O6">
        <f>IF(K6="Sí",1/COUNTIF($H$2:$H$300,H6),0)</f>
        <v/>
      </c>
      <c r="P6">
        <f>IF(L6="Sí",1/COUNTIF($I$2:$I$300,I6),0)</f>
        <v/>
      </c>
    </row>
    <row r="7">
      <c r="A7" s="2" t="inlineStr">
        <is>
          <t>Lun</t>
        </is>
      </c>
      <c r="B7" s="2" t="n">
        <v>2</v>
      </c>
      <c r="C7" s="2" t="inlineStr">
        <is>
          <t>8A</t>
        </is>
      </c>
      <c r="D7" s="2" t="inlineStr">
        <is>
          <t>Lenguaje</t>
        </is>
      </c>
      <c r="E7" s="2" t="inlineStr">
        <is>
          <t>Gómez</t>
        </is>
      </c>
      <c r="F7" s="2" t="inlineStr">
        <is>
          <t>Aula 8A</t>
        </is>
      </c>
      <c r="G7">
        <f>IF(A7="","",A7&amp;"|"&amp;B7&amp;"|"&amp;E7)</f>
        <v/>
      </c>
      <c r="H7">
        <f>IF(A7="","",A7&amp;"|"&amp;B7&amp;"|"&amp;F7)</f>
        <v/>
      </c>
      <c r="I7">
        <f>IF(A7="","",A7&amp;"|"&amp;B7&amp;"|"&amp;C7)</f>
        <v/>
      </c>
      <c r="J7">
        <f>IF(A7="","",IF(COUNTIF($G$2:$G$300,G7)&gt;1,"Sí",""))</f>
        <v/>
      </c>
      <c r="K7">
        <f>IF(A7="","",IF(COUNTIF($H$2:$H$300,H7)&gt;1,"Sí",""))</f>
        <v/>
      </c>
      <c r="L7">
        <f>IF(A7="","",IF(COUNTIF($I$2:$I$300,I7)&gt;1,"Sí",""))</f>
        <v/>
      </c>
      <c r="M7">
        <f>IF(A7="","",IF(OR(J7="Sí",K7="Sí",L7="Sí"),"Conflicto","OK"))</f>
        <v/>
      </c>
      <c r="N7">
        <f>IF(J7="Sí",1/COUNTIF($G$2:$G$300,G7),0)</f>
        <v/>
      </c>
      <c r="O7">
        <f>IF(K7="Sí",1/COUNTIF($H$2:$H$300,H7),0)</f>
        <v/>
      </c>
      <c r="P7">
        <f>IF(L7="Sí",1/COUNTIF($I$2:$I$300,I7),0)</f>
        <v/>
      </c>
    </row>
    <row r="8">
      <c r="A8" s="2" t="inlineStr">
        <is>
          <t>Lun</t>
        </is>
      </c>
      <c r="B8" s="2" t="n">
        <v>3</v>
      </c>
      <c r="C8" s="2" t="inlineStr">
        <is>
          <t>7A</t>
        </is>
      </c>
      <c r="D8" s="2" t="inlineStr">
        <is>
          <t>Sociales</t>
        </is>
      </c>
      <c r="E8" s="2" t="inlineStr">
        <is>
          <t>Mora</t>
        </is>
      </c>
      <c r="F8" s="2" t="inlineStr">
        <is>
          <t>Aula 7A</t>
        </is>
      </c>
      <c r="G8">
        <f>IF(A8="","",A8&amp;"|"&amp;B8&amp;"|"&amp;E8)</f>
        <v/>
      </c>
      <c r="H8">
        <f>IF(A8="","",A8&amp;"|"&amp;B8&amp;"|"&amp;F8)</f>
        <v/>
      </c>
      <c r="I8">
        <f>IF(A8="","",A8&amp;"|"&amp;B8&amp;"|"&amp;C8)</f>
        <v/>
      </c>
      <c r="J8">
        <f>IF(A8="","",IF(COUNTIF($G$2:$G$300,G8)&gt;1,"Sí",""))</f>
        <v/>
      </c>
      <c r="K8">
        <f>IF(A8="","",IF(COUNTIF($H$2:$H$300,H8)&gt;1,"Sí",""))</f>
        <v/>
      </c>
      <c r="L8">
        <f>IF(A8="","",IF(COUNTIF($I$2:$I$300,I8)&gt;1,"Sí",""))</f>
        <v/>
      </c>
      <c r="M8">
        <f>IF(A8="","",IF(OR(J8="Sí",K8="Sí",L8="Sí"),"Conflicto","OK"))</f>
        <v/>
      </c>
      <c r="N8">
        <f>IF(J8="Sí",1/COUNTIF($G$2:$G$300,G8),0)</f>
        <v/>
      </c>
      <c r="O8">
        <f>IF(K8="Sí",1/COUNTIF($H$2:$H$300,H8),0)</f>
        <v/>
      </c>
      <c r="P8">
        <f>IF(L8="Sí",1/COUNTIF($I$2:$I$300,I8),0)</f>
        <v/>
      </c>
    </row>
    <row r="9">
      <c r="A9" s="2" t="inlineStr">
        <is>
          <t>Lun</t>
        </is>
      </c>
      <c r="B9" s="2" t="n">
        <v>3</v>
      </c>
      <c r="C9" s="2" t="inlineStr">
        <is>
          <t>7B</t>
        </is>
      </c>
      <c r="D9" s="2" t="inlineStr">
        <is>
          <t>Matemáticas</t>
        </is>
      </c>
      <c r="E9" s="2" t="inlineStr">
        <is>
          <t>Ruiz</t>
        </is>
      </c>
      <c r="F9" s="2" t="inlineStr">
        <is>
          <t>Aula 7B</t>
        </is>
      </c>
      <c r="G9">
        <f>IF(A9="","",A9&amp;"|"&amp;B9&amp;"|"&amp;E9)</f>
        <v/>
      </c>
      <c r="H9">
        <f>IF(A9="","",A9&amp;"|"&amp;B9&amp;"|"&amp;F9)</f>
        <v/>
      </c>
      <c r="I9">
        <f>IF(A9="","",A9&amp;"|"&amp;B9&amp;"|"&amp;C9)</f>
        <v/>
      </c>
      <c r="J9">
        <f>IF(A9="","",IF(COUNTIF($G$2:$G$300,G9)&gt;1,"Sí",""))</f>
        <v/>
      </c>
      <c r="K9">
        <f>IF(A9="","",IF(COUNTIF($H$2:$H$300,H9)&gt;1,"Sí",""))</f>
        <v/>
      </c>
      <c r="L9">
        <f>IF(A9="","",IF(COUNTIF($I$2:$I$300,I9)&gt;1,"Sí",""))</f>
        <v/>
      </c>
      <c r="M9">
        <f>IF(A9="","",IF(OR(J9="Sí",K9="Sí",L9="Sí"),"Conflicto","OK"))</f>
        <v/>
      </c>
      <c r="N9">
        <f>IF(J9="Sí",1/COUNTIF($G$2:$G$300,G9),0)</f>
        <v/>
      </c>
      <c r="O9">
        <f>IF(K9="Sí",1/COUNTIF($H$2:$H$300,H9),0)</f>
        <v/>
      </c>
      <c r="P9">
        <f>IF(L9="Sí",1/COUNTIF($I$2:$I$300,I9),0)</f>
        <v/>
      </c>
    </row>
    <row r="10">
      <c r="A10" s="2" t="inlineStr">
        <is>
          <t>Lun</t>
        </is>
      </c>
      <c r="B10" s="2" t="n">
        <v>3</v>
      </c>
      <c r="C10" s="2" t="inlineStr">
        <is>
          <t>8A</t>
        </is>
      </c>
      <c r="D10" s="2" t="inlineStr">
        <is>
          <t>Ciencias</t>
        </is>
      </c>
      <c r="E10" s="2" t="inlineStr">
        <is>
          <t>Torres</t>
        </is>
      </c>
      <c r="F10" s="2" t="inlineStr">
        <is>
          <t>Laboratorio</t>
        </is>
      </c>
      <c r="G10">
        <f>IF(A10="","",A10&amp;"|"&amp;B10&amp;"|"&amp;E10)</f>
        <v/>
      </c>
      <c r="H10">
        <f>IF(A10="","",A10&amp;"|"&amp;B10&amp;"|"&amp;F10)</f>
        <v/>
      </c>
      <c r="I10">
        <f>IF(A10="","",A10&amp;"|"&amp;B10&amp;"|"&amp;C10)</f>
        <v/>
      </c>
      <c r="J10">
        <f>IF(A10="","",IF(COUNTIF($G$2:$G$300,G10)&gt;1,"Sí",""))</f>
        <v/>
      </c>
      <c r="K10">
        <f>IF(A10="","",IF(COUNTIF($H$2:$H$300,H10)&gt;1,"Sí",""))</f>
        <v/>
      </c>
      <c r="L10">
        <f>IF(A10="","",IF(COUNTIF($I$2:$I$300,I10)&gt;1,"Sí",""))</f>
        <v/>
      </c>
      <c r="M10">
        <f>IF(A10="","",IF(OR(J10="Sí",K10="Sí",L10="Sí"),"Conflicto","OK"))</f>
        <v/>
      </c>
      <c r="N10">
        <f>IF(J10="Sí",1/COUNTIF($G$2:$G$300,G10),0)</f>
        <v/>
      </c>
      <c r="O10">
        <f>IF(K10="Sí",1/COUNTIF($H$2:$H$300,H10),0)</f>
        <v/>
      </c>
      <c r="P10">
        <f>IF(L10="Sí",1/COUNTIF($I$2:$I$300,I10),0)</f>
        <v/>
      </c>
    </row>
    <row r="11">
      <c r="A11" s="2" t="inlineStr">
        <is>
          <t>Lun</t>
        </is>
      </c>
      <c r="B11" s="2" t="n">
        <v>4</v>
      </c>
      <c r="C11" s="2" t="inlineStr">
        <is>
          <t>7A</t>
        </is>
      </c>
      <c r="D11" s="2" t="inlineStr">
        <is>
          <t>Ciencias</t>
        </is>
      </c>
      <c r="E11" s="2" t="inlineStr">
        <is>
          <t>Torres</t>
        </is>
      </c>
      <c r="F11" s="2" t="inlineStr">
        <is>
          <t>Laboratorio</t>
        </is>
      </c>
      <c r="G11">
        <f>IF(A11="","",A11&amp;"|"&amp;B11&amp;"|"&amp;E11)</f>
        <v/>
      </c>
      <c r="H11">
        <f>IF(A11="","",A11&amp;"|"&amp;B11&amp;"|"&amp;F11)</f>
        <v/>
      </c>
      <c r="I11">
        <f>IF(A11="","",A11&amp;"|"&amp;B11&amp;"|"&amp;C11)</f>
        <v/>
      </c>
      <c r="J11">
        <f>IF(A11="","",IF(COUNTIF($G$2:$G$300,G11)&gt;1,"Sí",""))</f>
        <v/>
      </c>
      <c r="K11">
        <f>IF(A11="","",IF(COUNTIF($H$2:$H$300,H11)&gt;1,"Sí",""))</f>
        <v/>
      </c>
      <c r="L11">
        <f>IF(A11="","",IF(COUNTIF($I$2:$I$300,I11)&gt;1,"Sí",""))</f>
        <v/>
      </c>
      <c r="M11">
        <f>IF(A11="","",IF(OR(J11="Sí",K11="Sí",L11="Sí"),"Conflicto","OK"))</f>
        <v/>
      </c>
      <c r="N11">
        <f>IF(J11="Sí",1/COUNTIF($G$2:$G$300,G11),0)</f>
        <v/>
      </c>
      <c r="O11">
        <f>IF(K11="Sí",1/COUNTIF($H$2:$H$300,H11),0)</f>
        <v/>
      </c>
      <c r="P11">
        <f>IF(L11="Sí",1/COUNTIF($I$2:$I$300,I11),0)</f>
        <v/>
      </c>
    </row>
    <row r="12">
      <c r="A12" s="2" t="inlineStr">
        <is>
          <t>Lun</t>
        </is>
      </c>
      <c r="B12" s="2" t="n">
        <v>4</v>
      </c>
      <c r="C12" s="2" t="inlineStr">
        <is>
          <t>7B</t>
        </is>
      </c>
      <c r="D12" s="2" t="inlineStr">
        <is>
          <t>Lenguaje</t>
        </is>
      </c>
      <c r="E12" s="2" t="inlineStr">
        <is>
          <t>Gómez</t>
        </is>
      </c>
      <c r="F12" s="2" t="inlineStr">
        <is>
          <t>Aula 7B</t>
        </is>
      </c>
      <c r="G12">
        <f>IF(A12="","",A12&amp;"|"&amp;B12&amp;"|"&amp;E12)</f>
        <v/>
      </c>
      <c r="H12">
        <f>IF(A12="","",A12&amp;"|"&amp;B12&amp;"|"&amp;F12)</f>
        <v/>
      </c>
      <c r="I12">
        <f>IF(A12="","",A12&amp;"|"&amp;B12&amp;"|"&amp;C12)</f>
        <v/>
      </c>
      <c r="J12">
        <f>IF(A12="","",IF(COUNTIF($G$2:$G$300,G12)&gt;1,"Sí",""))</f>
        <v/>
      </c>
      <c r="K12">
        <f>IF(A12="","",IF(COUNTIF($H$2:$H$300,H12)&gt;1,"Sí",""))</f>
        <v/>
      </c>
      <c r="L12">
        <f>IF(A12="","",IF(COUNTIF($I$2:$I$300,I12)&gt;1,"Sí",""))</f>
        <v/>
      </c>
      <c r="M12">
        <f>IF(A12="","",IF(OR(J12="Sí",K12="Sí",L12="Sí"),"Conflicto","OK"))</f>
        <v/>
      </c>
      <c r="N12">
        <f>IF(J12="Sí",1/COUNTIF($G$2:$G$300,G12),0)</f>
        <v/>
      </c>
      <c r="O12">
        <f>IF(K12="Sí",1/COUNTIF($H$2:$H$300,H12),0)</f>
        <v/>
      </c>
      <c r="P12">
        <f>IF(L12="Sí",1/COUNTIF($I$2:$I$300,I12),0)</f>
        <v/>
      </c>
    </row>
    <row r="13">
      <c r="A13" s="2" t="inlineStr">
        <is>
          <t>Lun</t>
        </is>
      </c>
      <c r="B13" s="2" t="n">
        <v>4</v>
      </c>
      <c r="C13" s="2" t="inlineStr">
        <is>
          <t>8A</t>
        </is>
      </c>
      <c r="D13" s="2" t="inlineStr">
        <is>
          <t>Sociales</t>
        </is>
      </c>
      <c r="E13" s="2" t="inlineStr">
        <is>
          <t>Mora</t>
        </is>
      </c>
      <c r="F13" s="2" t="inlineStr">
        <is>
          <t>Aula 8A</t>
        </is>
      </c>
      <c r="G13">
        <f>IF(A13="","",A13&amp;"|"&amp;B13&amp;"|"&amp;E13)</f>
        <v/>
      </c>
      <c r="H13">
        <f>IF(A13="","",A13&amp;"|"&amp;B13&amp;"|"&amp;F13)</f>
        <v/>
      </c>
      <c r="I13">
        <f>IF(A13="","",A13&amp;"|"&amp;B13&amp;"|"&amp;C13)</f>
        <v/>
      </c>
      <c r="J13">
        <f>IF(A13="","",IF(COUNTIF($G$2:$G$300,G13)&gt;1,"Sí",""))</f>
        <v/>
      </c>
      <c r="K13">
        <f>IF(A13="","",IF(COUNTIF($H$2:$H$300,H13)&gt;1,"Sí",""))</f>
        <v/>
      </c>
      <c r="L13">
        <f>IF(A13="","",IF(COUNTIF($I$2:$I$300,I13)&gt;1,"Sí",""))</f>
        <v/>
      </c>
      <c r="M13">
        <f>IF(A13="","",IF(OR(J13="Sí",K13="Sí",L13="Sí"),"Conflicto","OK"))</f>
        <v/>
      </c>
      <c r="N13">
        <f>IF(J13="Sí",1/COUNTIF($G$2:$G$300,G13),0)</f>
        <v/>
      </c>
      <c r="O13">
        <f>IF(K13="Sí",1/COUNTIF($H$2:$H$300,H13),0)</f>
        <v/>
      </c>
      <c r="P13">
        <f>IF(L13="Sí",1/COUNTIF($I$2:$I$300,I13),0)</f>
        <v/>
      </c>
    </row>
    <row r="14">
      <c r="A14" s="2" t="inlineStr">
        <is>
          <t>Lun</t>
        </is>
      </c>
      <c r="B14" s="2" t="n">
        <v>5</v>
      </c>
      <c r="C14" s="2" t="inlineStr">
        <is>
          <t>7A</t>
        </is>
      </c>
      <c r="D14" s="2" t="inlineStr">
        <is>
          <t>Lenguaje</t>
        </is>
      </c>
      <c r="E14" s="2" t="inlineStr">
        <is>
          <t>Gómez</t>
        </is>
      </c>
      <c r="F14" s="2" t="inlineStr">
        <is>
          <t>Aula 7A</t>
        </is>
      </c>
      <c r="G14">
        <f>IF(A14="","",A14&amp;"|"&amp;B14&amp;"|"&amp;E14)</f>
        <v/>
      </c>
      <c r="H14">
        <f>IF(A14="","",A14&amp;"|"&amp;B14&amp;"|"&amp;F14)</f>
        <v/>
      </c>
      <c r="I14">
        <f>IF(A14="","",A14&amp;"|"&amp;B14&amp;"|"&amp;C14)</f>
        <v/>
      </c>
      <c r="J14">
        <f>IF(A14="","",IF(COUNTIF($G$2:$G$300,G14)&gt;1,"Sí",""))</f>
        <v/>
      </c>
      <c r="K14">
        <f>IF(A14="","",IF(COUNTIF($H$2:$H$300,H14)&gt;1,"Sí",""))</f>
        <v/>
      </c>
      <c r="L14">
        <f>IF(A14="","",IF(COUNTIF($I$2:$I$300,I14)&gt;1,"Sí",""))</f>
        <v/>
      </c>
      <c r="M14">
        <f>IF(A14="","",IF(OR(J14="Sí",K14="Sí",L14="Sí"),"Conflicto","OK"))</f>
        <v/>
      </c>
      <c r="N14">
        <f>IF(J14="Sí",1/COUNTIF($G$2:$G$300,G14),0)</f>
        <v/>
      </c>
      <c r="O14">
        <f>IF(K14="Sí",1/COUNTIF($H$2:$H$300,H14),0)</f>
        <v/>
      </c>
      <c r="P14">
        <f>IF(L14="Sí",1/COUNTIF($I$2:$I$300,I14),0)</f>
        <v/>
      </c>
    </row>
    <row r="15">
      <c r="A15" s="2" t="inlineStr">
        <is>
          <t>Lun</t>
        </is>
      </c>
      <c r="B15" s="2" t="n">
        <v>5</v>
      </c>
      <c r="C15" s="2" t="inlineStr">
        <is>
          <t>7B</t>
        </is>
      </c>
      <c r="D15" s="2" t="inlineStr">
        <is>
          <t>Ciencias</t>
        </is>
      </c>
      <c r="E15" s="2" t="inlineStr">
        <is>
          <t>Torres</t>
        </is>
      </c>
      <c r="F15" s="2" t="inlineStr">
        <is>
          <t>Laboratorio</t>
        </is>
      </c>
      <c r="G15">
        <f>IF(A15="","",A15&amp;"|"&amp;B15&amp;"|"&amp;E15)</f>
        <v/>
      </c>
      <c r="H15">
        <f>IF(A15="","",A15&amp;"|"&amp;B15&amp;"|"&amp;F15)</f>
        <v/>
      </c>
      <c r="I15">
        <f>IF(A15="","",A15&amp;"|"&amp;B15&amp;"|"&amp;C15)</f>
        <v/>
      </c>
      <c r="J15">
        <f>IF(A15="","",IF(COUNTIF($G$2:$G$300,G15)&gt;1,"Sí",""))</f>
        <v/>
      </c>
      <c r="K15">
        <f>IF(A15="","",IF(COUNTIF($H$2:$H$300,H15)&gt;1,"Sí",""))</f>
        <v/>
      </c>
      <c r="L15">
        <f>IF(A15="","",IF(COUNTIF($I$2:$I$300,I15)&gt;1,"Sí",""))</f>
        <v/>
      </c>
      <c r="M15">
        <f>IF(A15="","",IF(OR(J15="Sí",K15="Sí",L15="Sí"),"Conflicto","OK"))</f>
        <v/>
      </c>
      <c r="N15">
        <f>IF(J15="Sí",1/COUNTIF($G$2:$G$300,G15),0)</f>
        <v/>
      </c>
      <c r="O15">
        <f>IF(K15="Sí",1/COUNTIF($H$2:$H$300,H15),0)</f>
        <v/>
      </c>
      <c r="P15">
        <f>IF(L15="Sí",1/COUNTIF($I$2:$I$300,I15),0)</f>
        <v/>
      </c>
    </row>
    <row r="16">
      <c r="A16" s="2" t="inlineStr">
        <is>
          <t>Lun</t>
        </is>
      </c>
      <c r="B16" s="2" t="n">
        <v>5</v>
      </c>
      <c r="C16" s="2" t="inlineStr">
        <is>
          <t>8A</t>
        </is>
      </c>
      <c r="D16" s="2" t="inlineStr">
        <is>
          <t>Matemáticas</t>
        </is>
      </c>
      <c r="E16" s="2" t="inlineStr">
        <is>
          <t>Ruiz</t>
        </is>
      </c>
      <c r="F16" s="2" t="inlineStr">
        <is>
          <t>Aula 8A</t>
        </is>
      </c>
      <c r="G16">
        <f>IF(A16="","",A16&amp;"|"&amp;B16&amp;"|"&amp;E16)</f>
        <v/>
      </c>
      <c r="H16">
        <f>IF(A16="","",A16&amp;"|"&amp;B16&amp;"|"&amp;F16)</f>
        <v/>
      </c>
      <c r="I16">
        <f>IF(A16="","",A16&amp;"|"&amp;B16&amp;"|"&amp;C16)</f>
        <v/>
      </c>
      <c r="J16">
        <f>IF(A16="","",IF(COUNTIF($G$2:$G$300,G16)&gt;1,"Sí",""))</f>
        <v/>
      </c>
      <c r="K16">
        <f>IF(A16="","",IF(COUNTIF($H$2:$H$300,H16)&gt;1,"Sí",""))</f>
        <v/>
      </c>
      <c r="L16">
        <f>IF(A16="","",IF(COUNTIF($I$2:$I$300,I16)&gt;1,"Sí",""))</f>
        <v/>
      </c>
      <c r="M16">
        <f>IF(A16="","",IF(OR(J16="Sí",K16="Sí",L16="Sí"),"Conflicto","OK"))</f>
        <v/>
      </c>
      <c r="N16">
        <f>IF(J16="Sí",1/COUNTIF($G$2:$G$300,G16),0)</f>
        <v/>
      </c>
      <c r="O16">
        <f>IF(K16="Sí",1/COUNTIF($H$2:$H$300,H16),0)</f>
        <v/>
      </c>
      <c r="P16">
        <f>IF(L16="Sí",1/COUNTIF($I$2:$I$300,I16),0)</f>
        <v/>
      </c>
    </row>
    <row r="17">
      <c r="A17" s="2" t="inlineStr">
        <is>
          <t>Lun</t>
        </is>
      </c>
      <c r="B17" s="2" t="n">
        <v>6</v>
      </c>
      <c r="C17" s="2" t="inlineStr">
        <is>
          <t>7A</t>
        </is>
      </c>
      <c r="D17" s="2" t="inlineStr">
        <is>
          <t>Matemáticas</t>
        </is>
      </c>
      <c r="E17" s="2" t="inlineStr">
        <is>
          <t>Ruiz</t>
        </is>
      </c>
      <c r="F17" s="2" t="inlineStr">
        <is>
          <t>Aula 7A</t>
        </is>
      </c>
      <c r="G17">
        <f>IF(A17="","",A17&amp;"|"&amp;B17&amp;"|"&amp;E17)</f>
        <v/>
      </c>
      <c r="H17">
        <f>IF(A17="","",A17&amp;"|"&amp;B17&amp;"|"&amp;F17)</f>
        <v/>
      </c>
      <c r="I17">
        <f>IF(A17="","",A17&amp;"|"&amp;B17&amp;"|"&amp;C17)</f>
        <v/>
      </c>
      <c r="J17">
        <f>IF(A17="","",IF(COUNTIF($G$2:$G$300,G17)&gt;1,"Sí",""))</f>
        <v/>
      </c>
      <c r="K17">
        <f>IF(A17="","",IF(COUNTIF($H$2:$H$300,H17)&gt;1,"Sí",""))</f>
        <v/>
      </c>
      <c r="L17">
        <f>IF(A17="","",IF(COUNTIF($I$2:$I$300,I17)&gt;1,"Sí",""))</f>
        <v/>
      </c>
      <c r="M17">
        <f>IF(A17="","",IF(OR(J17="Sí",K17="Sí",L17="Sí"),"Conflicto","OK"))</f>
        <v/>
      </c>
      <c r="N17">
        <f>IF(J17="Sí",1/COUNTIF($G$2:$G$300,G17),0)</f>
        <v/>
      </c>
      <c r="O17">
        <f>IF(K17="Sí",1/COUNTIF($H$2:$H$300,H17),0)</f>
        <v/>
      </c>
      <c r="P17">
        <f>IF(L17="Sí",1/COUNTIF($I$2:$I$300,I17),0)</f>
        <v/>
      </c>
    </row>
    <row r="18">
      <c r="A18" s="2" t="inlineStr">
        <is>
          <t>Lun</t>
        </is>
      </c>
      <c r="B18" s="2" t="n">
        <v>6</v>
      </c>
      <c r="C18" s="2" t="inlineStr">
        <is>
          <t>7B</t>
        </is>
      </c>
      <c r="D18" s="2" t="inlineStr">
        <is>
          <t>Lenguaje</t>
        </is>
      </c>
      <c r="E18" s="2" t="inlineStr">
        <is>
          <t>Gómez</t>
        </is>
      </c>
      <c r="F18" s="2" t="inlineStr">
        <is>
          <t>Aula 7B</t>
        </is>
      </c>
      <c r="G18">
        <f>IF(A18="","",A18&amp;"|"&amp;B18&amp;"|"&amp;E18)</f>
        <v/>
      </c>
      <c r="H18">
        <f>IF(A18="","",A18&amp;"|"&amp;B18&amp;"|"&amp;F18)</f>
        <v/>
      </c>
      <c r="I18">
        <f>IF(A18="","",A18&amp;"|"&amp;B18&amp;"|"&amp;C18)</f>
        <v/>
      </c>
      <c r="J18">
        <f>IF(A18="","",IF(COUNTIF($G$2:$G$300,G18)&gt;1,"Sí",""))</f>
        <v/>
      </c>
      <c r="K18">
        <f>IF(A18="","",IF(COUNTIF($H$2:$H$300,H18)&gt;1,"Sí",""))</f>
        <v/>
      </c>
      <c r="L18">
        <f>IF(A18="","",IF(COUNTIF($I$2:$I$300,I18)&gt;1,"Sí",""))</f>
        <v/>
      </c>
      <c r="M18">
        <f>IF(A18="","",IF(OR(J18="Sí",K18="Sí",L18="Sí"),"Conflicto","OK"))</f>
        <v/>
      </c>
      <c r="N18">
        <f>IF(J18="Sí",1/COUNTIF($G$2:$G$300,G18),0)</f>
        <v/>
      </c>
      <c r="O18">
        <f>IF(K18="Sí",1/COUNTIF($H$2:$H$300,H18),0)</f>
        <v/>
      </c>
      <c r="P18">
        <f>IF(L18="Sí",1/COUNTIF($I$2:$I$300,I18),0)</f>
        <v/>
      </c>
    </row>
    <row r="19">
      <c r="A19" s="2" t="inlineStr">
        <is>
          <t>Lun</t>
        </is>
      </c>
      <c r="B19" s="2" t="n">
        <v>6</v>
      </c>
      <c r="C19" s="2" t="inlineStr">
        <is>
          <t>8A</t>
        </is>
      </c>
      <c r="D19" s="2" t="inlineStr">
        <is>
          <t>Ciencias</t>
        </is>
      </c>
      <c r="E19" s="2" t="inlineStr">
        <is>
          <t>Torres</t>
        </is>
      </c>
      <c r="F19" s="2" t="inlineStr">
        <is>
          <t>Laboratorio</t>
        </is>
      </c>
      <c r="G19">
        <f>IF(A19="","",A19&amp;"|"&amp;B19&amp;"|"&amp;E19)</f>
        <v/>
      </c>
      <c r="H19">
        <f>IF(A19="","",A19&amp;"|"&amp;B19&amp;"|"&amp;F19)</f>
        <v/>
      </c>
      <c r="I19">
        <f>IF(A19="","",A19&amp;"|"&amp;B19&amp;"|"&amp;C19)</f>
        <v/>
      </c>
      <c r="J19">
        <f>IF(A19="","",IF(COUNTIF($G$2:$G$300,G19)&gt;1,"Sí",""))</f>
        <v/>
      </c>
      <c r="K19">
        <f>IF(A19="","",IF(COUNTIF($H$2:$H$300,H19)&gt;1,"Sí",""))</f>
        <v/>
      </c>
      <c r="L19">
        <f>IF(A19="","",IF(COUNTIF($I$2:$I$300,I19)&gt;1,"Sí",""))</f>
        <v/>
      </c>
      <c r="M19">
        <f>IF(A19="","",IF(OR(J19="Sí",K19="Sí",L19="Sí"),"Conflicto","OK"))</f>
        <v/>
      </c>
      <c r="N19">
        <f>IF(J19="Sí",1/COUNTIF($G$2:$G$300,G19),0)</f>
        <v/>
      </c>
      <c r="O19">
        <f>IF(K19="Sí",1/COUNTIF($H$2:$H$300,H19),0)</f>
        <v/>
      </c>
      <c r="P19">
        <f>IF(L19="Sí",1/COUNTIF($I$2:$I$300,I19),0)</f>
        <v/>
      </c>
    </row>
    <row r="20">
      <c r="A20" s="2" t="inlineStr">
        <is>
          <t>Mar</t>
        </is>
      </c>
      <c r="B20" s="2" t="n">
        <v>1</v>
      </c>
      <c r="C20" s="2" t="inlineStr">
        <is>
          <t>7A</t>
        </is>
      </c>
      <c r="D20" s="2" t="inlineStr">
        <is>
          <t>Ciencias</t>
        </is>
      </c>
      <c r="E20" s="2" t="inlineStr">
        <is>
          <t>Torres</t>
        </is>
      </c>
      <c r="F20" s="2" t="inlineStr">
        <is>
          <t>Laboratorio</t>
        </is>
      </c>
      <c r="G20">
        <f>IF(A20="","",A20&amp;"|"&amp;B20&amp;"|"&amp;E20)</f>
        <v/>
      </c>
      <c r="H20">
        <f>IF(A20="","",A20&amp;"|"&amp;B20&amp;"|"&amp;F20)</f>
        <v/>
      </c>
      <c r="I20">
        <f>IF(A20="","",A20&amp;"|"&amp;B20&amp;"|"&amp;C20)</f>
        <v/>
      </c>
      <c r="J20">
        <f>IF(A20="","",IF(COUNTIF($G$2:$G$300,G20)&gt;1,"Sí",""))</f>
        <v/>
      </c>
      <c r="K20">
        <f>IF(A20="","",IF(COUNTIF($H$2:$H$300,H20)&gt;1,"Sí",""))</f>
        <v/>
      </c>
      <c r="L20">
        <f>IF(A20="","",IF(COUNTIF($I$2:$I$300,I20)&gt;1,"Sí",""))</f>
        <v/>
      </c>
      <c r="M20">
        <f>IF(A20="","",IF(OR(J20="Sí",K20="Sí",L20="Sí"),"Conflicto","OK"))</f>
        <v/>
      </c>
      <c r="N20">
        <f>IF(J20="Sí",1/COUNTIF($G$2:$G$300,G20),0)</f>
        <v/>
      </c>
      <c r="O20">
        <f>IF(K20="Sí",1/COUNTIF($H$2:$H$300,H20),0)</f>
        <v/>
      </c>
      <c r="P20">
        <f>IF(L20="Sí",1/COUNTIF($I$2:$I$300,I20),0)</f>
        <v/>
      </c>
    </row>
    <row r="21">
      <c r="A21" s="2" t="inlineStr">
        <is>
          <t>Mar</t>
        </is>
      </c>
      <c r="B21" s="2" t="n">
        <v>1</v>
      </c>
      <c r="C21" s="2" t="inlineStr">
        <is>
          <t>7B</t>
        </is>
      </c>
      <c r="D21" s="2" t="inlineStr">
        <is>
          <t>Matemáticas</t>
        </is>
      </c>
      <c r="E21" s="2" t="inlineStr">
        <is>
          <t>Ruiz</t>
        </is>
      </c>
      <c r="F21" s="2" t="inlineStr">
        <is>
          <t>Aula 7B</t>
        </is>
      </c>
      <c r="G21">
        <f>IF(A21="","",A21&amp;"|"&amp;B21&amp;"|"&amp;E21)</f>
        <v/>
      </c>
      <c r="H21">
        <f>IF(A21="","",A21&amp;"|"&amp;B21&amp;"|"&amp;F21)</f>
        <v/>
      </c>
      <c r="I21">
        <f>IF(A21="","",A21&amp;"|"&amp;B21&amp;"|"&amp;C21)</f>
        <v/>
      </c>
      <c r="J21">
        <f>IF(A21="","",IF(COUNTIF($G$2:$G$300,G21)&gt;1,"Sí",""))</f>
        <v/>
      </c>
      <c r="K21">
        <f>IF(A21="","",IF(COUNTIF($H$2:$H$300,H21)&gt;1,"Sí",""))</f>
        <v/>
      </c>
      <c r="L21">
        <f>IF(A21="","",IF(COUNTIF($I$2:$I$300,I21)&gt;1,"Sí",""))</f>
        <v/>
      </c>
      <c r="M21">
        <f>IF(A21="","",IF(OR(J21="Sí",K21="Sí",L21="Sí"),"Conflicto","OK"))</f>
        <v/>
      </c>
      <c r="N21">
        <f>IF(J21="Sí",1/COUNTIF($G$2:$G$300,G21),0)</f>
        <v/>
      </c>
      <c r="O21">
        <f>IF(K21="Sí",1/COUNTIF($H$2:$H$300,H21),0)</f>
        <v/>
      </c>
      <c r="P21">
        <f>IF(L21="Sí",1/COUNTIF($I$2:$I$300,I21),0)</f>
        <v/>
      </c>
    </row>
    <row r="22">
      <c r="A22" s="2" t="inlineStr">
        <is>
          <t>Mar</t>
        </is>
      </c>
      <c r="B22" s="2" t="n">
        <v>1</v>
      </c>
      <c r="C22" s="2" t="inlineStr">
        <is>
          <t>8A</t>
        </is>
      </c>
      <c r="D22" s="2" t="inlineStr">
        <is>
          <t>Lenguaje</t>
        </is>
      </c>
      <c r="E22" s="2" t="inlineStr">
        <is>
          <t>Gómez</t>
        </is>
      </c>
      <c r="F22" s="2" t="inlineStr">
        <is>
          <t>Aula 8A</t>
        </is>
      </c>
      <c r="G22">
        <f>IF(A22="","",A22&amp;"|"&amp;B22&amp;"|"&amp;E22)</f>
        <v/>
      </c>
      <c r="H22">
        <f>IF(A22="","",A22&amp;"|"&amp;B22&amp;"|"&amp;F22)</f>
        <v/>
      </c>
      <c r="I22">
        <f>IF(A22="","",A22&amp;"|"&amp;B22&amp;"|"&amp;C22)</f>
        <v/>
      </c>
      <c r="J22">
        <f>IF(A22="","",IF(COUNTIF($G$2:$G$300,G22)&gt;1,"Sí",""))</f>
        <v/>
      </c>
      <c r="K22">
        <f>IF(A22="","",IF(COUNTIF($H$2:$H$300,H22)&gt;1,"Sí",""))</f>
        <v/>
      </c>
      <c r="L22">
        <f>IF(A22="","",IF(COUNTIF($I$2:$I$300,I22)&gt;1,"Sí",""))</f>
        <v/>
      </c>
      <c r="M22">
        <f>IF(A22="","",IF(OR(J22="Sí",K22="Sí",L22="Sí"),"Conflicto","OK"))</f>
        <v/>
      </c>
      <c r="N22">
        <f>IF(J22="Sí",1/COUNTIF($G$2:$G$300,G22),0)</f>
        <v/>
      </c>
      <c r="O22">
        <f>IF(K22="Sí",1/COUNTIF($H$2:$H$300,H22),0)</f>
        <v/>
      </c>
      <c r="P22">
        <f>IF(L22="Sí",1/COUNTIF($I$2:$I$300,I22),0)</f>
        <v/>
      </c>
    </row>
    <row r="23">
      <c r="A23" s="2" t="inlineStr">
        <is>
          <t>Mar</t>
        </is>
      </c>
      <c r="B23" s="2" t="n">
        <v>2</v>
      </c>
      <c r="C23" s="2" t="inlineStr">
        <is>
          <t>7A</t>
        </is>
      </c>
      <c r="D23" s="2" t="inlineStr">
        <is>
          <t>Lenguaje</t>
        </is>
      </c>
      <c r="E23" s="2" t="inlineStr">
        <is>
          <t>Gómez</t>
        </is>
      </c>
      <c r="F23" s="2" t="inlineStr">
        <is>
          <t>Aula 7A</t>
        </is>
      </c>
      <c r="G23">
        <f>IF(A23="","",A23&amp;"|"&amp;B23&amp;"|"&amp;E23)</f>
        <v/>
      </c>
      <c r="H23">
        <f>IF(A23="","",A23&amp;"|"&amp;B23&amp;"|"&amp;F23)</f>
        <v/>
      </c>
      <c r="I23">
        <f>IF(A23="","",A23&amp;"|"&amp;B23&amp;"|"&amp;C23)</f>
        <v/>
      </c>
      <c r="J23">
        <f>IF(A23="","",IF(COUNTIF($G$2:$G$300,G23)&gt;1,"Sí",""))</f>
        <v/>
      </c>
      <c r="K23">
        <f>IF(A23="","",IF(COUNTIF($H$2:$H$300,H23)&gt;1,"Sí",""))</f>
        <v/>
      </c>
      <c r="L23">
        <f>IF(A23="","",IF(COUNTIF($I$2:$I$300,I23)&gt;1,"Sí",""))</f>
        <v/>
      </c>
      <c r="M23">
        <f>IF(A23="","",IF(OR(J23="Sí",K23="Sí",L23="Sí"),"Conflicto","OK"))</f>
        <v/>
      </c>
      <c r="N23">
        <f>IF(J23="Sí",1/COUNTIF($G$2:$G$300,G23),0)</f>
        <v/>
      </c>
      <c r="O23">
        <f>IF(K23="Sí",1/COUNTIF($H$2:$H$300,H23),0)</f>
        <v/>
      </c>
      <c r="P23">
        <f>IF(L23="Sí",1/COUNTIF($I$2:$I$300,I23),0)</f>
        <v/>
      </c>
    </row>
    <row r="24">
      <c r="A24" s="2" t="inlineStr">
        <is>
          <t>Mar</t>
        </is>
      </c>
      <c r="B24" s="2" t="n">
        <v>2</v>
      </c>
      <c r="C24" s="2" t="inlineStr">
        <is>
          <t>7B</t>
        </is>
      </c>
      <c r="D24" s="2" t="inlineStr">
        <is>
          <t>Inglés</t>
        </is>
      </c>
      <c r="E24" s="2" t="inlineStr">
        <is>
          <t>Pardo</t>
        </is>
      </c>
      <c r="F24" s="2" t="inlineStr">
        <is>
          <t>Aula 7B</t>
        </is>
      </c>
      <c r="G24">
        <f>IF(A24="","",A24&amp;"|"&amp;B24&amp;"|"&amp;E24)</f>
        <v/>
      </c>
      <c r="H24">
        <f>IF(A24="","",A24&amp;"|"&amp;B24&amp;"|"&amp;F24)</f>
        <v/>
      </c>
      <c r="I24">
        <f>IF(A24="","",A24&amp;"|"&amp;B24&amp;"|"&amp;C24)</f>
        <v/>
      </c>
      <c r="J24">
        <f>IF(A24="","",IF(COUNTIF($G$2:$G$300,G24)&gt;1,"Sí",""))</f>
        <v/>
      </c>
      <c r="K24">
        <f>IF(A24="","",IF(COUNTIF($H$2:$H$300,H24)&gt;1,"Sí",""))</f>
        <v/>
      </c>
      <c r="L24">
        <f>IF(A24="","",IF(COUNTIF($I$2:$I$300,I24)&gt;1,"Sí",""))</f>
        <v/>
      </c>
      <c r="M24">
        <f>IF(A24="","",IF(OR(J24="Sí",K24="Sí",L24="Sí"),"Conflicto","OK"))</f>
        <v/>
      </c>
      <c r="N24">
        <f>IF(J24="Sí",1/COUNTIF($G$2:$G$300,G24),0)</f>
        <v/>
      </c>
      <c r="O24">
        <f>IF(K24="Sí",1/COUNTIF($H$2:$H$300,H24),0)</f>
        <v/>
      </c>
      <c r="P24">
        <f>IF(L24="Sí",1/COUNTIF($I$2:$I$300,I24),0)</f>
        <v/>
      </c>
    </row>
    <row r="25">
      <c r="A25" s="2" t="inlineStr">
        <is>
          <t>Mar</t>
        </is>
      </c>
      <c r="B25" s="2" t="n">
        <v>2</v>
      </c>
      <c r="C25" s="2" t="inlineStr">
        <is>
          <t>8A</t>
        </is>
      </c>
      <c r="D25" s="2" t="inlineStr">
        <is>
          <t>Ciencias</t>
        </is>
      </c>
      <c r="E25" s="2" t="inlineStr">
        <is>
          <t>Torres</t>
        </is>
      </c>
      <c r="F25" s="2" t="inlineStr">
        <is>
          <t>Laboratorio</t>
        </is>
      </c>
      <c r="G25">
        <f>IF(A25="","",A25&amp;"|"&amp;B25&amp;"|"&amp;E25)</f>
        <v/>
      </c>
      <c r="H25">
        <f>IF(A25="","",A25&amp;"|"&amp;B25&amp;"|"&amp;F25)</f>
        <v/>
      </c>
      <c r="I25">
        <f>IF(A25="","",A25&amp;"|"&amp;B25&amp;"|"&amp;C25)</f>
        <v/>
      </c>
      <c r="J25">
        <f>IF(A25="","",IF(COUNTIF($G$2:$G$300,G25)&gt;1,"Sí",""))</f>
        <v/>
      </c>
      <c r="K25">
        <f>IF(A25="","",IF(COUNTIF($H$2:$H$300,H25)&gt;1,"Sí",""))</f>
        <v/>
      </c>
      <c r="L25">
        <f>IF(A25="","",IF(COUNTIF($I$2:$I$300,I25)&gt;1,"Sí",""))</f>
        <v/>
      </c>
      <c r="M25">
        <f>IF(A25="","",IF(OR(J25="Sí",K25="Sí",L25="Sí"),"Conflicto","OK"))</f>
        <v/>
      </c>
      <c r="N25">
        <f>IF(J25="Sí",1/COUNTIF($G$2:$G$300,G25),0)</f>
        <v/>
      </c>
      <c r="O25">
        <f>IF(K25="Sí",1/COUNTIF($H$2:$H$300,H25),0)</f>
        <v/>
      </c>
      <c r="P25">
        <f>IF(L25="Sí",1/COUNTIF($I$2:$I$300,I25),0)</f>
        <v/>
      </c>
    </row>
    <row r="26">
      <c r="A26" s="2" t="inlineStr">
        <is>
          <t>Mar</t>
        </is>
      </c>
      <c r="B26" s="2" t="n">
        <v>3</v>
      </c>
      <c r="C26" s="2" t="inlineStr">
        <is>
          <t>7A</t>
        </is>
      </c>
      <c r="D26" s="2" t="inlineStr">
        <is>
          <t>Inglés</t>
        </is>
      </c>
      <c r="E26" s="2" t="inlineStr">
        <is>
          <t>Pardo</t>
        </is>
      </c>
      <c r="F26" s="2" t="inlineStr">
        <is>
          <t>Aula 7A</t>
        </is>
      </c>
      <c r="G26">
        <f>IF(A26="","",A26&amp;"|"&amp;B26&amp;"|"&amp;E26)</f>
        <v/>
      </c>
      <c r="H26">
        <f>IF(A26="","",A26&amp;"|"&amp;B26&amp;"|"&amp;F26)</f>
        <v/>
      </c>
      <c r="I26">
        <f>IF(A26="","",A26&amp;"|"&amp;B26&amp;"|"&amp;C26)</f>
        <v/>
      </c>
      <c r="J26">
        <f>IF(A26="","",IF(COUNTIF($G$2:$G$300,G26)&gt;1,"Sí",""))</f>
        <v/>
      </c>
      <c r="K26">
        <f>IF(A26="","",IF(COUNTIF($H$2:$H$300,H26)&gt;1,"Sí",""))</f>
        <v/>
      </c>
      <c r="L26">
        <f>IF(A26="","",IF(COUNTIF($I$2:$I$300,I26)&gt;1,"Sí",""))</f>
        <v/>
      </c>
      <c r="M26">
        <f>IF(A26="","",IF(OR(J26="Sí",K26="Sí",L26="Sí"),"Conflicto","OK"))</f>
        <v/>
      </c>
      <c r="N26">
        <f>IF(J26="Sí",1/COUNTIF($G$2:$G$300,G26),0)</f>
        <v/>
      </c>
      <c r="O26">
        <f>IF(K26="Sí",1/COUNTIF($H$2:$H$300,H26),0)</f>
        <v/>
      </c>
      <c r="P26">
        <f>IF(L26="Sí",1/COUNTIF($I$2:$I$300,I26),0)</f>
        <v/>
      </c>
    </row>
    <row r="27">
      <c r="A27" s="2" t="inlineStr">
        <is>
          <t>Mar</t>
        </is>
      </c>
      <c r="B27" s="2" t="n">
        <v>3</v>
      </c>
      <c r="C27" s="2" t="inlineStr">
        <is>
          <t>7B</t>
        </is>
      </c>
      <c r="D27" s="2" t="inlineStr">
        <is>
          <t>Sociales</t>
        </is>
      </c>
      <c r="E27" s="2" t="inlineStr">
        <is>
          <t>Mora</t>
        </is>
      </c>
      <c r="F27" s="2" t="inlineStr">
        <is>
          <t>Aula 7B</t>
        </is>
      </c>
      <c r="G27">
        <f>IF(A27="","",A27&amp;"|"&amp;B27&amp;"|"&amp;E27)</f>
        <v/>
      </c>
      <c r="H27">
        <f>IF(A27="","",A27&amp;"|"&amp;B27&amp;"|"&amp;F27)</f>
        <v/>
      </c>
      <c r="I27">
        <f>IF(A27="","",A27&amp;"|"&amp;B27&amp;"|"&amp;C27)</f>
        <v/>
      </c>
      <c r="J27">
        <f>IF(A27="","",IF(COUNTIF($G$2:$G$300,G27)&gt;1,"Sí",""))</f>
        <v/>
      </c>
      <c r="K27">
        <f>IF(A27="","",IF(COUNTIF($H$2:$H$300,H27)&gt;1,"Sí",""))</f>
        <v/>
      </c>
      <c r="L27">
        <f>IF(A27="","",IF(COUNTIF($I$2:$I$300,I27)&gt;1,"Sí",""))</f>
        <v/>
      </c>
      <c r="M27">
        <f>IF(A27="","",IF(OR(J27="Sí",K27="Sí",L27="Sí"),"Conflicto","OK"))</f>
        <v/>
      </c>
      <c r="N27">
        <f>IF(J27="Sí",1/COUNTIF($G$2:$G$300,G27),0)</f>
        <v/>
      </c>
      <c r="O27">
        <f>IF(K27="Sí",1/COUNTIF($H$2:$H$300,H27),0)</f>
        <v/>
      </c>
      <c r="P27">
        <f>IF(L27="Sí",1/COUNTIF($I$2:$I$300,I27),0)</f>
        <v/>
      </c>
    </row>
    <row r="28">
      <c r="A28" s="2" t="inlineStr">
        <is>
          <t>Mar</t>
        </is>
      </c>
      <c r="B28" s="2" t="n">
        <v>3</v>
      </c>
      <c r="C28" s="2" t="inlineStr">
        <is>
          <t>8A</t>
        </is>
      </c>
      <c r="D28" s="2" t="inlineStr">
        <is>
          <t>Matemáticas</t>
        </is>
      </c>
      <c r="E28" s="2" t="inlineStr">
        <is>
          <t>Ruiz</t>
        </is>
      </c>
      <c r="F28" s="2" t="inlineStr">
        <is>
          <t>Aula 8A</t>
        </is>
      </c>
      <c r="G28">
        <f>IF(A28="","",A28&amp;"|"&amp;B28&amp;"|"&amp;E28)</f>
        <v/>
      </c>
      <c r="H28">
        <f>IF(A28="","",A28&amp;"|"&amp;B28&amp;"|"&amp;F28)</f>
        <v/>
      </c>
      <c r="I28">
        <f>IF(A28="","",A28&amp;"|"&amp;B28&amp;"|"&amp;C28)</f>
        <v/>
      </c>
      <c r="J28">
        <f>IF(A28="","",IF(COUNTIF($G$2:$G$300,G28)&gt;1,"Sí",""))</f>
        <v/>
      </c>
      <c r="K28">
        <f>IF(A28="","",IF(COUNTIF($H$2:$H$300,H28)&gt;1,"Sí",""))</f>
        <v/>
      </c>
      <c r="L28">
        <f>IF(A28="","",IF(COUNTIF($I$2:$I$300,I28)&gt;1,"Sí",""))</f>
        <v/>
      </c>
      <c r="M28">
        <f>IF(A28="","",IF(OR(J28="Sí",K28="Sí",L28="Sí"),"Conflicto","OK"))</f>
        <v/>
      </c>
      <c r="N28">
        <f>IF(J28="Sí",1/COUNTIF($G$2:$G$300,G28),0)</f>
        <v/>
      </c>
      <c r="O28">
        <f>IF(K28="Sí",1/COUNTIF($H$2:$H$300,H28),0)</f>
        <v/>
      </c>
      <c r="P28">
        <f>IF(L28="Sí",1/COUNTIF($I$2:$I$300,I28),0)</f>
        <v/>
      </c>
    </row>
    <row r="29">
      <c r="A29" s="2" t="inlineStr">
        <is>
          <t>Mar</t>
        </is>
      </c>
      <c r="B29" s="2" t="n">
        <v>4</v>
      </c>
      <c r="C29" s="2" t="inlineStr">
        <is>
          <t>7A</t>
        </is>
      </c>
      <c r="D29" s="2" t="inlineStr">
        <is>
          <t>Sociales</t>
        </is>
      </c>
      <c r="E29" s="2" t="inlineStr">
        <is>
          <t>Mora</t>
        </is>
      </c>
      <c r="F29" s="2" t="inlineStr">
        <is>
          <t>Aula 7A</t>
        </is>
      </c>
      <c r="G29">
        <f>IF(A29="","",A29&amp;"|"&amp;B29&amp;"|"&amp;E29)</f>
        <v/>
      </c>
      <c r="H29">
        <f>IF(A29="","",A29&amp;"|"&amp;B29&amp;"|"&amp;F29)</f>
        <v/>
      </c>
      <c r="I29">
        <f>IF(A29="","",A29&amp;"|"&amp;B29&amp;"|"&amp;C29)</f>
        <v/>
      </c>
      <c r="J29">
        <f>IF(A29="","",IF(COUNTIF($G$2:$G$300,G29)&gt;1,"Sí",""))</f>
        <v/>
      </c>
      <c r="K29">
        <f>IF(A29="","",IF(COUNTIF($H$2:$H$300,H29)&gt;1,"Sí",""))</f>
        <v/>
      </c>
      <c r="L29">
        <f>IF(A29="","",IF(COUNTIF($I$2:$I$300,I29)&gt;1,"Sí",""))</f>
        <v/>
      </c>
      <c r="M29">
        <f>IF(A29="","",IF(OR(J29="Sí",K29="Sí",L29="Sí"),"Conflicto","OK"))</f>
        <v/>
      </c>
      <c r="N29">
        <f>IF(J29="Sí",1/COUNTIF($G$2:$G$300,G29),0)</f>
        <v/>
      </c>
      <c r="O29">
        <f>IF(K29="Sí",1/COUNTIF($H$2:$H$300,H29),0)</f>
        <v/>
      </c>
      <c r="P29">
        <f>IF(L29="Sí",1/COUNTIF($I$2:$I$300,I29),0)</f>
        <v/>
      </c>
    </row>
    <row r="30">
      <c r="A30" s="2" t="inlineStr">
        <is>
          <t>Mar</t>
        </is>
      </c>
      <c r="B30" s="2" t="n">
        <v>4</v>
      </c>
      <c r="C30" s="2" t="inlineStr">
        <is>
          <t>7B</t>
        </is>
      </c>
      <c r="D30" s="2" t="inlineStr">
        <is>
          <t>Lenguaje</t>
        </is>
      </c>
      <c r="E30" s="2" t="inlineStr">
        <is>
          <t>Gómez</t>
        </is>
      </c>
      <c r="F30" s="2" t="inlineStr">
        <is>
          <t>Aula 7B</t>
        </is>
      </c>
      <c r="G30">
        <f>IF(A30="","",A30&amp;"|"&amp;B30&amp;"|"&amp;E30)</f>
        <v/>
      </c>
      <c r="H30">
        <f>IF(A30="","",A30&amp;"|"&amp;B30&amp;"|"&amp;F30)</f>
        <v/>
      </c>
      <c r="I30">
        <f>IF(A30="","",A30&amp;"|"&amp;B30&amp;"|"&amp;C30)</f>
        <v/>
      </c>
      <c r="J30">
        <f>IF(A30="","",IF(COUNTIF($G$2:$G$300,G30)&gt;1,"Sí",""))</f>
        <v/>
      </c>
      <c r="K30">
        <f>IF(A30="","",IF(COUNTIF($H$2:$H$300,H30)&gt;1,"Sí",""))</f>
        <v/>
      </c>
      <c r="L30">
        <f>IF(A30="","",IF(COUNTIF($I$2:$I$300,I30)&gt;1,"Sí",""))</f>
        <v/>
      </c>
      <c r="M30">
        <f>IF(A30="","",IF(OR(J30="Sí",K30="Sí",L30="Sí"),"Conflicto","OK"))</f>
        <v/>
      </c>
      <c r="N30">
        <f>IF(J30="Sí",1/COUNTIF($G$2:$G$300,G30),0)</f>
        <v/>
      </c>
      <c r="O30">
        <f>IF(K30="Sí",1/COUNTIF($H$2:$H$300,H30),0)</f>
        <v/>
      </c>
      <c r="P30">
        <f>IF(L30="Sí",1/COUNTIF($I$2:$I$300,I30),0)</f>
        <v/>
      </c>
    </row>
    <row r="31">
      <c r="A31" s="2" t="inlineStr">
        <is>
          <t>Mar</t>
        </is>
      </c>
      <c r="B31" s="2" t="n">
        <v>4</v>
      </c>
      <c r="C31" s="2" t="inlineStr">
        <is>
          <t>8A</t>
        </is>
      </c>
      <c r="D31" s="2" t="inlineStr">
        <is>
          <t>Inglés</t>
        </is>
      </c>
      <c r="E31" s="2" t="inlineStr">
        <is>
          <t>Pardo</t>
        </is>
      </c>
      <c r="F31" s="2" t="inlineStr">
        <is>
          <t>Aula 8A</t>
        </is>
      </c>
      <c r="G31">
        <f>IF(A31="","",A31&amp;"|"&amp;B31&amp;"|"&amp;E31)</f>
        <v/>
      </c>
      <c r="H31">
        <f>IF(A31="","",A31&amp;"|"&amp;B31&amp;"|"&amp;F31)</f>
        <v/>
      </c>
      <c r="I31">
        <f>IF(A31="","",A31&amp;"|"&amp;B31&amp;"|"&amp;C31)</f>
        <v/>
      </c>
      <c r="J31">
        <f>IF(A31="","",IF(COUNTIF($G$2:$G$300,G31)&gt;1,"Sí",""))</f>
        <v/>
      </c>
      <c r="K31">
        <f>IF(A31="","",IF(COUNTIF($H$2:$H$300,H31)&gt;1,"Sí",""))</f>
        <v/>
      </c>
      <c r="L31">
        <f>IF(A31="","",IF(COUNTIF($I$2:$I$300,I31)&gt;1,"Sí",""))</f>
        <v/>
      </c>
      <c r="M31">
        <f>IF(A31="","",IF(OR(J31="Sí",K31="Sí",L31="Sí"),"Conflicto","OK"))</f>
        <v/>
      </c>
      <c r="N31">
        <f>IF(J31="Sí",1/COUNTIF($G$2:$G$300,G31),0)</f>
        <v/>
      </c>
      <c r="O31">
        <f>IF(K31="Sí",1/COUNTIF($H$2:$H$300,H31),0)</f>
        <v/>
      </c>
      <c r="P31">
        <f>IF(L31="Sí",1/COUNTIF($I$2:$I$300,I31),0)</f>
        <v/>
      </c>
    </row>
    <row r="32">
      <c r="A32" s="2" t="inlineStr">
        <is>
          <t>Mar</t>
        </is>
      </c>
      <c r="B32" s="2" t="n">
        <v>5</v>
      </c>
      <c r="C32" s="2" t="inlineStr">
        <is>
          <t>7A</t>
        </is>
      </c>
      <c r="D32" s="2" t="inlineStr">
        <is>
          <t>Ciencias</t>
        </is>
      </c>
      <c r="E32" s="2" t="inlineStr">
        <is>
          <t>Torres</t>
        </is>
      </c>
      <c r="F32" s="2" t="inlineStr">
        <is>
          <t>Laboratorio</t>
        </is>
      </c>
      <c r="G32">
        <f>IF(A32="","",A32&amp;"|"&amp;B32&amp;"|"&amp;E32)</f>
        <v/>
      </c>
      <c r="H32">
        <f>IF(A32="","",A32&amp;"|"&amp;B32&amp;"|"&amp;F32)</f>
        <v/>
      </c>
      <c r="I32">
        <f>IF(A32="","",A32&amp;"|"&amp;B32&amp;"|"&amp;C32)</f>
        <v/>
      </c>
      <c r="J32">
        <f>IF(A32="","",IF(COUNTIF($G$2:$G$300,G32)&gt;1,"Sí",""))</f>
        <v/>
      </c>
      <c r="K32">
        <f>IF(A32="","",IF(COUNTIF($H$2:$H$300,H32)&gt;1,"Sí",""))</f>
        <v/>
      </c>
      <c r="L32">
        <f>IF(A32="","",IF(COUNTIF($I$2:$I$300,I32)&gt;1,"Sí",""))</f>
        <v/>
      </c>
      <c r="M32">
        <f>IF(A32="","",IF(OR(J32="Sí",K32="Sí",L32="Sí"),"Conflicto","OK"))</f>
        <v/>
      </c>
      <c r="N32">
        <f>IF(J32="Sí",1/COUNTIF($G$2:$G$300,G32),0)</f>
        <v/>
      </c>
      <c r="O32">
        <f>IF(K32="Sí",1/COUNTIF($H$2:$H$300,H32),0)</f>
        <v/>
      </c>
      <c r="P32">
        <f>IF(L32="Sí",1/COUNTIF($I$2:$I$300,I32),0)</f>
        <v/>
      </c>
    </row>
    <row r="33">
      <c r="A33" s="2" t="inlineStr">
        <is>
          <t>Mar</t>
        </is>
      </c>
      <c r="B33" s="2" t="n">
        <v>5</v>
      </c>
      <c r="C33" s="2" t="inlineStr">
        <is>
          <t>7B</t>
        </is>
      </c>
      <c r="D33" s="2" t="inlineStr">
        <is>
          <t>Matemáticas</t>
        </is>
      </c>
      <c r="E33" s="2" t="inlineStr">
        <is>
          <t>Ruiz</t>
        </is>
      </c>
      <c r="F33" s="2" t="inlineStr">
        <is>
          <t>Aula 7B</t>
        </is>
      </c>
      <c r="G33">
        <f>IF(A33="","",A33&amp;"|"&amp;B33&amp;"|"&amp;E33)</f>
        <v/>
      </c>
      <c r="H33">
        <f>IF(A33="","",A33&amp;"|"&amp;B33&amp;"|"&amp;F33)</f>
        <v/>
      </c>
      <c r="I33">
        <f>IF(A33="","",A33&amp;"|"&amp;B33&amp;"|"&amp;C33)</f>
        <v/>
      </c>
      <c r="J33">
        <f>IF(A33="","",IF(COUNTIF($G$2:$G$300,G33)&gt;1,"Sí",""))</f>
        <v/>
      </c>
      <c r="K33">
        <f>IF(A33="","",IF(COUNTIF($H$2:$H$300,H33)&gt;1,"Sí",""))</f>
        <v/>
      </c>
      <c r="L33">
        <f>IF(A33="","",IF(COUNTIF($I$2:$I$300,I33)&gt;1,"Sí",""))</f>
        <v/>
      </c>
      <c r="M33">
        <f>IF(A33="","",IF(OR(J33="Sí",K33="Sí",L33="Sí"),"Conflicto","OK"))</f>
        <v/>
      </c>
      <c r="N33">
        <f>IF(J33="Sí",1/COUNTIF($G$2:$G$300,G33),0)</f>
        <v/>
      </c>
      <c r="O33">
        <f>IF(K33="Sí",1/COUNTIF($H$2:$H$300,H33),0)</f>
        <v/>
      </c>
      <c r="P33">
        <f>IF(L33="Sí",1/COUNTIF($I$2:$I$300,I33),0)</f>
        <v/>
      </c>
    </row>
    <row r="34">
      <c r="A34" s="2" t="inlineStr">
        <is>
          <t>Mar</t>
        </is>
      </c>
      <c r="B34" s="2" t="n">
        <v>5</v>
      </c>
      <c r="C34" s="2" t="inlineStr">
        <is>
          <t>8A</t>
        </is>
      </c>
      <c r="D34" s="2" t="inlineStr">
        <is>
          <t>Sociales</t>
        </is>
      </c>
      <c r="E34" s="2" t="inlineStr">
        <is>
          <t>Mora</t>
        </is>
      </c>
      <c r="F34" s="2" t="inlineStr">
        <is>
          <t>Aula 8A</t>
        </is>
      </c>
      <c r="G34">
        <f>IF(A34="","",A34&amp;"|"&amp;B34&amp;"|"&amp;E34)</f>
        <v/>
      </c>
      <c r="H34">
        <f>IF(A34="","",A34&amp;"|"&amp;B34&amp;"|"&amp;F34)</f>
        <v/>
      </c>
      <c r="I34">
        <f>IF(A34="","",A34&amp;"|"&amp;B34&amp;"|"&amp;C34)</f>
        <v/>
      </c>
      <c r="J34">
        <f>IF(A34="","",IF(COUNTIF($G$2:$G$300,G34)&gt;1,"Sí",""))</f>
        <v/>
      </c>
      <c r="K34">
        <f>IF(A34="","",IF(COUNTIF($H$2:$H$300,H34)&gt;1,"Sí",""))</f>
        <v/>
      </c>
      <c r="L34">
        <f>IF(A34="","",IF(COUNTIF($I$2:$I$300,I34)&gt;1,"Sí",""))</f>
        <v/>
      </c>
      <c r="M34">
        <f>IF(A34="","",IF(OR(J34="Sí",K34="Sí",L34="Sí"),"Conflicto","OK"))</f>
        <v/>
      </c>
      <c r="N34">
        <f>IF(J34="Sí",1/COUNTIF($G$2:$G$300,G34),0)</f>
        <v/>
      </c>
      <c r="O34">
        <f>IF(K34="Sí",1/COUNTIF($H$2:$H$300,H34),0)</f>
        <v/>
      </c>
      <c r="P34">
        <f>IF(L34="Sí",1/COUNTIF($I$2:$I$300,I34),0)</f>
        <v/>
      </c>
    </row>
    <row r="35">
      <c r="A35" s="2" t="inlineStr">
        <is>
          <t>Mar</t>
        </is>
      </c>
      <c r="B35" s="2" t="n">
        <v>6</v>
      </c>
      <c r="C35" s="2" t="inlineStr">
        <is>
          <t>7A</t>
        </is>
      </c>
      <c r="D35" s="2" t="inlineStr">
        <is>
          <t>Matemáticas</t>
        </is>
      </c>
      <c r="E35" s="2" t="inlineStr">
        <is>
          <t>Ruiz</t>
        </is>
      </c>
      <c r="F35" s="2" t="inlineStr">
        <is>
          <t>Aula 7A</t>
        </is>
      </c>
      <c r="G35">
        <f>IF(A35="","",A35&amp;"|"&amp;B35&amp;"|"&amp;E35)</f>
        <v/>
      </c>
      <c r="H35">
        <f>IF(A35="","",A35&amp;"|"&amp;B35&amp;"|"&amp;F35)</f>
        <v/>
      </c>
      <c r="I35">
        <f>IF(A35="","",A35&amp;"|"&amp;B35&amp;"|"&amp;C35)</f>
        <v/>
      </c>
      <c r="J35">
        <f>IF(A35="","",IF(COUNTIF($G$2:$G$300,G35)&gt;1,"Sí",""))</f>
        <v/>
      </c>
      <c r="K35">
        <f>IF(A35="","",IF(COUNTIF($H$2:$H$300,H35)&gt;1,"Sí",""))</f>
        <v/>
      </c>
      <c r="L35">
        <f>IF(A35="","",IF(COUNTIF($I$2:$I$300,I35)&gt;1,"Sí",""))</f>
        <v/>
      </c>
      <c r="M35">
        <f>IF(A35="","",IF(OR(J35="Sí",K35="Sí",L35="Sí"),"Conflicto","OK"))</f>
        <v/>
      </c>
      <c r="N35">
        <f>IF(J35="Sí",1/COUNTIF($G$2:$G$300,G35),0)</f>
        <v/>
      </c>
      <c r="O35">
        <f>IF(K35="Sí",1/COUNTIF($H$2:$H$300,H35),0)</f>
        <v/>
      </c>
      <c r="P35">
        <f>IF(L35="Sí",1/COUNTIF($I$2:$I$300,I35),0)</f>
        <v/>
      </c>
    </row>
    <row r="36">
      <c r="A36" s="2" t="inlineStr">
        <is>
          <t>Mar</t>
        </is>
      </c>
      <c r="B36" s="2" t="n">
        <v>6</v>
      </c>
      <c r="C36" s="2" t="inlineStr">
        <is>
          <t>7B</t>
        </is>
      </c>
      <c r="D36" s="2" t="inlineStr">
        <is>
          <t>Ciencias</t>
        </is>
      </c>
      <c r="E36" s="2" t="inlineStr">
        <is>
          <t>Torres</t>
        </is>
      </c>
      <c r="F36" s="2" t="inlineStr">
        <is>
          <t>Laboratorio</t>
        </is>
      </c>
      <c r="G36">
        <f>IF(A36="","",A36&amp;"|"&amp;B36&amp;"|"&amp;E36)</f>
        <v/>
      </c>
      <c r="H36">
        <f>IF(A36="","",A36&amp;"|"&amp;B36&amp;"|"&amp;F36)</f>
        <v/>
      </c>
      <c r="I36">
        <f>IF(A36="","",A36&amp;"|"&amp;B36&amp;"|"&amp;C36)</f>
        <v/>
      </c>
      <c r="J36">
        <f>IF(A36="","",IF(COUNTIF($G$2:$G$300,G36)&gt;1,"Sí",""))</f>
        <v/>
      </c>
      <c r="K36">
        <f>IF(A36="","",IF(COUNTIF($H$2:$H$300,H36)&gt;1,"Sí",""))</f>
        <v/>
      </c>
      <c r="L36">
        <f>IF(A36="","",IF(COUNTIF($I$2:$I$300,I36)&gt;1,"Sí",""))</f>
        <v/>
      </c>
      <c r="M36">
        <f>IF(A36="","",IF(OR(J36="Sí",K36="Sí",L36="Sí"),"Conflicto","OK"))</f>
        <v/>
      </c>
      <c r="N36">
        <f>IF(J36="Sí",1/COUNTIF($G$2:$G$300,G36),0)</f>
        <v/>
      </c>
      <c r="O36">
        <f>IF(K36="Sí",1/COUNTIF($H$2:$H$300,H36),0)</f>
        <v/>
      </c>
      <c r="P36">
        <f>IF(L36="Sí",1/COUNTIF($I$2:$I$300,I36),0)</f>
        <v/>
      </c>
    </row>
    <row r="37">
      <c r="A37" s="2" t="inlineStr">
        <is>
          <t>Mar</t>
        </is>
      </c>
      <c r="B37" s="2" t="n">
        <v>6</v>
      </c>
      <c r="C37" s="2" t="inlineStr">
        <is>
          <t>8A</t>
        </is>
      </c>
      <c r="D37" s="2" t="inlineStr">
        <is>
          <t>Lenguaje</t>
        </is>
      </c>
      <c r="E37" s="2" t="inlineStr">
        <is>
          <t>Gómez</t>
        </is>
      </c>
      <c r="F37" s="2" t="inlineStr">
        <is>
          <t>Aula 8A</t>
        </is>
      </c>
      <c r="G37">
        <f>IF(A37="","",A37&amp;"|"&amp;B37&amp;"|"&amp;E37)</f>
        <v/>
      </c>
      <c r="H37">
        <f>IF(A37="","",A37&amp;"|"&amp;B37&amp;"|"&amp;F37)</f>
        <v/>
      </c>
      <c r="I37">
        <f>IF(A37="","",A37&amp;"|"&amp;B37&amp;"|"&amp;C37)</f>
        <v/>
      </c>
      <c r="J37">
        <f>IF(A37="","",IF(COUNTIF($G$2:$G$300,G37)&gt;1,"Sí",""))</f>
        <v/>
      </c>
      <c r="K37">
        <f>IF(A37="","",IF(COUNTIF($H$2:$H$300,H37)&gt;1,"Sí",""))</f>
        <v/>
      </c>
      <c r="L37">
        <f>IF(A37="","",IF(COUNTIF($I$2:$I$300,I37)&gt;1,"Sí",""))</f>
        <v/>
      </c>
      <c r="M37">
        <f>IF(A37="","",IF(OR(J37="Sí",K37="Sí",L37="Sí"),"Conflicto","OK"))</f>
        <v/>
      </c>
      <c r="N37">
        <f>IF(J37="Sí",1/COUNTIF($G$2:$G$300,G37),0)</f>
        <v/>
      </c>
      <c r="O37">
        <f>IF(K37="Sí",1/COUNTIF($H$2:$H$300,H37),0)</f>
        <v/>
      </c>
      <c r="P37">
        <f>IF(L37="Sí",1/COUNTIF($I$2:$I$300,I37),0)</f>
        <v/>
      </c>
    </row>
    <row r="38">
      <c r="A38" s="2" t="inlineStr">
        <is>
          <t>Mié</t>
        </is>
      </c>
      <c r="B38" s="2" t="n">
        <v>1</v>
      </c>
      <c r="C38" s="2" t="inlineStr">
        <is>
          <t>7A</t>
        </is>
      </c>
      <c r="D38" s="2" t="inlineStr">
        <is>
          <t>Artes</t>
        </is>
      </c>
      <c r="E38" s="2" t="inlineStr">
        <is>
          <t>Vega</t>
        </is>
      </c>
      <c r="F38" s="2" t="inlineStr">
        <is>
          <t>Aula de arte</t>
        </is>
      </c>
      <c r="G38">
        <f>IF(A38="","",A38&amp;"|"&amp;B38&amp;"|"&amp;E38)</f>
        <v/>
      </c>
      <c r="H38">
        <f>IF(A38="","",A38&amp;"|"&amp;B38&amp;"|"&amp;F38)</f>
        <v/>
      </c>
      <c r="I38">
        <f>IF(A38="","",A38&amp;"|"&amp;B38&amp;"|"&amp;C38)</f>
        <v/>
      </c>
      <c r="J38">
        <f>IF(A38="","",IF(COUNTIF($G$2:$G$300,G38)&gt;1,"Sí",""))</f>
        <v/>
      </c>
      <c r="K38">
        <f>IF(A38="","",IF(COUNTIF($H$2:$H$300,H38)&gt;1,"Sí",""))</f>
        <v/>
      </c>
      <c r="L38">
        <f>IF(A38="","",IF(COUNTIF($I$2:$I$300,I38)&gt;1,"Sí",""))</f>
        <v/>
      </c>
      <c r="M38">
        <f>IF(A38="","",IF(OR(J38="Sí",K38="Sí",L38="Sí"),"Conflicto","OK"))</f>
        <v/>
      </c>
      <c r="N38">
        <f>IF(J38="Sí",1/COUNTIF($G$2:$G$300,G38),0)</f>
        <v/>
      </c>
      <c r="O38">
        <f>IF(K38="Sí",1/COUNTIF($H$2:$H$300,H38),0)</f>
        <v/>
      </c>
      <c r="P38">
        <f>IF(L38="Sí",1/COUNTIF($I$2:$I$300,I38),0)</f>
        <v/>
      </c>
    </row>
    <row r="39">
      <c r="A39" s="2" t="inlineStr">
        <is>
          <t>Mié</t>
        </is>
      </c>
      <c r="B39" s="2" t="n">
        <v>1</v>
      </c>
      <c r="C39" s="2" t="inlineStr">
        <is>
          <t>7B</t>
        </is>
      </c>
      <c r="D39" s="2" t="inlineStr">
        <is>
          <t>Ciencias</t>
        </is>
      </c>
      <c r="E39" s="2" t="inlineStr">
        <is>
          <t>Torres</t>
        </is>
      </c>
      <c r="F39" s="2" t="inlineStr">
        <is>
          <t>Laboratorio</t>
        </is>
      </c>
      <c r="G39">
        <f>IF(A39="","",A39&amp;"|"&amp;B39&amp;"|"&amp;E39)</f>
        <v/>
      </c>
      <c r="H39">
        <f>IF(A39="","",A39&amp;"|"&amp;B39&amp;"|"&amp;F39)</f>
        <v/>
      </c>
      <c r="I39">
        <f>IF(A39="","",A39&amp;"|"&amp;B39&amp;"|"&amp;C39)</f>
        <v/>
      </c>
      <c r="J39">
        <f>IF(A39="","",IF(COUNTIF($G$2:$G$300,G39)&gt;1,"Sí",""))</f>
        <v/>
      </c>
      <c r="K39">
        <f>IF(A39="","",IF(COUNTIF($H$2:$H$300,H39)&gt;1,"Sí",""))</f>
        <v/>
      </c>
      <c r="L39">
        <f>IF(A39="","",IF(COUNTIF($I$2:$I$300,I39)&gt;1,"Sí",""))</f>
        <v/>
      </c>
      <c r="M39">
        <f>IF(A39="","",IF(OR(J39="Sí",K39="Sí",L39="Sí"),"Conflicto","OK"))</f>
        <v/>
      </c>
      <c r="N39">
        <f>IF(J39="Sí",1/COUNTIF($G$2:$G$300,G39),0)</f>
        <v/>
      </c>
      <c r="O39">
        <f>IF(K39="Sí",1/COUNTIF($H$2:$H$300,H39),0)</f>
        <v/>
      </c>
      <c r="P39">
        <f>IF(L39="Sí",1/COUNTIF($I$2:$I$300,I39),0)</f>
        <v/>
      </c>
    </row>
    <row r="40">
      <c r="A40" s="2" t="inlineStr">
        <is>
          <t>Mié</t>
        </is>
      </c>
      <c r="B40" s="2" t="n">
        <v>1</v>
      </c>
      <c r="C40" s="2" t="inlineStr">
        <is>
          <t>8A</t>
        </is>
      </c>
      <c r="D40" s="2" t="inlineStr">
        <is>
          <t>Tecnología</t>
        </is>
      </c>
      <c r="E40" s="2" t="inlineStr">
        <is>
          <t>Ruiz</t>
        </is>
      </c>
      <c r="F40" s="2" t="inlineStr">
        <is>
          <t>Sala de sistemas</t>
        </is>
      </c>
      <c r="G40">
        <f>IF(A40="","",A40&amp;"|"&amp;B40&amp;"|"&amp;E40)</f>
        <v/>
      </c>
      <c r="H40">
        <f>IF(A40="","",A40&amp;"|"&amp;B40&amp;"|"&amp;F40)</f>
        <v/>
      </c>
      <c r="I40">
        <f>IF(A40="","",A40&amp;"|"&amp;B40&amp;"|"&amp;C40)</f>
        <v/>
      </c>
      <c r="J40">
        <f>IF(A40="","",IF(COUNTIF($G$2:$G$300,G40)&gt;1,"Sí",""))</f>
        <v/>
      </c>
      <c r="K40">
        <f>IF(A40="","",IF(COUNTIF($H$2:$H$300,H40)&gt;1,"Sí",""))</f>
        <v/>
      </c>
      <c r="L40">
        <f>IF(A40="","",IF(COUNTIF($I$2:$I$300,I40)&gt;1,"Sí",""))</f>
        <v/>
      </c>
      <c r="M40">
        <f>IF(A40="","",IF(OR(J40="Sí",K40="Sí",L40="Sí"),"Conflicto","OK"))</f>
        <v/>
      </c>
      <c r="N40">
        <f>IF(J40="Sí",1/COUNTIF($G$2:$G$300,G40),0)</f>
        <v/>
      </c>
      <c r="O40">
        <f>IF(K40="Sí",1/COUNTIF($H$2:$H$300,H40),0)</f>
        <v/>
      </c>
      <c r="P40">
        <f>IF(L40="Sí",1/COUNTIF($I$2:$I$300,I40),0)</f>
        <v/>
      </c>
    </row>
    <row r="41">
      <c r="A41" s="2" t="inlineStr">
        <is>
          <t>Mié</t>
        </is>
      </c>
      <c r="B41" s="2" t="n">
        <v>2</v>
      </c>
      <c r="C41" s="2" t="inlineStr">
        <is>
          <t>7A</t>
        </is>
      </c>
      <c r="D41" s="2" t="inlineStr">
        <is>
          <t>Ciencias</t>
        </is>
      </c>
      <c r="E41" s="2" t="inlineStr">
        <is>
          <t>Torres</t>
        </is>
      </c>
      <c r="F41" s="2" t="inlineStr">
        <is>
          <t>Laboratorio</t>
        </is>
      </c>
      <c r="G41">
        <f>IF(A41="","",A41&amp;"|"&amp;B41&amp;"|"&amp;E41)</f>
        <v/>
      </c>
      <c r="H41">
        <f>IF(A41="","",A41&amp;"|"&amp;B41&amp;"|"&amp;F41)</f>
        <v/>
      </c>
      <c r="I41">
        <f>IF(A41="","",A41&amp;"|"&amp;B41&amp;"|"&amp;C41)</f>
        <v/>
      </c>
      <c r="J41">
        <f>IF(A41="","",IF(COUNTIF($G$2:$G$300,G41)&gt;1,"Sí",""))</f>
        <v/>
      </c>
      <c r="K41">
        <f>IF(A41="","",IF(COUNTIF($H$2:$H$300,H41)&gt;1,"Sí",""))</f>
        <v/>
      </c>
      <c r="L41">
        <f>IF(A41="","",IF(COUNTIF($I$2:$I$300,I41)&gt;1,"Sí",""))</f>
        <v/>
      </c>
      <c r="M41">
        <f>IF(A41="","",IF(OR(J41="Sí",K41="Sí",L41="Sí"),"Conflicto","OK"))</f>
        <v/>
      </c>
      <c r="N41">
        <f>IF(J41="Sí",1/COUNTIF($G$2:$G$300,G41),0)</f>
        <v/>
      </c>
      <c r="O41">
        <f>IF(K41="Sí",1/COUNTIF($H$2:$H$300,H41),0)</f>
        <v/>
      </c>
      <c r="P41">
        <f>IF(L41="Sí",1/COUNTIF($I$2:$I$300,I41),0)</f>
        <v/>
      </c>
    </row>
    <row r="42">
      <c r="A42" s="2" t="inlineStr">
        <is>
          <t>Mié</t>
        </is>
      </c>
      <c r="B42" s="2" t="n">
        <v>2</v>
      </c>
      <c r="C42" s="2" t="inlineStr">
        <is>
          <t>7B</t>
        </is>
      </c>
      <c r="D42" s="2" t="inlineStr">
        <is>
          <t>Tecnología</t>
        </is>
      </c>
      <c r="E42" s="2" t="inlineStr">
        <is>
          <t>Ruiz</t>
        </is>
      </c>
      <c r="F42" s="2" t="inlineStr">
        <is>
          <t>Sala de sistemas</t>
        </is>
      </c>
      <c r="G42">
        <f>IF(A42="","",A42&amp;"|"&amp;B42&amp;"|"&amp;E42)</f>
        <v/>
      </c>
      <c r="H42">
        <f>IF(A42="","",A42&amp;"|"&amp;B42&amp;"|"&amp;F42)</f>
        <v/>
      </c>
      <c r="I42">
        <f>IF(A42="","",A42&amp;"|"&amp;B42&amp;"|"&amp;C42)</f>
        <v/>
      </c>
      <c r="J42">
        <f>IF(A42="","",IF(COUNTIF($G$2:$G$300,G42)&gt;1,"Sí",""))</f>
        <v/>
      </c>
      <c r="K42">
        <f>IF(A42="","",IF(COUNTIF($H$2:$H$300,H42)&gt;1,"Sí",""))</f>
        <v/>
      </c>
      <c r="L42">
        <f>IF(A42="","",IF(COUNTIF($I$2:$I$300,I42)&gt;1,"Sí",""))</f>
        <v/>
      </c>
      <c r="M42">
        <f>IF(A42="","",IF(OR(J42="Sí",K42="Sí",L42="Sí"),"Conflicto","OK"))</f>
        <v/>
      </c>
      <c r="N42">
        <f>IF(J42="Sí",1/COUNTIF($G$2:$G$300,G42),0)</f>
        <v/>
      </c>
      <c r="O42">
        <f>IF(K42="Sí",1/COUNTIF($H$2:$H$300,H42),0)</f>
        <v/>
      </c>
      <c r="P42">
        <f>IF(L42="Sí",1/COUNTIF($I$2:$I$300,I42),0)</f>
        <v/>
      </c>
    </row>
    <row r="43">
      <c r="A43" s="2" t="inlineStr">
        <is>
          <t>Mié</t>
        </is>
      </c>
      <c r="B43" s="2" t="n">
        <v>2</v>
      </c>
      <c r="C43" s="2" t="inlineStr">
        <is>
          <t>8A</t>
        </is>
      </c>
      <c r="D43" s="2" t="inlineStr">
        <is>
          <t>Educación física</t>
        </is>
      </c>
      <c r="E43" s="2" t="inlineStr">
        <is>
          <t>Salas</t>
        </is>
      </c>
      <c r="F43" s="2" t="inlineStr">
        <is>
          <t>Cancha</t>
        </is>
      </c>
      <c r="G43">
        <f>IF(A43="","",A43&amp;"|"&amp;B43&amp;"|"&amp;E43)</f>
        <v/>
      </c>
      <c r="H43">
        <f>IF(A43="","",A43&amp;"|"&amp;B43&amp;"|"&amp;F43)</f>
        <v/>
      </c>
      <c r="I43">
        <f>IF(A43="","",A43&amp;"|"&amp;B43&amp;"|"&amp;C43)</f>
        <v/>
      </c>
      <c r="J43">
        <f>IF(A43="","",IF(COUNTIF($G$2:$G$300,G43)&gt;1,"Sí",""))</f>
        <v/>
      </c>
      <c r="K43">
        <f>IF(A43="","",IF(COUNTIF($H$2:$H$300,H43)&gt;1,"Sí",""))</f>
        <v/>
      </c>
      <c r="L43">
        <f>IF(A43="","",IF(COUNTIF($I$2:$I$300,I43)&gt;1,"Sí",""))</f>
        <v/>
      </c>
      <c r="M43">
        <f>IF(A43="","",IF(OR(J43="Sí",K43="Sí",L43="Sí"),"Conflicto","OK"))</f>
        <v/>
      </c>
      <c r="N43">
        <f>IF(J43="Sí",1/COUNTIF($G$2:$G$300,G43),0)</f>
        <v/>
      </c>
      <c r="O43">
        <f>IF(K43="Sí",1/COUNTIF($H$2:$H$300,H43),0)</f>
        <v/>
      </c>
      <c r="P43">
        <f>IF(L43="Sí",1/COUNTIF($I$2:$I$300,I43),0)</f>
        <v/>
      </c>
    </row>
    <row r="44">
      <c r="A44" s="2" t="inlineStr">
        <is>
          <t>Mié</t>
        </is>
      </c>
      <c r="B44" s="2" t="n">
        <v>3</v>
      </c>
      <c r="C44" s="2" t="inlineStr">
        <is>
          <t>7A</t>
        </is>
      </c>
      <c r="D44" s="2" t="inlineStr">
        <is>
          <t>Educación física</t>
        </is>
      </c>
      <c r="E44" s="2" t="inlineStr">
        <is>
          <t>Salas</t>
        </is>
      </c>
      <c r="F44" s="2" t="inlineStr">
        <is>
          <t>Cancha</t>
        </is>
      </c>
      <c r="G44">
        <f>IF(A44="","",A44&amp;"|"&amp;B44&amp;"|"&amp;E44)</f>
        <v/>
      </c>
      <c r="H44">
        <f>IF(A44="","",A44&amp;"|"&amp;B44&amp;"|"&amp;F44)</f>
        <v/>
      </c>
      <c r="I44">
        <f>IF(A44="","",A44&amp;"|"&amp;B44&amp;"|"&amp;C44)</f>
        <v/>
      </c>
      <c r="J44">
        <f>IF(A44="","",IF(COUNTIF($G$2:$G$300,G44)&gt;1,"Sí",""))</f>
        <v/>
      </c>
      <c r="K44">
        <f>IF(A44="","",IF(COUNTIF($H$2:$H$300,H44)&gt;1,"Sí",""))</f>
        <v/>
      </c>
      <c r="L44">
        <f>IF(A44="","",IF(COUNTIF($I$2:$I$300,I44)&gt;1,"Sí",""))</f>
        <v/>
      </c>
      <c r="M44">
        <f>IF(A44="","",IF(OR(J44="Sí",K44="Sí",L44="Sí"),"Conflicto","OK"))</f>
        <v/>
      </c>
      <c r="N44">
        <f>IF(J44="Sí",1/COUNTIF($G$2:$G$300,G44),0)</f>
        <v/>
      </c>
      <c r="O44">
        <f>IF(K44="Sí",1/COUNTIF($H$2:$H$300,H44),0)</f>
        <v/>
      </c>
      <c r="P44">
        <f>IF(L44="Sí",1/COUNTIF($I$2:$I$300,I44),0)</f>
        <v/>
      </c>
    </row>
    <row r="45">
      <c r="A45" s="2" t="inlineStr">
        <is>
          <t>Mié</t>
        </is>
      </c>
      <c r="B45" s="2" t="n">
        <v>3</v>
      </c>
      <c r="C45" s="2" t="inlineStr">
        <is>
          <t>7B</t>
        </is>
      </c>
      <c r="D45" s="2" t="inlineStr">
        <is>
          <t>Lenguaje</t>
        </is>
      </c>
      <c r="E45" s="2" t="inlineStr">
        <is>
          <t>Gómez</t>
        </is>
      </c>
      <c r="F45" s="2" t="inlineStr">
        <is>
          <t>Laboratorio</t>
        </is>
      </c>
      <c r="G45">
        <f>IF(A45="","",A45&amp;"|"&amp;B45&amp;"|"&amp;E45)</f>
        <v/>
      </c>
      <c r="H45">
        <f>IF(A45="","",A45&amp;"|"&amp;B45&amp;"|"&amp;F45)</f>
        <v/>
      </c>
      <c r="I45">
        <f>IF(A45="","",A45&amp;"|"&amp;B45&amp;"|"&amp;C45)</f>
        <v/>
      </c>
      <c r="J45">
        <f>IF(A45="","",IF(COUNTIF($G$2:$G$300,G45)&gt;1,"Sí",""))</f>
        <v/>
      </c>
      <c r="K45">
        <f>IF(A45="","",IF(COUNTIF($H$2:$H$300,H45)&gt;1,"Sí",""))</f>
        <v/>
      </c>
      <c r="L45">
        <f>IF(A45="","",IF(COUNTIF($I$2:$I$300,I45)&gt;1,"Sí",""))</f>
        <v/>
      </c>
      <c r="M45">
        <f>IF(A45="","",IF(OR(J45="Sí",K45="Sí",L45="Sí"),"Conflicto","OK"))</f>
        <v/>
      </c>
      <c r="N45">
        <f>IF(J45="Sí",1/COUNTIF($G$2:$G$300,G45),0)</f>
        <v/>
      </c>
      <c r="O45">
        <f>IF(K45="Sí",1/COUNTIF($H$2:$H$300,H45),0)</f>
        <v/>
      </c>
      <c r="P45">
        <f>IF(L45="Sí",1/COUNTIF($I$2:$I$300,I45),0)</f>
        <v/>
      </c>
    </row>
    <row r="46">
      <c r="A46" s="2" t="inlineStr">
        <is>
          <t>Mié</t>
        </is>
      </c>
      <c r="B46" s="2" t="n">
        <v>3</v>
      </c>
      <c r="C46" s="2" t="inlineStr">
        <is>
          <t>8A</t>
        </is>
      </c>
      <c r="D46" s="2" t="inlineStr">
        <is>
          <t>Artes</t>
        </is>
      </c>
      <c r="E46" s="2" t="inlineStr">
        <is>
          <t>Vega</t>
        </is>
      </c>
      <c r="F46" s="2" t="inlineStr">
        <is>
          <t>Laboratorio</t>
        </is>
      </c>
      <c r="G46">
        <f>IF(A46="","",A46&amp;"|"&amp;B46&amp;"|"&amp;E46)</f>
        <v/>
      </c>
      <c r="H46">
        <f>IF(A46="","",A46&amp;"|"&amp;B46&amp;"|"&amp;F46)</f>
        <v/>
      </c>
      <c r="I46">
        <f>IF(A46="","",A46&amp;"|"&amp;B46&amp;"|"&amp;C46)</f>
        <v/>
      </c>
      <c r="J46">
        <f>IF(A46="","",IF(COUNTIF($G$2:$G$300,G46)&gt;1,"Sí",""))</f>
        <v/>
      </c>
      <c r="K46">
        <f>IF(A46="","",IF(COUNTIF($H$2:$H$300,H46)&gt;1,"Sí",""))</f>
        <v/>
      </c>
      <c r="L46">
        <f>IF(A46="","",IF(COUNTIF($I$2:$I$300,I46)&gt;1,"Sí",""))</f>
        <v/>
      </c>
      <c r="M46">
        <f>IF(A46="","",IF(OR(J46="Sí",K46="Sí",L46="Sí"),"Conflicto","OK"))</f>
        <v/>
      </c>
      <c r="N46">
        <f>IF(J46="Sí",1/COUNTIF($G$2:$G$300,G46),0)</f>
        <v/>
      </c>
      <c r="O46">
        <f>IF(K46="Sí",1/COUNTIF($H$2:$H$300,H46),0)</f>
        <v/>
      </c>
      <c r="P46">
        <f>IF(L46="Sí",1/COUNTIF($I$2:$I$300,I46),0)</f>
        <v/>
      </c>
    </row>
    <row r="47">
      <c r="A47" s="2" t="inlineStr">
        <is>
          <t>Mié</t>
        </is>
      </c>
      <c r="B47" s="2" t="n">
        <v>4</v>
      </c>
      <c r="C47" s="2" t="inlineStr">
        <is>
          <t>7A</t>
        </is>
      </c>
      <c r="D47" s="2" t="inlineStr">
        <is>
          <t>Inglés</t>
        </is>
      </c>
      <c r="E47" s="2" t="inlineStr">
        <is>
          <t>Pardo</t>
        </is>
      </c>
      <c r="F47" s="2" t="inlineStr">
        <is>
          <t>Aula 7A</t>
        </is>
      </c>
      <c r="G47">
        <f>IF(A47="","",A47&amp;"|"&amp;B47&amp;"|"&amp;E47)</f>
        <v/>
      </c>
      <c r="H47">
        <f>IF(A47="","",A47&amp;"|"&amp;B47&amp;"|"&amp;F47)</f>
        <v/>
      </c>
      <c r="I47">
        <f>IF(A47="","",A47&amp;"|"&amp;B47&amp;"|"&amp;C47)</f>
        <v/>
      </c>
      <c r="J47">
        <f>IF(A47="","",IF(COUNTIF($G$2:$G$300,G47)&gt;1,"Sí",""))</f>
        <v/>
      </c>
      <c r="K47">
        <f>IF(A47="","",IF(COUNTIF($H$2:$H$300,H47)&gt;1,"Sí",""))</f>
        <v/>
      </c>
      <c r="L47">
        <f>IF(A47="","",IF(COUNTIF($I$2:$I$300,I47)&gt;1,"Sí",""))</f>
        <v/>
      </c>
      <c r="M47">
        <f>IF(A47="","",IF(OR(J47="Sí",K47="Sí",L47="Sí"),"Conflicto","OK"))</f>
        <v/>
      </c>
      <c r="N47">
        <f>IF(J47="Sí",1/COUNTIF($G$2:$G$300,G47),0)</f>
        <v/>
      </c>
      <c r="O47">
        <f>IF(K47="Sí",1/COUNTIF($H$2:$H$300,H47),0)</f>
        <v/>
      </c>
      <c r="P47">
        <f>IF(L47="Sí",1/COUNTIF($I$2:$I$300,I47),0)</f>
        <v/>
      </c>
    </row>
    <row r="48">
      <c r="A48" s="2" t="inlineStr">
        <is>
          <t>Mié</t>
        </is>
      </c>
      <c r="B48" s="2" t="n">
        <v>4</v>
      </c>
      <c r="C48" s="2" t="inlineStr">
        <is>
          <t>7B</t>
        </is>
      </c>
      <c r="D48" s="2" t="inlineStr">
        <is>
          <t>Matemáticas</t>
        </is>
      </c>
      <c r="E48" s="2" t="inlineStr">
        <is>
          <t>Ruiz</t>
        </is>
      </c>
      <c r="F48" s="2" t="inlineStr">
        <is>
          <t>Aula 7B</t>
        </is>
      </c>
      <c r="G48">
        <f>IF(A48="","",A48&amp;"|"&amp;B48&amp;"|"&amp;E48)</f>
        <v/>
      </c>
      <c r="H48">
        <f>IF(A48="","",A48&amp;"|"&amp;B48&amp;"|"&amp;F48)</f>
        <v/>
      </c>
      <c r="I48">
        <f>IF(A48="","",A48&amp;"|"&amp;B48&amp;"|"&amp;C48)</f>
        <v/>
      </c>
      <c r="J48">
        <f>IF(A48="","",IF(COUNTIF($G$2:$G$300,G48)&gt;1,"Sí",""))</f>
        <v/>
      </c>
      <c r="K48">
        <f>IF(A48="","",IF(COUNTIF($H$2:$H$300,H48)&gt;1,"Sí",""))</f>
        <v/>
      </c>
      <c r="L48">
        <f>IF(A48="","",IF(COUNTIF($I$2:$I$300,I48)&gt;1,"Sí",""))</f>
        <v/>
      </c>
      <c r="M48">
        <f>IF(A48="","",IF(OR(J48="Sí",K48="Sí",L48="Sí"),"Conflicto","OK"))</f>
        <v/>
      </c>
      <c r="N48">
        <f>IF(J48="Sí",1/COUNTIF($G$2:$G$300,G48),0)</f>
        <v/>
      </c>
      <c r="O48">
        <f>IF(K48="Sí",1/COUNTIF($H$2:$H$300,H48),0)</f>
        <v/>
      </c>
      <c r="P48">
        <f>IF(L48="Sí",1/COUNTIF($I$2:$I$300,I48),0)</f>
        <v/>
      </c>
    </row>
    <row r="49">
      <c r="A49" s="2" t="inlineStr">
        <is>
          <t>Mié</t>
        </is>
      </c>
      <c r="B49" s="2" t="n">
        <v>4</v>
      </c>
      <c r="C49" s="2" t="inlineStr">
        <is>
          <t>8A</t>
        </is>
      </c>
      <c r="D49" s="2" t="inlineStr">
        <is>
          <t>Sociales</t>
        </is>
      </c>
      <c r="E49" s="2" t="inlineStr">
        <is>
          <t>Mora</t>
        </is>
      </c>
      <c r="F49" s="2" t="inlineStr">
        <is>
          <t>Aula 8A</t>
        </is>
      </c>
      <c r="G49">
        <f>IF(A49="","",A49&amp;"|"&amp;B49&amp;"|"&amp;E49)</f>
        <v/>
      </c>
      <c r="H49">
        <f>IF(A49="","",A49&amp;"|"&amp;B49&amp;"|"&amp;F49)</f>
        <v/>
      </c>
      <c r="I49">
        <f>IF(A49="","",A49&amp;"|"&amp;B49&amp;"|"&amp;C49)</f>
        <v/>
      </c>
      <c r="J49">
        <f>IF(A49="","",IF(COUNTIF($G$2:$G$300,G49)&gt;1,"Sí",""))</f>
        <v/>
      </c>
      <c r="K49">
        <f>IF(A49="","",IF(COUNTIF($H$2:$H$300,H49)&gt;1,"Sí",""))</f>
        <v/>
      </c>
      <c r="L49">
        <f>IF(A49="","",IF(COUNTIF($I$2:$I$300,I49)&gt;1,"Sí",""))</f>
        <v/>
      </c>
      <c r="M49">
        <f>IF(A49="","",IF(OR(J49="Sí",K49="Sí",L49="Sí"),"Conflicto","OK"))</f>
        <v/>
      </c>
      <c r="N49">
        <f>IF(J49="Sí",1/COUNTIF($G$2:$G$300,G49),0)</f>
        <v/>
      </c>
      <c r="O49">
        <f>IF(K49="Sí",1/COUNTIF($H$2:$H$300,H49),0)</f>
        <v/>
      </c>
      <c r="P49">
        <f>IF(L49="Sí",1/COUNTIF($I$2:$I$300,I49),0)</f>
        <v/>
      </c>
    </row>
    <row r="50">
      <c r="A50" s="2" t="inlineStr">
        <is>
          <t>Mié</t>
        </is>
      </c>
      <c r="B50" s="2" t="n">
        <v>5</v>
      </c>
      <c r="C50" s="2" t="inlineStr">
        <is>
          <t>7A</t>
        </is>
      </c>
      <c r="D50" s="2" t="inlineStr">
        <is>
          <t>Tecnología</t>
        </is>
      </c>
      <c r="E50" s="2" t="inlineStr">
        <is>
          <t>Ruiz</t>
        </is>
      </c>
      <c r="F50" s="2" t="inlineStr">
        <is>
          <t>Sala de sistemas</t>
        </is>
      </c>
      <c r="G50">
        <f>IF(A50="","",A50&amp;"|"&amp;B50&amp;"|"&amp;E50)</f>
        <v/>
      </c>
      <c r="H50">
        <f>IF(A50="","",A50&amp;"|"&amp;B50&amp;"|"&amp;F50)</f>
        <v/>
      </c>
      <c r="I50">
        <f>IF(A50="","",A50&amp;"|"&amp;B50&amp;"|"&amp;C50)</f>
        <v/>
      </c>
      <c r="J50">
        <f>IF(A50="","",IF(COUNTIF($G$2:$G$300,G50)&gt;1,"Sí",""))</f>
        <v/>
      </c>
      <c r="K50">
        <f>IF(A50="","",IF(COUNTIF($H$2:$H$300,H50)&gt;1,"Sí",""))</f>
        <v/>
      </c>
      <c r="L50">
        <f>IF(A50="","",IF(COUNTIF($I$2:$I$300,I50)&gt;1,"Sí",""))</f>
        <v/>
      </c>
      <c r="M50">
        <f>IF(A50="","",IF(OR(J50="Sí",K50="Sí",L50="Sí"),"Conflicto","OK"))</f>
        <v/>
      </c>
      <c r="N50">
        <f>IF(J50="Sí",1/COUNTIF($G$2:$G$300,G50),0)</f>
        <v/>
      </c>
      <c r="O50">
        <f>IF(K50="Sí",1/COUNTIF($H$2:$H$300,H50),0)</f>
        <v/>
      </c>
      <c r="P50">
        <f>IF(L50="Sí",1/COUNTIF($I$2:$I$300,I50),0)</f>
        <v/>
      </c>
    </row>
    <row r="51">
      <c r="A51" s="2" t="inlineStr">
        <is>
          <t>Mié</t>
        </is>
      </c>
      <c r="B51" s="2" t="n">
        <v>5</v>
      </c>
      <c r="C51" s="2" t="inlineStr">
        <is>
          <t>7B</t>
        </is>
      </c>
      <c r="D51" s="2" t="inlineStr">
        <is>
          <t>Sociales</t>
        </is>
      </c>
      <c r="E51" s="2" t="inlineStr">
        <is>
          <t>Mora</t>
        </is>
      </c>
      <c r="F51" s="2" t="inlineStr">
        <is>
          <t>Aula 7B</t>
        </is>
      </c>
      <c r="G51">
        <f>IF(A51="","",A51&amp;"|"&amp;B51&amp;"|"&amp;E51)</f>
        <v/>
      </c>
      <c r="H51">
        <f>IF(A51="","",A51&amp;"|"&amp;B51&amp;"|"&amp;F51)</f>
        <v/>
      </c>
      <c r="I51">
        <f>IF(A51="","",A51&amp;"|"&amp;B51&amp;"|"&amp;C51)</f>
        <v/>
      </c>
      <c r="J51">
        <f>IF(A51="","",IF(COUNTIF($G$2:$G$300,G51)&gt;1,"Sí",""))</f>
        <v/>
      </c>
      <c r="K51">
        <f>IF(A51="","",IF(COUNTIF($H$2:$H$300,H51)&gt;1,"Sí",""))</f>
        <v/>
      </c>
      <c r="L51">
        <f>IF(A51="","",IF(COUNTIF($I$2:$I$300,I51)&gt;1,"Sí",""))</f>
        <v/>
      </c>
      <c r="M51">
        <f>IF(A51="","",IF(OR(J51="Sí",K51="Sí",L51="Sí"),"Conflicto","OK"))</f>
        <v/>
      </c>
      <c r="N51">
        <f>IF(J51="Sí",1/COUNTIF($G$2:$G$300,G51),0)</f>
        <v/>
      </c>
      <c r="O51">
        <f>IF(K51="Sí",1/COUNTIF($H$2:$H$300,H51),0)</f>
        <v/>
      </c>
      <c r="P51">
        <f>IF(L51="Sí",1/COUNTIF($I$2:$I$300,I51),0)</f>
        <v/>
      </c>
    </row>
    <row r="52">
      <c r="A52" s="2" t="inlineStr">
        <is>
          <t>Mié</t>
        </is>
      </c>
      <c r="B52" s="2" t="n">
        <v>5</v>
      </c>
      <c r="C52" s="2" t="inlineStr">
        <is>
          <t>8A</t>
        </is>
      </c>
      <c r="D52" s="2" t="inlineStr">
        <is>
          <t>Ciencias</t>
        </is>
      </c>
      <c r="E52" s="2" t="inlineStr">
        <is>
          <t>Torres</t>
        </is>
      </c>
      <c r="F52" s="2" t="inlineStr">
        <is>
          <t>Laboratorio</t>
        </is>
      </c>
      <c r="G52">
        <f>IF(A52="","",A52&amp;"|"&amp;B52&amp;"|"&amp;E52)</f>
        <v/>
      </c>
      <c r="H52">
        <f>IF(A52="","",A52&amp;"|"&amp;B52&amp;"|"&amp;F52)</f>
        <v/>
      </c>
      <c r="I52">
        <f>IF(A52="","",A52&amp;"|"&amp;B52&amp;"|"&amp;C52)</f>
        <v/>
      </c>
      <c r="J52">
        <f>IF(A52="","",IF(COUNTIF($G$2:$G$300,G52)&gt;1,"Sí",""))</f>
        <v/>
      </c>
      <c r="K52">
        <f>IF(A52="","",IF(COUNTIF($H$2:$H$300,H52)&gt;1,"Sí",""))</f>
        <v/>
      </c>
      <c r="L52">
        <f>IF(A52="","",IF(COUNTIF($I$2:$I$300,I52)&gt;1,"Sí",""))</f>
        <v/>
      </c>
      <c r="M52">
        <f>IF(A52="","",IF(OR(J52="Sí",K52="Sí",L52="Sí"),"Conflicto","OK"))</f>
        <v/>
      </c>
      <c r="N52">
        <f>IF(J52="Sí",1/COUNTIF($G$2:$G$300,G52),0)</f>
        <v/>
      </c>
      <c r="O52">
        <f>IF(K52="Sí",1/COUNTIF($H$2:$H$300,H52),0)</f>
        <v/>
      </c>
      <c r="P52">
        <f>IF(L52="Sí",1/COUNTIF($I$2:$I$300,I52),0)</f>
        <v/>
      </c>
    </row>
    <row r="53">
      <c r="A53" s="2" t="inlineStr">
        <is>
          <t>Mié</t>
        </is>
      </c>
      <c r="B53" s="2" t="n">
        <v>6</v>
      </c>
      <c r="C53" s="2" t="inlineStr">
        <is>
          <t>7A</t>
        </is>
      </c>
      <c r="D53" s="2" t="inlineStr">
        <is>
          <t>Matemáticas</t>
        </is>
      </c>
      <c r="E53" s="2" t="inlineStr">
        <is>
          <t>Ruiz</t>
        </is>
      </c>
      <c r="F53" s="2" t="inlineStr">
        <is>
          <t>Aula 7A</t>
        </is>
      </c>
      <c r="G53">
        <f>IF(A53="","",A53&amp;"|"&amp;B53&amp;"|"&amp;E53)</f>
        <v/>
      </c>
      <c r="H53">
        <f>IF(A53="","",A53&amp;"|"&amp;B53&amp;"|"&amp;F53)</f>
        <v/>
      </c>
      <c r="I53">
        <f>IF(A53="","",A53&amp;"|"&amp;B53&amp;"|"&amp;C53)</f>
        <v/>
      </c>
      <c r="J53">
        <f>IF(A53="","",IF(COUNTIF($G$2:$G$300,G53)&gt;1,"Sí",""))</f>
        <v/>
      </c>
      <c r="K53">
        <f>IF(A53="","",IF(COUNTIF($H$2:$H$300,H53)&gt;1,"Sí",""))</f>
        <v/>
      </c>
      <c r="L53">
        <f>IF(A53="","",IF(COUNTIF($I$2:$I$300,I53)&gt;1,"Sí",""))</f>
        <v/>
      </c>
      <c r="M53">
        <f>IF(A53="","",IF(OR(J53="Sí",K53="Sí",L53="Sí"),"Conflicto","OK"))</f>
        <v/>
      </c>
      <c r="N53">
        <f>IF(J53="Sí",1/COUNTIF($G$2:$G$300,G53),0)</f>
        <v/>
      </c>
      <c r="O53">
        <f>IF(K53="Sí",1/COUNTIF($H$2:$H$300,H53),0)</f>
        <v/>
      </c>
      <c r="P53">
        <f>IF(L53="Sí",1/COUNTIF($I$2:$I$300,I53),0)</f>
        <v/>
      </c>
    </row>
    <row r="54">
      <c r="A54" s="2" t="inlineStr">
        <is>
          <t>Mié</t>
        </is>
      </c>
      <c r="B54" s="2" t="n">
        <v>6</v>
      </c>
      <c r="C54" s="2" t="inlineStr">
        <is>
          <t>7B</t>
        </is>
      </c>
      <c r="D54" s="2" t="inlineStr">
        <is>
          <t>Artes</t>
        </is>
      </c>
      <c r="E54" s="2" t="inlineStr">
        <is>
          <t>Vega</t>
        </is>
      </c>
      <c r="F54" s="2" t="inlineStr">
        <is>
          <t>Aula de arte</t>
        </is>
      </c>
      <c r="G54">
        <f>IF(A54="","",A54&amp;"|"&amp;B54&amp;"|"&amp;E54)</f>
        <v/>
      </c>
      <c r="H54">
        <f>IF(A54="","",A54&amp;"|"&amp;B54&amp;"|"&amp;F54)</f>
        <v/>
      </c>
      <c r="I54">
        <f>IF(A54="","",A54&amp;"|"&amp;B54&amp;"|"&amp;C54)</f>
        <v/>
      </c>
      <c r="J54">
        <f>IF(A54="","",IF(COUNTIF($G$2:$G$300,G54)&gt;1,"Sí",""))</f>
        <v/>
      </c>
      <c r="K54">
        <f>IF(A54="","",IF(COUNTIF($H$2:$H$300,H54)&gt;1,"Sí",""))</f>
        <v/>
      </c>
      <c r="L54">
        <f>IF(A54="","",IF(COUNTIF($I$2:$I$300,I54)&gt;1,"Sí",""))</f>
        <v/>
      </c>
      <c r="M54">
        <f>IF(A54="","",IF(OR(J54="Sí",K54="Sí",L54="Sí"),"Conflicto","OK"))</f>
        <v/>
      </c>
      <c r="N54">
        <f>IF(J54="Sí",1/COUNTIF($G$2:$G$300,G54),0)</f>
        <v/>
      </c>
      <c r="O54">
        <f>IF(K54="Sí",1/COUNTIF($H$2:$H$300,H54),0)</f>
        <v/>
      </c>
      <c r="P54">
        <f>IF(L54="Sí",1/COUNTIF($I$2:$I$300,I54),0)</f>
        <v/>
      </c>
    </row>
    <row r="55">
      <c r="A55" s="2" t="inlineStr">
        <is>
          <t>Mié</t>
        </is>
      </c>
      <c r="B55" s="2" t="n">
        <v>6</v>
      </c>
      <c r="C55" s="2" t="inlineStr">
        <is>
          <t>8A</t>
        </is>
      </c>
      <c r="D55" s="2" t="inlineStr">
        <is>
          <t>Lenguaje</t>
        </is>
      </c>
      <c r="E55" s="2" t="inlineStr">
        <is>
          <t>Gómez</t>
        </is>
      </c>
      <c r="F55" s="2" t="inlineStr">
        <is>
          <t>Aula 8A</t>
        </is>
      </c>
      <c r="G55">
        <f>IF(A55="","",A55&amp;"|"&amp;B55&amp;"|"&amp;E55)</f>
        <v/>
      </c>
      <c r="H55">
        <f>IF(A55="","",A55&amp;"|"&amp;B55&amp;"|"&amp;F55)</f>
        <v/>
      </c>
      <c r="I55">
        <f>IF(A55="","",A55&amp;"|"&amp;B55&amp;"|"&amp;C55)</f>
        <v/>
      </c>
      <c r="J55">
        <f>IF(A55="","",IF(COUNTIF($G$2:$G$300,G55)&gt;1,"Sí",""))</f>
        <v/>
      </c>
      <c r="K55">
        <f>IF(A55="","",IF(COUNTIF($H$2:$H$300,H55)&gt;1,"Sí",""))</f>
        <v/>
      </c>
      <c r="L55">
        <f>IF(A55="","",IF(COUNTIF($I$2:$I$300,I55)&gt;1,"Sí",""))</f>
        <v/>
      </c>
      <c r="M55">
        <f>IF(A55="","",IF(OR(J55="Sí",K55="Sí",L55="Sí"),"Conflicto","OK"))</f>
        <v/>
      </c>
      <c r="N55">
        <f>IF(J55="Sí",1/COUNTIF($G$2:$G$300,G55),0)</f>
        <v/>
      </c>
      <c r="O55">
        <f>IF(K55="Sí",1/COUNTIF($H$2:$H$300,H55),0)</f>
        <v/>
      </c>
      <c r="P55">
        <f>IF(L55="Sí",1/COUNTIF($I$2:$I$300,I55),0)</f>
        <v/>
      </c>
    </row>
    <row r="56">
      <c r="A56" s="2" t="inlineStr">
        <is>
          <t>Jue</t>
        </is>
      </c>
      <c r="B56" s="2" t="n">
        <v>1</v>
      </c>
      <c r="C56" s="2" t="inlineStr">
        <is>
          <t>7A</t>
        </is>
      </c>
      <c r="D56" s="2" t="inlineStr">
        <is>
          <t>Lenguaje</t>
        </is>
      </c>
      <c r="E56" s="2" t="inlineStr">
        <is>
          <t>Gómez</t>
        </is>
      </c>
      <c r="F56" s="2" t="inlineStr">
        <is>
          <t>Aula 7A</t>
        </is>
      </c>
      <c r="G56">
        <f>IF(A56="","",A56&amp;"|"&amp;B56&amp;"|"&amp;E56)</f>
        <v/>
      </c>
      <c r="H56">
        <f>IF(A56="","",A56&amp;"|"&amp;B56&amp;"|"&amp;F56)</f>
        <v/>
      </c>
      <c r="I56">
        <f>IF(A56="","",A56&amp;"|"&amp;B56&amp;"|"&amp;C56)</f>
        <v/>
      </c>
      <c r="J56">
        <f>IF(A56="","",IF(COUNTIF($G$2:$G$300,G56)&gt;1,"Sí",""))</f>
        <v/>
      </c>
      <c r="K56">
        <f>IF(A56="","",IF(COUNTIF($H$2:$H$300,H56)&gt;1,"Sí",""))</f>
        <v/>
      </c>
      <c r="L56">
        <f>IF(A56="","",IF(COUNTIF($I$2:$I$300,I56)&gt;1,"Sí",""))</f>
        <v/>
      </c>
      <c r="M56">
        <f>IF(A56="","",IF(OR(J56="Sí",K56="Sí",L56="Sí"),"Conflicto","OK"))</f>
        <v/>
      </c>
      <c r="N56">
        <f>IF(J56="Sí",1/COUNTIF($G$2:$G$300,G56),0)</f>
        <v/>
      </c>
      <c r="O56">
        <f>IF(K56="Sí",1/COUNTIF($H$2:$H$300,H56),0)</f>
        <v/>
      </c>
      <c r="P56">
        <f>IF(L56="Sí",1/COUNTIF($I$2:$I$300,I56),0)</f>
        <v/>
      </c>
    </row>
    <row r="57">
      <c r="A57" s="2" t="inlineStr">
        <is>
          <t>Jue</t>
        </is>
      </c>
      <c r="B57" s="2" t="n">
        <v>1</v>
      </c>
      <c r="C57" s="2" t="inlineStr">
        <is>
          <t>7B</t>
        </is>
      </c>
      <c r="D57" s="2" t="inlineStr">
        <is>
          <t>Educación física</t>
        </is>
      </c>
      <c r="E57" s="2" t="inlineStr">
        <is>
          <t>Salas</t>
        </is>
      </c>
      <c r="F57" s="2" t="inlineStr">
        <is>
          <t>Cancha</t>
        </is>
      </c>
      <c r="G57">
        <f>IF(A57="","",A57&amp;"|"&amp;B57&amp;"|"&amp;E57)</f>
        <v/>
      </c>
      <c r="H57">
        <f>IF(A57="","",A57&amp;"|"&amp;B57&amp;"|"&amp;F57)</f>
        <v/>
      </c>
      <c r="I57">
        <f>IF(A57="","",A57&amp;"|"&amp;B57&amp;"|"&amp;C57)</f>
        <v/>
      </c>
      <c r="J57">
        <f>IF(A57="","",IF(COUNTIF($G$2:$G$300,G57)&gt;1,"Sí",""))</f>
        <v/>
      </c>
      <c r="K57">
        <f>IF(A57="","",IF(COUNTIF($H$2:$H$300,H57)&gt;1,"Sí",""))</f>
        <v/>
      </c>
      <c r="L57">
        <f>IF(A57="","",IF(COUNTIF($I$2:$I$300,I57)&gt;1,"Sí",""))</f>
        <v/>
      </c>
      <c r="M57">
        <f>IF(A57="","",IF(OR(J57="Sí",K57="Sí",L57="Sí"),"Conflicto","OK"))</f>
        <v/>
      </c>
      <c r="N57">
        <f>IF(J57="Sí",1/COUNTIF($G$2:$G$300,G57),0)</f>
        <v/>
      </c>
      <c r="O57">
        <f>IF(K57="Sí",1/COUNTIF($H$2:$H$300,H57),0)</f>
        <v/>
      </c>
      <c r="P57">
        <f>IF(L57="Sí",1/COUNTIF($I$2:$I$300,I57),0)</f>
        <v/>
      </c>
    </row>
    <row r="58">
      <c r="A58" s="2" t="inlineStr">
        <is>
          <t>Jue</t>
        </is>
      </c>
      <c r="B58" s="2" t="n">
        <v>1</v>
      </c>
      <c r="C58" s="2" t="inlineStr">
        <is>
          <t>8A</t>
        </is>
      </c>
      <c r="D58" s="2" t="inlineStr">
        <is>
          <t>Matemáticas</t>
        </is>
      </c>
      <c r="E58" s="2" t="inlineStr">
        <is>
          <t>Ruiz</t>
        </is>
      </c>
      <c r="F58" s="2" t="inlineStr">
        <is>
          <t>Aula 8A</t>
        </is>
      </c>
      <c r="G58">
        <f>IF(A58="","",A58&amp;"|"&amp;B58&amp;"|"&amp;E58)</f>
        <v/>
      </c>
      <c r="H58">
        <f>IF(A58="","",A58&amp;"|"&amp;B58&amp;"|"&amp;F58)</f>
        <v/>
      </c>
      <c r="I58">
        <f>IF(A58="","",A58&amp;"|"&amp;B58&amp;"|"&amp;C58)</f>
        <v/>
      </c>
      <c r="J58">
        <f>IF(A58="","",IF(COUNTIF($G$2:$G$300,G58)&gt;1,"Sí",""))</f>
        <v/>
      </c>
      <c r="K58">
        <f>IF(A58="","",IF(COUNTIF($H$2:$H$300,H58)&gt;1,"Sí",""))</f>
        <v/>
      </c>
      <c r="L58">
        <f>IF(A58="","",IF(COUNTIF($I$2:$I$300,I58)&gt;1,"Sí",""))</f>
        <v/>
      </c>
      <c r="M58">
        <f>IF(A58="","",IF(OR(J58="Sí",K58="Sí",L58="Sí"),"Conflicto","OK"))</f>
        <v/>
      </c>
      <c r="N58">
        <f>IF(J58="Sí",1/COUNTIF($G$2:$G$300,G58),0)</f>
        <v/>
      </c>
      <c r="O58">
        <f>IF(K58="Sí",1/COUNTIF($H$2:$H$300,H58),0)</f>
        <v/>
      </c>
      <c r="P58">
        <f>IF(L58="Sí",1/COUNTIF($I$2:$I$300,I58),0)</f>
        <v/>
      </c>
    </row>
    <row r="59">
      <c r="A59" s="2" t="inlineStr">
        <is>
          <t>Jue</t>
        </is>
      </c>
      <c r="B59" s="2" t="n">
        <v>2</v>
      </c>
      <c r="C59" s="2" t="inlineStr">
        <is>
          <t>7A</t>
        </is>
      </c>
      <c r="D59" s="2" t="inlineStr">
        <is>
          <t>Sociales</t>
        </is>
      </c>
      <c r="E59" s="2" t="inlineStr">
        <is>
          <t>Mora</t>
        </is>
      </c>
      <c r="F59" s="2" t="inlineStr">
        <is>
          <t>Aula 7A</t>
        </is>
      </c>
      <c r="G59">
        <f>IF(A59="","",A59&amp;"|"&amp;B59&amp;"|"&amp;E59)</f>
        <v/>
      </c>
      <c r="H59">
        <f>IF(A59="","",A59&amp;"|"&amp;B59&amp;"|"&amp;F59)</f>
        <v/>
      </c>
      <c r="I59">
        <f>IF(A59="","",A59&amp;"|"&amp;B59&amp;"|"&amp;C59)</f>
        <v/>
      </c>
      <c r="J59">
        <f>IF(A59="","",IF(COUNTIF($G$2:$G$300,G59)&gt;1,"Sí",""))</f>
        <v/>
      </c>
      <c r="K59">
        <f>IF(A59="","",IF(COUNTIF($H$2:$H$300,H59)&gt;1,"Sí",""))</f>
        <v/>
      </c>
      <c r="L59">
        <f>IF(A59="","",IF(COUNTIF($I$2:$I$300,I59)&gt;1,"Sí",""))</f>
        <v/>
      </c>
      <c r="M59">
        <f>IF(A59="","",IF(OR(J59="Sí",K59="Sí",L59="Sí"),"Conflicto","OK"))</f>
        <v/>
      </c>
      <c r="N59">
        <f>IF(J59="Sí",1/COUNTIF($G$2:$G$300,G59),0)</f>
        <v/>
      </c>
      <c r="O59">
        <f>IF(K59="Sí",1/COUNTIF($H$2:$H$300,H59),0)</f>
        <v/>
      </c>
      <c r="P59">
        <f>IF(L59="Sí",1/COUNTIF($I$2:$I$300,I59),0)</f>
        <v/>
      </c>
    </row>
    <row r="60">
      <c r="A60" s="2" t="inlineStr">
        <is>
          <t>Jue</t>
        </is>
      </c>
      <c r="B60" s="2" t="n">
        <v>2</v>
      </c>
      <c r="C60" s="2" t="inlineStr">
        <is>
          <t>7B</t>
        </is>
      </c>
      <c r="D60" s="2" t="inlineStr">
        <is>
          <t>Lenguaje</t>
        </is>
      </c>
      <c r="E60" s="2" t="inlineStr">
        <is>
          <t>Gómez</t>
        </is>
      </c>
      <c r="F60" s="2" t="inlineStr">
        <is>
          <t>Aula 7B</t>
        </is>
      </c>
      <c r="G60">
        <f>IF(A60="","",A60&amp;"|"&amp;B60&amp;"|"&amp;E60)</f>
        <v/>
      </c>
      <c r="H60">
        <f>IF(A60="","",A60&amp;"|"&amp;B60&amp;"|"&amp;F60)</f>
        <v/>
      </c>
      <c r="I60">
        <f>IF(A60="","",A60&amp;"|"&amp;B60&amp;"|"&amp;C60)</f>
        <v/>
      </c>
      <c r="J60">
        <f>IF(A60="","",IF(COUNTIF($G$2:$G$300,G60)&gt;1,"Sí",""))</f>
        <v/>
      </c>
      <c r="K60">
        <f>IF(A60="","",IF(COUNTIF($H$2:$H$300,H60)&gt;1,"Sí",""))</f>
        <v/>
      </c>
      <c r="L60">
        <f>IF(A60="","",IF(COUNTIF($I$2:$I$300,I60)&gt;1,"Sí",""))</f>
        <v/>
      </c>
      <c r="M60">
        <f>IF(A60="","",IF(OR(J60="Sí",K60="Sí",L60="Sí"),"Conflicto","OK"))</f>
        <v/>
      </c>
      <c r="N60">
        <f>IF(J60="Sí",1/COUNTIF($G$2:$G$300,G60),0)</f>
        <v/>
      </c>
      <c r="O60">
        <f>IF(K60="Sí",1/COUNTIF($H$2:$H$300,H60),0)</f>
        <v/>
      </c>
      <c r="P60">
        <f>IF(L60="Sí",1/COUNTIF($I$2:$I$300,I60),0)</f>
        <v/>
      </c>
    </row>
    <row r="61">
      <c r="A61" s="2" t="inlineStr">
        <is>
          <t>Jue</t>
        </is>
      </c>
      <c r="B61" s="2" t="n">
        <v>2</v>
      </c>
      <c r="C61" s="2" t="inlineStr">
        <is>
          <t>8A</t>
        </is>
      </c>
      <c r="D61" s="2" t="inlineStr">
        <is>
          <t>Inglés</t>
        </is>
      </c>
      <c r="E61" s="2" t="inlineStr">
        <is>
          <t>Pardo</t>
        </is>
      </c>
      <c r="F61" s="2" t="inlineStr">
        <is>
          <t>Aula 8A</t>
        </is>
      </c>
      <c r="G61">
        <f>IF(A61="","",A61&amp;"|"&amp;B61&amp;"|"&amp;E61)</f>
        <v/>
      </c>
      <c r="H61">
        <f>IF(A61="","",A61&amp;"|"&amp;B61&amp;"|"&amp;F61)</f>
        <v/>
      </c>
      <c r="I61">
        <f>IF(A61="","",A61&amp;"|"&amp;B61&amp;"|"&amp;C61)</f>
        <v/>
      </c>
      <c r="J61">
        <f>IF(A61="","",IF(COUNTIF($G$2:$G$300,G61)&gt;1,"Sí",""))</f>
        <v/>
      </c>
      <c r="K61">
        <f>IF(A61="","",IF(COUNTIF($H$2:$H$300,H61)&gt;1,"Sí",""))</f>
        <v/>
      </c>
      <c r="L61">
        <f>IF(A61="","",IF(COUNTIF($I$2:$I$300,I61)&gt;1,"Sí",""))</f>
        <v/>
      </c>
      <c r="M61">
        <f>IF(A61="","",IF(OR(J61="Sí",K61="Sí",L61="Sí"),"Conflicto","OK"))</f>
        <v/>
      </c>
      <c r="N61">
        <f>IF(J61="Sí",1/COUNTIF($G$2:$G$300,G61),0)</f>
        <v/>
      </c>
      <c r="O61">
        <f>IF(K61="Sí",1/COUNTIF($H$2:$H$300,H61),0)</f>
        <v/>
      </c>
      <c r="P61">
        <f>IF(L61="Sí",1/COUNTIF($I$2:$I$300,I61),0)</f>
        <v/>
      </c>
    </row>
    <row r="62">
      <c r="A62" s="2" t="inlineStr">
        <is>
          <t>Jue</t>
        </is>
      </c>
      <c r="B62" s="2" t="n">
        <v>3</v>
      </c>
      <c r="C62" s="2" t="inlineStr">
        <is>
          <t>7A</t>
        </is>
      </c>
      <c r="D62" s="2" t="inlineStr">
        <is>
          <t>Religión</t>
        </is>
      </c>
      <c r="E62" s="2" t="inlineStr">
        <is>
          <t>Cruz</t>
        </is>
      </c>
      <c r="F62" s="2" t="inlineStr">
        <is>
          <t>Aula 7A</t>
        </is>
      </c>
      <c r="G62">
        <f>IF(A62="","",A62&amp;"|"&amp;B62&amp;"|"&amp;E62)</f>
        <v/>
      </c>
      <c r="H62">
        <f>IF(A62="","",A62&amp;"|"&amp;B62&amp;"|"&amp;F62)</f>
        <v/>
      </c>
      <c r="I62">
        <f>IF(A62="","",A62&amp;"|"&amp;B62&amp;"|"&amp;C62)</f>
        <v/>
      </c>
      <c r="J62">
        <f>IF(A62="","",IF(COUNTIF($G$2:$G$300,G62)&gt;1,"Sí",""))</f>
        <v/>
      </c>
      <c r="K62">
        <f>IF(A62="","",IF(COUNTIF($H$2:$H$300,H62)&gt;1,"Sí",""))</f>
        <v/>
      </c>
      <c r="L62">
        <f>IF(A62="","",IF(COUNTIF($I$2:$I$300,I62)&gt;1,"Sí",""))</f>
        <v/>
      </c>
      <c r="M62">
        <f>IF(A62="","",IF(OR(J62="Sí",K62="Sí",L62="Sí"),"Conflicto","OK"))</f>
        <v/>
      </c>
      <c r="N62">
        <f>IF(J62="Sí",1/COUNTIF($G$2:$G$300,G62),0)</f>
        <v/>
      </c>
      <c r="O62">
        <f>IF(K62="Sí",1/COUNTIF($H$2:$H$300,H62),0)</f>
        <v/>
      </c>
      <c r="P62">
        <f>IF(L62="Sí",1/COUNTIF($I$2:$I$300,I62),0)</f>
        <v/>
      </c>
    </row>
    <row r="63">
      <c r="A63" s="2" t="inlineStr">
        <is>
          <t>Jue</t>
        </is>
      </c>
      <c r="B63" s="2" t="n">
        <v>3</v>
      </c>
      <c r="C63" s="2" t="inlineStr">
        <is>
          <t>7B</t>
        </is>
      </c>
      <c r="D63" s="2" t="inlineStr">
        <is>
          <t>Inglés</t>
        </is>
      </c>
      <c r="E63" s="2" t="inlineStr">
        <is>
          <t>Pardo</t>
        </is>
      </c>
      <c r="F63" s="2" t="inlineStr">
        <is>
          <t>Aula 7B</t>
        </is>
      </c>
      <c r="G63">
        <f>IF(A63="","",A63&amp;"|"&amp;B63&amp;"|"&amp;E63)</f>
        <v/>
      </c>
      <c r="H63">
        <f>IF(A63="","",A63&amp;"|"&amp;B63&amp;"|"&amp;F63)</f>
        <v/>
      </c>
      <c r="I63">
        <f>IF(A63="","",A63&amp;"|"&amp;B63&amp;"|"&amp;C63)</f>
        <v/>
      </c>
      <c r="J63">
        <f>IF(A63="","",IF(COUNTIF($G$2:$G$300,G63)&gt;1,"Sí",""))</f>
        <v/>
      </c>
      <c r="K63">
        <f>IF(A63="","",IF(COUNTIF($H$2:$H$300,H63)&gt;1,"Sí",""))</f>
        <v/>
      </c>
      <c r="L63">
        <f>IF(A63="","",IF(COUNTIF($I$2:$I$300,I63)&gt;1,"Sí",""))</f>
        <v/>
      </c>
      <c r="M63">
        <f>IF(A63="","",IF(OR(J63="Sí",K63="Sí",L63="Sí"),"Conflicto","OK"))</f>
        <v/>
      </c>
      <c r="N63">
        <f>IF(J63="Sí",1/COUNTIF($G$2:$G$300,G63),0)</f>
        <v/>
      </c>
      <c r="O63">
        <f>IF(K63="Sí",1/COUNTIF($H$2:$H$300,H63),0)</f>
        <v/>
      </c>
      <c r="P63">
        <f>IF(L63="Sí",1/COUNTIF($I$2:$I$300,I63),0)</f>
        <v/>
      </c>
    </row>
    <row r="64">
      <c r="A64" s="2" t="inlineStr">
        <is>
          <t>Jue</t>
        </is>
      </c>
      <c r="B64" s="2" t="n">
        <v>3</v>
      </c>
      <c r="C64" s="2" t="inlineStr">
        <is>
          <t>8A</t>
        </is>
      </c>
      <c r="D64" s="2" t="inlineStr">
        <is>
          <t>Ciencias</t>
        </is>
      </c>
      <c r="E64" s="2" t="inlineStr">
        <is>
          <t>Torres</t>
        </is>
      </c>
      <c r="F64" s="2" t="inlineStr">
        <is>
          <t>Laboratorio</t>
        </is>
      </c>
      <c r="G64">
        <f>IF(A64="","",A64&amp;"|"&amp;B64&amp;"|"&amp;E64)</f>
        <v/>
      </c>
      <c r="H64">
        <f>IF(A64="","",A64&amp;"|"&amp;B64&amp;"|"&amp;F64)</f>
        <v/>
      </c>
      <c r="I64">
        <f>IF(A64="","",A64&amp;"|"&amp;B64&amp;"|"&amp;C64)</f>
        <v/>
      </c>
      <c r="J64">
        <f>IF(A64="","",IF(COUNTIF($G$2:$G$300,G64)&gt;1,"Sí",""))</f>
        <v/>
      </c>
      <c r="K64">
        <f>IF(A64="","",IF(COUNTIF($H$2:$H$300,H64)&gt;1,"Sí",""))</f>
        <v/>
      </c>
      <c r="L64">
        <f>IF(A64="","",IF(COUNTIF($I$2:$I$300,I64)&gt;1,"Sí",""))</f>
        <v/>
      </c>
      <c r="M64">
        <f>IF(A64="","",IF(OR(J64="Sí",K64="Sí",L64="Sí"),"Conflicto","OK"))</f>
        <v/>
      </c>
      <c r="N64">
        <f>IF(J64="Sí",1/COUNTIF($G$2:$G$300,G64),0)</f>
        <v/>
      </c>
      <c r="O64">
        <f>IF(K64="Sí",1/COUNTIF($H$2:$H$300,H64),0)</f>
        <v/>
      </c>
      <c r="P64">
        <f>IF(L64="Sí",1/COUNTIF($I$2:$I$300,I64),0)</f>
        <v/>
      </c>
    </row>
    <row r="65">
      <c r="A65" s="2" t="inlineStr">
        <is>
          <t>Jue</t>
        </is>
      </c>
      <c r="B65" s="2" t="n">
        <v>4</v>
      </c>
      <c r="C65" s="2" t="inlineStr">
        <is>
          <t>7A</t>
        </is>
      </c>
      <c r="D65" s="2" t="inlineStr">
        <is>
          <t>Tecnología</t>
        </is>
      </c>
      <c r="E65" s="2" t="inlineStr">
        <is>
          <t>Ruiz</t>
        </is>
      </c>
      <c r="F65" s="2" t="inlineStr">
        <is>
          <t>Sala de sistemas</t>
        </is>
      </c>
      <c r="G65">
        <f>IF(A65="","",A65&amp;"|"&amp;B65&amp;"|"&amp;E65)</f>
        <v/>
      </c>
      <c r="H65">
        <f>IF(A65="","",A65&amp;"|"&amp;B65&amp;"|"&amp;F65)</f>
        <v/>
      </c>
      <c r="I65">
        <f>IF(A65="","",A65&amp;"|"&amp;B65&amp;"|"&amp;C65)</f>
        <v/>
      </c>
      <c r="J65">
        <f>IF(A65="","",IF(COUNTIF($G$2:$G$300,G65)&gt;1,"Sí",""))</f>
        <v/>
      </c>
      <c r="K65">
        <f>IF(A65="","",IF(COUNTIF($H$2:$H$300,H65)&gt;1,"Sí",""))</f>
        <v/>
      </c>
      <c r="L65">
        <f>IF(A65="","",IF(COUNTIF($I$2:$I$300,I65)&gt;1,"Sí",""))</f>
        <v/>
      </c>
      <c r="M65">
        <f>IF(A65="","",IF(OR(J65="Sí",K65="Sí",L65="Sí"),"Conflicto","OK"))</f>
        <v/>
      </c>
      <c r="N65">
        <f>IF(J65="Sí",1/COUNTIF($G$2:$G$300,G65),0)</f>
        <v/>
      </c>
      <c r="O65">
        <f>IF(K65="Sí",1/COUNTIF($H$2:$H$300,H65),0)</f>
        <v/>
      </c>
      <c r="P65">
        <f>IF(L65="Sí",1/COUNTIF($I$2:$I$300,I65),0)</f>
        <v/>
      </c>
    </row>
    <row r="66">
      <c r="A66" s="2" t="inlineStr">
        <is>
          <t>Jue</t>
        </is>
      </c>
      <c r="B66" s="2" t="n">
        <v>4</v>
      </c>
      <c r="C66" s="2" t="inlineStr">
        <is>
          <t>7B</t>
        </is>
      </c>
      <c r="D66" s="2" t="inlineStr">
        <is>
          <t>Educación física</t>
        </is>
      </c>
      <c r="E66" s="2" t="inlineStr">
        <is>
          <t>Salas</t>
        </is>
      </c>
      <c r="F66" s="2" t="inlineStr">
        <is>
          <t>Cancha</t>
        </is>
      </c>
      <c r="G66">
        <f>IF(A66="","",A66&amp;"|"&amp;B66&amp;"|"&amp;E66)</f>
        <v/>
      </c>
      <c r="H66">
        <f>IF(A66="","",A66&amp;"|"&amp;B66&amp;"|"&amp;F66)</f>
        <v/>
      </c>
      <c r="I66">
        <f>IF(A66="","",A66&amp;"|"&amp;B66&amp;"|"&amp;C66)</f>
        <v/>
      </c>
      <c r="J66">
        <f>IF(A66="","",IF(COUNTIF($G$2:$G$300,G66)&gt;1,"Sí",""))</f>
        <v/>
      </c>
      <c r="K66">
        <f>IF(A66="","",IF(COUNTIF($H$2:$H$300,H66)&gt;1,"Sí",""))</f>
        <v/>
      </c>
      <c r="L66">
        <f>IF(A66="","",IF(COUNTIF($I$2:$I$300,I66)&gt;1,"Sí",""))</f>
        <v/>
      </c>
      <c r="M66">
        <f>IF(A66="","",IF(OR(J66="Sí",K66="Sí",L66="Sí"),"Conflicto","OK"))</f>
        <v/>
      </c>
      <c r="N66">
        <f>IF(J66="Sí",1/COUNTIF($G$2:$G$300,G66),0)</f>
        <v/>
      </c>
      <c r="O66">
        <f>IF(K66="Sí",1/COUNTIF($H$2:$H$300,H66),0)</f>
        <v/>
      </c>
      <c r="P66">
        <f>IF(L66="Sí",1/COUNTIF($I$2:$I$300,I66),0)</f>
        <v/>
      </c>
    </row>
    <row r="67">
      <c r="A67" s="2" t="inlineStr">
        <is>
          <t>Jue</t>
        </is>
      </c>
      <c r="B67" s="2" t="n">
        <v>4</v>
      </c>
      <c r="C67" s="2" t="inlineStr">
        <is>
          <t>8A</t>
        </is>
      </c>
      <c r="D67" s="2" t="inlineStr">
        <is>
          <t>Lenguaje</t>
        </is>
      </c>
      <c r="E67" s="2" t="inlineStr">
        <is>
          <t>Gómez</t>
        </is>
      </c>
      <c r="F67" s="2" t="inlineStr">
        <is>
          <t>Aula 8A</t>
        </is>
      </c>
      <c r="G67">
        <f>IF(A67="","",A67&amp;"|"&amp;B67&amp;"|"&amp;E67)</f>
        <v/>
      </c>
      <c r="H67">
        <f>IF(A67="","",A67&amp;"|"&amp;B67&amp;"|"&amp;F67)</f>
        <v/>
      </c>
      <c r="I67">
        <f>IF(A67="","",A67&amp;"|"&amp;B67&amp;"|"&amp;C67)</f>
        <v/>
      </c>
      <c r="J67">
        <f>IF(A67="","",IF(COUNTIF($G$2:$G$300,G67)&gt;1,"Sí",""))</f>
        <v/>
      </c>
      <c r="K67">
        <f>IF(A67="","",IF(COUNTIF($H$2:$H$300,H67)&gt;1,"Sí",""))</f>
        <v/>
      </c>
      <c r="L67">
        <f>IF(A67="","",IF(COUNTIF($I$2:$I$300,I67)&gt;1,"Sí",""))</f>
        <v/>
      </c>
      <c r="M67">
        <f>IF(A67="","",IF(OR(J67="Sí",K67="Sí",L67="Sí"),"Conflicto","OK"))</f>
        <v/>
      </c>
      <c r="N67">
        <f>IF(J67="Sí",1/COUNTIF($G$2:$G$300,G67),0)</f>
        <v/>
      </c>
      <c r="O67">
        <f>IF(K67="Sí",1/COUNTIF($H$2:$H$300,H67),0)</f>
        <v/>
      </c>
      <c r="P67">
        <f>IF(L67="Sí",1/COUNTIF($I$2:$I$300,I67),0)</f>
        <v/>
      </c>
    </row>
    <row r="68">
      <c r="A68" s="2" t="inlineStr">
        <is>
          <t>Jue</t>
        </is>
      </c>
      <c r="B68" s="2" t="n">
        <v>5</v>
      </c>
      <c r="C68" s="2" t="inlineStr">
        <is>
          <t>7A</t>
        </is>
      </c>
      <c r="D68" s="2" t="inlineStr">
        <is>
          <t>Matemáticas</t>
        </is>
      </c>
      <c r="E68" s="2" t="inlineStr">
        <is>
          <t>Ruiz</t>
        </is>
      </c>
      <c r="F68" s="2" t="inlineStr">
        <is>
          <t>Aula 7A</t>
        </is>
      </c>
      <c r="G68">
        <f>IF(A68="","",A68&amp;"|"&amp;B68&amp;"|"&amp;E68)</f>
        <v/>
      </c>
      <c r="H68">
        <f>IF(A68="","",A68&amp;"|"&amp;B68&amp;"|"&amp;F68)</f>
        <v/>
      </c>
      <c r="I68">
        <f>IF(A68="","",A68&amp;"|"&amp;B68&amp;"|"&amp;C68)</f>
        <v/>
      </c>
      <c r="J68">
        <f>IF(A68="","",IF(COUNTIF($G$2:$G$300,G68)&gt;1,"Sí",""))</f>
        <v/>
      </c>
      <c r="K68">
        <f>IF(A68="","",IF(COUNTIF($H$2:$H$300,H68)&gt;1,"Sí",""))</f>
        <v/>
      </c>
      <c r="L68">
        <f>IF(A68="","",IF(COUNTIF($I$2:$I$300,I68)&gt;1,"Sí",""))</f>
        <v/>
      </c>
      <c r="M68">
        <f>IF(A68="","",IF(OR(J68="Sí",K68="Sí",L68="Sí"),"Conflicto","OK"))</f>
        <v/>
      </c>
      <c r="N68">
        <f>IF(J68="Sí",1/COUNTIF($G$2:$G$300,G68),0)</f>
        <v/>
      </c>
      <c r="O68">
        <f>IF(K68="Sí",1/COUNTIF($H$2:$H$300,H68),0)</f>
        <v/>
      </c>
      <c r="P68">
        <f>IF(L68="Sí",1/COUNTIF($I$2:$I$300,I68),0)</f>
        <v/>
      </c>
    </row>
    <row r="69">
      <c r="A69" s="2" t="inlineStr">
        <is>
          <t>Jue</t>
        </is>
      </c>
      <c r="B69" s="2" t="n">
        <v>5</v>
      </c>
      <c r="C69" s="2" t="inlineStr">
        <is>
          <t>7B</t>
        </is>
      </c>
      <c r="D69" s="2" t="inlineStr">
        <is>
          <t>Sociales</t>
        </is>
      </c>
      <c r="E69" s="2" t="inlineStr">
        <is>
          <t>Mora</t>
        </is>
      </c>
      <c r="F69" s="2" t="inlineStr">
        <is>
          <t>Aula 7B</t>
        </is>
      </c>
      <c r="G69">
        <f>IF(A69="","",A69&amp;"|"&amp;B69&amp;"|"&amp;E69)</f>
        <v/>
      </c>
      <c r="H69">
        <f>IF(A69="","",A69&amp;"|"&amp;B69&amp;"|"&amp;F69)</f>
        <v/>
      </c>
      <c r="I69">
        <f>IF(A69="","",A69&amp;"|"&amp;B69&amp;"|"&amp;C69)</f>
        <v/>
      </c>
      <c r="J69">
        <f>IF(A69="","",IF(COUNTIF($G$2:$G$300,G69)&gt;1,"Sí",""))</f>
        <v/>
      </c>
      <c r="K69">
        <f>IF(A69="","",IF(COUNTIF($H$2:$H$300,H69)&gt;1,"Sí",""))</f>
        <v/>
      </c>
      <c r="L69">
        <f>IF(A69="","",IF(COUNTIF($I$2:$I$300,I69)&gt;1,"Sí",""))</f>
        <v/>
      </c>
      <c r="M69">
        <f>IF(A69="","",IF(OR(J69="Sí",K69="Sí",L69="Sí"),"Conflicto","OK"))</f>
        <v/>
      </c>
      <c r="N69">
        <f>IF(J69="Sí",1/COUNTIF($G$2:$G$300,G69),0)</f>
        <v/>
      </c>
      <c r="O69">
        <f>IF(K69="Sí",1/COUNTIF($H$2:$H$300,H69),0)</f>
        <v/>
      </c>
      <c r="P69">
        <f>IF(L69="Sí",1/COUNTIF($I$2:$I$300,I69),0)</f>
        <v/>
      </c>
    </row>
    <row r="70">
      <c r="A70" s="2" t="inlineStr">
        <is>
          <t>Jue</t>
        </is>
      </c>
      <c r="B70" s="2" t="n">
        <v>5</v>
      </c>
      <c r="C70" s="2" t="inlineStr">
        <is>
          <t>8A</t>
        </is>
      </c>
      <c r="D70" s="2" t="inlineStr">
        <is>
          <t>Educación física</t>
        </is>
      </c>
      <c r="E70" s="2" t="inlineStr">
        <is>
          <t>Salas</t>
        </is>
      </c>
      <c r="F70" s="2" t="inlineStr">
        <is>
          <t>Cancha</t>
        </is>
      </c>
      <c r="G70">
        <f>IF(A70="","",A70&amp;"|"&amp;B70&amp;"|"&amp;E70)</f>
        <v/>
      </c>
      <c r="H70">
        <f>IF(A70="","",A70&amp;"|"&amp;B70&amp;"|"&amp;F70)</f>
        <v/>
      </c>
      <c r="I70">
        <f>IF(A70="","",A70&amp;"|"&amp;B70&amp;"|"&amp;C70)</f>
        <v/>
      </c>
      <c r="J70">
        <f>IF(A70="","",IF(COUNTIF($G$2:$G$300,G70)&gt;1,"Sí",""))</f>
        <v/>
      </c>
      <c r="K70">
        <f>IF(A70="","",IF(COUNTIF($H$2:$H$300,H70)&gt;1,"Sí",""))</f>
        <v/>
      </c>
      <c r="L70">
        <f>IF(A70="","",IF(COUNTIF($I$2:$I$300,I70)&gt;1,"Sí",""))</f>
        <v/>
      </c>
      <c r="M70">
        <f>IF(A70="","",IF(OR(J70="Sí",K70="Sí",L70="Sí"),"Conflicto","OK"))</f>
        <v/>
      </c>
      <c r="N70">
        <f>IF(J70="Sí",1/COUNTIF($G$2:$G$300,G70),0)</f>
        <v/>
      </c>
      <c r="O70">
        <f>IF(K70="Sí",1/COUNTIF($H$2:$H$300,H70),0)</f>
        <v/>
      </c>
      <c r="P70">
        <f>IF(L70="Sí",1/COUNTIF($I$2:$I$300,I70),0)</f>
        <v/>
      </c>
    </row>
    <row r="71">
      <c r="A71" s="2" t="inlineStr">
        <is>
          <t>Jue</t>
        </is>
      </c>
      <c r="B71" s="2" t="n">
        <v>6</v>
      </c>
      <c r="C71" s="2" t="inlineStr">
        <is>
          <t>7A</t>
        </is>
      </c>
      <c r="D71" s="2" t="inlineStr">
        <is>
          <t>Ética</t>
        </is>
      </c>
      <c r="E71" s="2" t="inlineStr">
        <is>
          <t>Ruiz</t>
        </is>
      </c>
      <c r="F71" s="2" t="inlineStr">
        <is>
          <t>Aula 7A</t>
        </is>
      </c>
      <c r="G71">
        <f>IF(A71="","",A71&amp;"|"&amp;B71&amp;"|"&amp;E71)</f>
        <v/>
      </c>
      <c r="H71">
        <f>IF(A71="","",A71&amp;"|"&amp;B71&amp;"|"&amp;F71)</f>
        <v/>
      </c>
      <c r="I71">
        <f>IF(A71="","",A71&amp;"|"&amp;B71&amp;"|"&amp;C71)</f>
        <v/>
      </c>
      <c r="J71">
        <f>IF(A71="","",IF(COUNTIF($G$2:$G$300,G71)&gt;1,"Sí",""))</f>
        <v/>
      </c>
      <c r="K71">
        <f>IF(A71="","",IF(COUNTIF($H$2:$H$300,H71)&gt;1,"Sí",""))</f>
        <v/>
      </c>
      <c r="L71">
        <f>IF(A71="","",IF(COUNTIF($I$2:$I$300,I71)&gt;1,"Sí",""))</f>
        <v/>
      </c>
      <c r="M71">
        <f>IF(A71="","",IF(OR(J71="Sí",K71="Sí",L71="Sí"),"Conflicto","OK"))</f>
        <v/>
      </c>
      <c r="N71">
        <f>IF(J71="Sí",1/COUNTIF($G$2:$G$300,G71),0)</f>
        <v/>
      </c>
      <c r="O71">
        <f>IF(K71="Sí",1/COUNTIF($H$2:$H$300,H71),0)</f>
        <v/>
      </c>
      <c r="P71">
        <f>IF(L71="Sí",1/COUNTIF($I$2:$I$300,I71),0)</f>
        <v/>
      </c>
    </row>
    <row r="72">
      <c r="A72" s="2" t="inlineStr">
        <is>
          <t>Jue</t>
        </is>
      </c>
      <c r="B72" s="2" t="n">
        <v>6</v>
      </c>
      <c r="C72" s="2" t="inlineStr">
        <is>
          <t>7B</t>
        </is>
      </c>
      <c r="D72" s="2" t="inlineStr">
        <is>
          <t>Inglés</t>
        </is>
      </c>
      <c r="E72" s="2" t="inlineStr">
        <is>
          <t>Pardo</t>
        </is>
      </c>
      <c r="F72" s="2" t="inlineStr">
        <is>
          <t>Aula 7B</t>
        </is>
      </c>
      <c r="G72">
        <f>IF(A72="","",A72&amp;"|"&amp;B72&amp;"|"&amp;E72)</f>
        <v/>
      </c>
      <c r="H72">
        <f>IF(A72="","",A72&amp;"|"&amp;B72&amp;"|"&amp;F72)</f>
        <v/>
      </c>
      <c r="I72">
        <f>IF(A72="","",A72&amp;"|"&amp;B72&amp;"|"&amp;C72)</f>
        <v/>
      </c>
      <c r="J72">
        <f>IF(A72="","",IF(COUNTIF($G$2:$G$300,G72)&gt;1,"Sí",""))</f>
        <v/>
      </c>
      <c r="K72">
        <f>IF(A72="","",IF(COUNTIF($H$2:$H$300,H72)&gt;1,"Sí",""))</f>
        <v/>
      </c>
      <c r="L72">
        <f>IF(A72="","",IF(COUNTIF($I$2:$I$300,I72)&gt;1,"Sí",""))</f>
        <v/>
      </c>
      <c r="M72">
        <f>IF(A72="","",IF(OR(J72="Sí",K72="Sí",L72="Sí"),"Conflicto","OK"))</f>
        <v/>
      </c>
      <c r="N72">
        <f>IF(J72="Sí",1/COUNTIF($G$2:$G$300,G72),0)</f>
        <v/>
      </c>
      <c r="O72">
        <f>IF(K72="Sí",1/COUNTIF($H$2:$H$300,H72),0)</f>
        <v/>
      </c>
      <c r="P72">
        <f>IF(L72="Sí",1/COUNTIF($I$2:$I$300,I72),0)</f>
        <v/>
      </c>
    </row>
    <row r="73">
      <c r="A73" s="2" t="inlineStr">
        <is>
          <t>Jue</t>
        </is>
      </c>
      <c r="B73" s="2" t="n">
        <v>6</v>
      </c>
      <c r="C73" s="2" t="inlineStr">
        <is>
          <t>8A</t>
        </is>
      </c>
      <c r="D73" s="2" t="inlineStr">
        <is>
          <t>Sociales</t>
        </is>
      </c>
      <c r="E73" s="2" t="inlineStr">
        <is>
          <t>Mora</t>
        </is>
      </c>
      <c r="F73" s="2" t="inlineStr">
        <is>
          <t>Aula 8A</t>
        </is>
      </c>
      <c r="G73">
        <f>IF(A73="","",A73&amp;"|"&amp;B73&amp;"|"&amp;E73)</f>
        <v/>
      </c>
      <c r="H73">
        <f>IF(A73="","",A73&amp;"|"&amp;B73&amp;"|"&amp;F73)</f>
        <v/>
      </c>
      <c r="I73">
        <f>IF(A73="","",A73&amp;"|"&amp;B73&amp;"|"&amp;C73)</f>
        <v/>
      </c>
      <c r="J73">
        <f>IF(A73="","",IF(COUNTIF($G$2:$G$300,G73)&gt;1,"Sí",""))</f>
        <v/>
      </c>
      <c r="K73">
        <f>IF(A73="","",IF(COUNTIF($H$2:$H$300,H73)&gt;1,"Sí",""))</f>
        <v/>
      </c>
      <c r="L73">
        <f>IF(A73="","",IF(COUNTIF($I$2:$I$300,I73)&gt;1,"Sí",""))</f>
        <v/>
      </c>
      <c r="M73">
        <f>IF(A73="","",IF(OR(J73="Sí",K73="Sí",L73="Sí"),"Conflicto","OK"))</f>
        <v/>
      </c>
      <c r="N73">
        <f>IF(J73="Sí",1/COUNTIF($G$2:$G$300,G73),0)</f>
        <v/>
      </c>
      <c r="O73">
        <f>IF(K73="Sí",1/COUNTIF($H$2:$H$300,H73),0)</f>
        <v/>
      </c>
      <c r="P73">
        <f>IF(L73="Sí",1/COUNTIF($I$2:$I$300,I73),0)</f>
        <v/>
      </c>
    </row>
    <row r="74">
      <c r="A74" s="2" t="inlineStr">
        <is>
          <t>Vie</t>
        </is>
      </c>
      <c r="B74" s="2" t="n">
        <v>1</v>
      </c>
      <c r="C74" s="2" t="inlineStr">
        <is>
          <t>7A</t>
        </is>
      </c>
      <c r="D74" s="2" t="inlineStr">
        <is>
          <t>Inglés</t>
        </is>
      </c>
      <c r="E74" s="2" t="inlineStr">
        <is>
          <t>Pardo</t>
        </is>
      </c>
      <c r="F74" s="2" t="inlineStr">
        <is>
          <t>Aula 7A</t>
        </is>
      </c>
      <c r="G74">
        <f>IF(A74="","",A74&amp;"|"&amp;B74&amp;"|"&amp;E74)</f>
        <v/>
      </c>
      <c r="H74">
        <f>IF(A74="","",A74&amp;"|"&amp;B74&amp;"|"&amp;F74)</f>
        <v/>
      </c>
      <c r="I74">
        <f>IF(A74="","",A74&amp;"|"&amp;B74&amp;"|"&amp;C74)</f>
        <v/>
      </c>
      <c r="J74">
        <f>IF(A74="","",IF(COUNTIF($G$2:$G$300,G74)&gt;1,"Sí",""))</f>
        <v/>
      </c>
      <c r="K74">
        <f>IF(A74="","",IF(COUNTIF($H$2:$H$300,H74)&gt;1,"Sí",""))</f>
        <v/>
      </c>
      <c r="L74">
        <f>IF(A74="","",IF(COUNTIF($I$2:$I$300,I74)&gt;1,"Sí",""))</f>
        <v/>
      </c>
      <c r="M74">
        <f>IF(A74="","",IF(OR(J74="Sí",K74="Sí",L74="Sí"),"Conflicto","OK"))</f>
        <v/>
      </c>
      <c r="N74">
        <f>IF(J74="Sí",1/COUNTIF($G$2:$G$300,G74),0)</f>
        <v/>
      </c>
      <c r="O74">
        <f>IF(K74="Sí",1/COUNTIF($H$2:$H$300,H74),0)</f>
        <v/>
      </c>
      <c r="P74">
        <f>IF(L74="Sí",1/COUNTIF($I$2:$I$300,I74),0)</f>
        <v/>
      </c>
    </row>
    <row r="75">
      <c r="A75" s="2" t="inlineStr">
        <is>
          <t>Vie</t>
        </is>
      </c>
      <c r="B75" s="2" t="n">
        <v>1</v>
      </c>
      <c r="C75" s="2" t="inlineStr">
        <is>
          <t>7B</t>
        </is>
      </c>
      <c r="D75" s="2" t="inlineStr">
        <is>
          <t>Ciencias</t>
        </is>
      </c>
      <c r="E75" s="2" t="inlineStr">
        <is>
          <t>Torres</t>
        </is>
      </c>
      <c r="F75" s="2" t="inlineStr">
        <is>
          <t>Laboratorio</t>
        </is>
      </c>
      <c r="G75">
        <f>IF(A75="","",A75&amp;"|"&amp;B75&amp;"|"&amp;E75)</f>
        <v/>
      </c>
      <c r="H75">
        <f>IF(A75="","",A75&amp;"|"&amp;B75&amp;"|"&amp;F75)</f>
        <v/>
      </c>
      <c r="I75">
        <f>IF(A75="","",A75&amp;"|"&amp;B75&amp;"|"&amp;C75)</f>
        <v/>
      </c>
      <c r="J75">
        <f>IF(A75="","",IF(COUNTIF($G$2:$G$300,G75)&gt;1,"Sí",""))</f>
        <v/>
      </c>
      <c r="K75">
        <f>IF(A75="","",IF(COUNTIF($H$2:$H$300,H75)&gt;1,"Sí",""))</f>
        <v/>
      </c>
      <c r="L75">
        <f>IF(A75="","",IF(COUNTIF($I$2:$I$300,I75)&gt;1,"Sí",""))</f>
        <v/>
      </c>
      <c r="M75">
        <f>IF(A75="","",IF(OR(J75="Sí",K75="Sí",L75="Sí"),"Conflicto","OK"))</f>
        <v/>
      </c>
      <c r="N75">
        <f>IF(J75="Sí",1/COUNTIF($G$2:$G$300,G75),0)</f>
        <v/>
      </c>
      <c r="O75">
        <f>IF(K75="Sí",1/COUNTIF($H$2:$H$300,H75),0)</f>
        <v/>
      </c>
      <c r="P75">
        <f>IF(L75="Sí",1/COUNTIF($I$2:$I$300,I75),0)</f>
        <v/>
      </c>
    </row>
    <row r="76">
      <c r="A76" s="2" t="inlineStr">
        <is>
          <t>Vie</t>
        </is>
      </c>
      <c r="B76" s="2" t="n">
        <v>1</v>
      </c>
      <c r="C76" s="2" t="inlineStr">
        <is>
          <t>8A</t>
        </is>
      </c>
      <c r="D76" s="2" t="inlineStr">
        <is>
          <t>Ética</t>
        </is>
      </c>
      <c r="E76" s="2" t="inlineStr">
        <is>
          <t>Ruiz</t>
        </is>
      </c>
      <c r="F76" s="2" t="inlineStr">
        <is>
          <t>Aula 8A</t>
        </is>
      </c>
      <c r="G76">
        <f>IF(A76="","",A76&amp;"|"&amp;B76&amp;"|"&amp;E76)</f>
        <v/>
      </c>
      <c r="H76">
        <f>IF(A76="","",A76&amp;"|"&amp;B76&amp;"|"&amp;F76)</f>
        <v/>
      </c>
      <c r="I76">
        <f>IF(A76="","",A76&amp;"|"&amp;B76&amp;"|"&amp;C76)</f>
        <v/>
      </c>
      <c r="J76">
        <f>IF(A76="","",IF(COUNTIF($G$2:$G$300,G76)&gt;1,"Sí",""))</f>
        <v/>
      </c>
      <c r="K76">
        <f>IF(A76="","",IF(COUNTIF($H$2:$H$300,H76)&gt;1,"Sí",""))</f>
        <v/>
      </c>
      <c r="L76">
        <f>IF(A76="","",IF(COUNTIF($I$2:$I$300,I76)&gt;1,"Sí",""))</f>
        <v/>
      </c>
      <c r="M76">
        <f>IF(A76="","",IF(OR(J76="Sí",K76="Sí",L76="Sí"),"Conflicto","OK"))</f>
        <v/>
      </c>
      <c r="N76">
        <f>IF(J76="Sí",1/COUNTIF($G$2:$G$300,G76),0)</f>
        <v/>
      </c>
      <c r="O76">
        <f>IF(K76="Sí",1/COUNTIF($H$2:$H$300,H76),0)</f>
        <v/>
      </c>
      <c r="P76">
        <f>IF(L76="Sí",1/COUNTIF($I$2:$I$300,I76),0)</f>
        <v/>
      </c>
    </row>
    <row r="77">
      <c r="A77" s="2" t="inlineStr">
        <is>
          <t>Vie</t>
        </is>
      </c>
      <c r="B77" s="2" t="n">
        <v>2</v>
      </c>
      <c r="C77" s="2" t="inlineStr">
        <is>
          <t>7A</t>
        </is>
      </c>
      <c r="D77" s="2" t="inlineStr">
        <is>
          <t>Lenguaje</t>
        </is>
      </c>
      <c r="E77" s="2" t="inlineStr">
        <is>
          <t>Gómez</t>
        </is>
      </c>
      <c r="F77" s="2" t="inlineStr">
        <is>
          <t>Aula 7A</t>
        </is>
      </c>
      <c r="G77">
        <f>IF(A77="","",A77&amp;"|"&amp;B77&amp;"|"&amp;E77)</f>
        <v/>
      </c>
      <c r="H77">
        <f>IF(A77="","",A77&amp;"|"&amp;B77&amp;"|"&amp;F77)</f>
        <v/>
      </c>
      <c r="I77">
        <f>IF(A77="","",A77&amp;"|"&amp;B77&amp;"|"&amp;C77)</f>
        <v/>
      </c>
      <c r="J77">
        <f>IF(A77="","",IF(COUNTIF($G$2:$G$300,G77)&gt;1,"Sí",""))</f>
        <v/>
      </c>
      <c r="K77">
        <f>IF(A77="","",IF(COUNTIF($H$2:$H$300,H77)&gt;1,"Sí",""))</f>
        <v/>
      </c>
      <c r="L77">
        <f>IF(A77="","",IF(COUNTIF($I$2:$I$300,I77)&gt;1,"Sí",""))</f>
        <v/>
      </c>
      <c r="M77">
        <f>IF(A77="","",IF(OR(J77="Sí",K77="Sí",L77="Sí"),"Conflicto","OK"))</f>
        <v/>
      </c>
      <c r="N77">
        <f>IF(J77="Sí",1/COUNTIF($G$2:$G$300,G77),0)</f>
        <v/>
      </c>
      <c r="O77">
        <f>IF(K77="Sí",1/COUNTIF($H$2:$H$300,H77),0)</f>
        <v/>
      </c>
      <c r="P77">
        <f>IF(L77="Sí",1/COUNTIF($I$2:$I$300,I77),0)</f>
        <v/>
      </c>
    </row>
    <row r="78">
      <c r="A78" s="2" t="inlineStr">
        <is>
          <t>Vie</t>
        </is>
      </c>
      <c r="B78" s="2" t="n">
        <v>2</v>
      </c>
      <c r="C78" s="2" t="inlineStr">
        <is>
          <t>7B</t>
        </is>
      </c>
      <c r="D78" s="2" t="inlineStr">
        <is>
          <t>Matemáticas</t>
        </is>
      </c>
      <c r="E78" s="2" t="inlineStr">
        <is>
          <t>Ruiz</t>
        </is>
      </c>
      <c r="F78" s="2" t="inlineStr">
        <is>
          <t>Aula 7B</t>
        </is>
      </c>
      <c r="G78">
        <f>IF(A78="","",A78&amp;"|"&amp;B78&amp;"|"&amp;E78)</f>
        <v/>
      </c>
      <c r="H78">
        <f>IF(A78="","",A78&amp;"|"&amp;B78&amp;"|"&amp;F78)</f>
        <v/>
      </c>
      <c r="I78">
        <f>IF(A78="","",A78&amp;"|"&amp;B78&amp;"|"&amp;C78)</f>
        <v/>
      </c>
      <c r="J78">
        <f>IF(A78="","",IF(COUNTIF($G$2:$G$300,G78)&gt;1,"Sí",""))</f>
        <v/>
      </c>
      <c r="K78">
        <f>IF(A78="","",IF(COUNTIF($H$2:$H$300,H78)&gt;1,"Sí",""))</f>
        <v/>
      </c>
      <c r="L78">
        <f>IF(A78="","",IF(COUNTIF($I$2:$I$300,I78)&gt;1,"Sí",""))</f>
        <v/>
      </c>
      <c r="M78">
        <f>IF(A78="","",IF(OR(J78="Sí",K78="Sí",L78="Sí"),"Conflicto","OK"))</f>
        <v/>
      </c>
      <c r="N78">
        <f>IF(J78="Sí",1/COUNTIF($G$2:$G$300,G78),0)</f>
        <v/>
      </c>
      <c r="O78">
        <f>IF(K78="Sí",1/COUNTIF($H$2:$H$300,H78),0)</f>
        <v/>
      </c>
      <c r="P78">
        <f>IF(L78="Sí",1/COUNTIF($I$2:$I$300,I78),0)</f>
        <v/>
      </c>
    </row>
    <row r="79">
      <c r="A79" s="2" t="inlineStr">
        <is>
          <t>Vie</t>
        </is>
      </c>
      <c r="B79" s="2" t="n">
        <v>2</v>
      </c>
      <c r="C79" s="2" t="inlineStr">
        <is>
          <t>8A</t>
        </is>
      </c>
      <c r="D79" s="2" t="inlineStr">
        <is>
          <t>Artes</t>
        </is>
      </c>
      <c r="E79" s="2" t="inlineStr">
        <is>
          <t>Vega</t>
        </is>
      </c>
      <c r="F79" s="2" t="inlineStr">
        <is>
          <t>Aula de arte</t>
        </is>
      </c>
      <c r="G79">
        <f>IF(A79="","",A79&amp;"|"&amp;B79&amp;"|"&amp;E79)</f>
        <v/>
      </c>
      <c r="H79">
        <f>IF(A79="","",A79&amp;"|"&amp;B79&amp;"|"&amp;F79)</f>
        <v/>
      </c>
      <c r="I79">
        <f>IF(A79="","",A79&amp;"|"&amp;B79&amp;"|"&amp;C79)</f>
        <v/>
      </c>
      <c r="J79">
        <f>IF(A79="","",IF(COUNTIF($G$2:$G$300,G79)&gt;1,"Sí",""))</f>
        <v/>
      </c>
      <c r="K79">
        <f>IF(A79="","",IF(COUNTIF($H$2:$H$300,H79)&gt;1,"Sí",""))</f>
        <v/>
      </c>
      <c r="L79">
        <f>IF(A79="","",IF(COUNTIF($I$2:$I$300,I79)&gt;1,"Sí",""))</f>
        <v/>
      </c>
      <c r="M79">
        <f>IF(A79="","",IF(OR(J79="Sí",K79="Sí",L79="Sí"),"Conflicto","OK"))</f>
        <v/>
      </c>
      <c r="N79">
        <f>IF(J79="Sí",1/COUNTIF($G$2:$G$300,G79),0)</f>
        <v/>
      </c>
      <c r="O79">
        <f>IF(K79="Sí",1/COUNTIF($H$2:$H$300,H79),0)</f>
        <v/>
      </c>
      <c r="P79">
        <f>IF(L79="Sí",1/COUNTIF($I$2:$I$300,I79),0)</f>
        <v/>
      </c>
    </row>
    <row r="80">
      <c r="A80" s="2" t="inlineStr">
        <is>
          <t>Vie</t>
        </is>
      </c>
      <c r="B80" s="2" t="n">
        <v>3</v>
      </c>
      <c r="C80" s="2" t="inlineStr">
        <is>
          <t>7A</t>
        </is>
      </c>
      <c r="D80" s="2" t="inlineStr">
        <is>
          <t>Ciencias</t>
        </is>
      </c>
      <c r="E80" s="2" t="inlineStr">
        <is>
          <t>Torres</t>
        </is>
      </c>
      <c r="F80" s="2" t="inlineStr">
        <is>
          <t>Laboratorio</t>
        </is>
      </c>
      <c r="G80">
        <f>IF(A80="","",A80&amp;"|"&amp;B80&amp;"|"&amp;E80)</f>
        <v/>
      </c>
      <c r="H80">
        <f>IF(A80="","",A80&amp;"|"&amp;B80&amp;"|"&amp;F80)</f>
        <v/>
      </c>
      <c r="I80">
        <f>IF(A80="","",A80&amp;"|"&amp;B80&amp;"|"&amp;C80)</f>
        <v/>
      </c>
      <c r="J80">
        <f>IF(A80="","",IF(COUNTIF($G$2:$G$300,G80)&gt;1,"Sí",""))</f>
        <v/>
      </c>
      <c r="K80">
        <f>IF(A80="","",IF(COUNTIF($H$2:$H$300,H80)&gt;1,"Sí",""))</f>
        <v/>
      </c>
      <c r="L80">
        <f>IF(A80="","",IF(COUNTIF($I$2:$I$300,I80)&gt;1,"Sí",""))</f>
        <v/>
      </c>
      <c r="M80">
        <f>IF(A80="","",IF(OR(J80="Sí",K80="Sí",L80="Sí"),"Conflicto","OK"))</f>
        <v/>
      </c>
      <c r="N80">
        <f>IF(J80="Sí",1/COUNTIF($G$2:$G$300,G80),0)</f>
        <v/>
      </c>
      <c r="O80">
        <f>IF(K80="Sí",1/COUNTIF($H$2:$H$300,H80),0)</f>
        <v/>
      </c>
      <c r="P80">
        <f>IF(L80="Sí",1/COUNTIF($I$2:$I$300,I80),0)</f>
        <v/>
      </c>
    </row>
    <row r="81">
      <c r="A81" s="2" t="inlineStr">
        <is>
          <t>Vie</t>
        </is>
      </c>
      <c r="B81" s="2" t="n">
        <v>3</v>
      </c>
      <c r="C81" s="2" t="inlineStr">
        <is>
          <t>7B</t>
        </is>
      </c>
      <c r="D81" s="2" t="inlineStr">
        <is>
          <t>Artes</t>
        </is>
      </c>
      <c r="E81" s="2" t="inlineStr">
        <is>
          <t>Vega</t>
        </is>
      </c>
      <c r="F81" s="2" t="inlineStr">
        <is>
          <t>Aula de arte</t>
        </is>
      </c>
      <c r="G81">
        <f>IF(A81="","",A81&amp;"|"&amp;B81&amp;"|"&amp;E81)</f>
        <v/>
      </c>
      <c r="H81">
        <f>IF(A81="","",A81&amp;"|"&amp;B81&amp;"|"&amp;F81)</f>
        <v/>
      </c>
      <c r="I81">
        <f>IF(A81="","",A81&amp;"|"&amp;B81&amp;"|"&amp;C81)</f>
        <v/>
      </c>
      <c r="J81">
        <f>IF(A81="","",IF(COUNTIF($G$2:$G$300,G81)&gt;1,"Sí",""))</f>
        <v/>
      </c>
      <c r="K81">
        <f>IF(A81="","",IF(COUNTIF($H$2:$H$300,H81)&gt;1,"Sí",""))</f>
        <v/>
      </c>
      <c r="L81">
        <f>IF(A81="","",IF(COUNTIF($I$2:$I$300,I81)&gt;1,"Sí",""))</f>
        <v/>
      </c>
      <c r="M81">
        <f>IF(A81="","",IF(OR(J81="Sí",K81="Sí",L81="Sí"),"Conflicto","OK"))</f>
        <v/>
      </c>
      <c r="N81">
        <f>IF(J81="Sí",1/COUNTIF($G$2:$G$300,G81),0)</f>
        <v/>
      </c>
      <c r="O81">
        <f>IF(K81="Sí",1/COUNTIF($H$2:$H$300,H81),0)</f>
        <v/>
      </c>
      <c r="P81">
        <f>IF(L81="Sí",1/COUNTIF($I$2:$I$300,I81),0)</f>
        <v/>
      </c>
    </row>
    <row r="82">
      <c r="A82" s="2" t="inlineStr">
        <is>
          <t>Vie</t>
        </is>
      </c>
      <c r="B82" s="2" t="n">
        <v>3</v>
      </c>
      <c r="C82" s="2" t="inlineStr">
        <is>
          <t>8A</t>
        </is>
      </c>
      <c r="D82" s="2" t="inlineStr">
        <is>
          <t>Tecnología</t>
        </is>
      </c>
      <c r="E82" s="2" t="inlineStr">
        <is>
          <t>Ruiz</t>
        </is>
      </c>
      <c r="F82" s="2" t="inlineStr">
        <is>
          <t>Sala de sistemas</t>
        </is>
      </c>
      <c r="G82">
        <f>IF(A82="","",A82&amp;"|"&amp;B82&amp;"|"&amp;E82)</f>
        <v/>
      </c>
      <c r="H82">
        <f>IF(A82="","",A82&amp;"|"&amp;B82&amp;"|"&amp;F82)</f>
        <v/>
      </c>
      <c r="I82">
        <f>IF(A82="","",A82&amp;"|"&amp;B82&amp;"|"&amp;C82)</f>
        <v/>
      </c>
      <c r="J82">
        <f>IF(A82="","",IF(COUNTIF($G$2:$G$300,G82)&gt;1,"Sí",""))</f>
        <v/>
      </c>
      <c r="K82">
        <f>IF(A82="","",IF(COUNTIF($H$2:$H$300,H82)&gt;1,"Sí",""))</f>
        <v/>
      </c>
      <c r="L82">
        <f>IF(A82="","",IF(COUNTIF($I$2:$I$300,I82)&gt;1,"Sí",""))</f>
        <v/>
      </c>
      <c r="M82">
        <f>IF(A82="","",IF(OR(J82="Sí",K82="Sí",L82="Sí"),"Conflicto","OK"))</f>
        <v/>
      </c>
      <c r="N82">
        <f>IF(J82="Sí",1/COUNTIF($G$2:$G$300,G82),0)</f>
        <v/>
      </c>
      <c r="O82">
        <f>IF(K82="Sí",1/COUNTIF($H$2:$H$300,H82),0)</f>
        <v/>
      </c>
      <c r="P82">
        <f>IF(L82="Sí",1/COUNTIF($I$2:$I$300,I82),0)</f>
        <v/>
      </c>
    </row>
    <row r="83">
      <c r="A83" s="2" t="inlineStr">
        <is>
          <t>Vie</t>
        </is>
      </c>
      <c r="B83" s="2" t="n">
        <v>4</v>
      </c>
      <c r="C83" s="2" t="inlineStr">
        <is>
          <t>7A</t>
        </is>
      </c>
      <c r="D83" s="2" t="inlineStr">
        <is>
          <t>Artes</t>
        </is>
      </c>
      <c r="E83" s="2" t="inlineStr">
        <is>
          <t>Vega</t>
        </is>
      </c>
      <c r="F83" s="2" t="inlineStr">
        <is>
          <t>Aula de arte</t>
        </is>
      </c>
      <c r="G83">
        <f>IF(A83="","",A83&amp;"|"&amp;B83&amp;"|"&amp;E83)</f>
        <v/>
      </c>
      <c r="H83">
        <f>IF(A83="","",A83&amp;"|"&amp;B83&amp;"|"&amp;F83)</f>
        <v/>
      </c>
      <c r="I83">
        <f>IF(A83="","",A83&amp;"|"&amp;B83&amp;"|"&amp;C83)</f>
        <v/>
      </c>
      <c r="J83">
        <f>IF(A83="","",IF(COUNTIF($G$2:$G$300,G83)&gt;1,"Sí",""))</f>
        <v/>
      </c>
      <c r="K83">
        <f>IF(A83="","",IF(COUNTIF($H$2:$H$300,H83)&gt;1,"Sí",""))</f>
        <v/>
      </c>
      <c r="L83">
        <f>IF(A83="","",IF(COUNTIF($I$2:$I$300,I83)&gt;1,"Sí",""))</f>
        <v/>
      </c>
      <c r="M83">
        <f>IF(A83="","",IF(OR(J83="Sí",K83="Sí",L83="Sí"),"Conflicto","OK"))</f>
        <v/>
      </c>
      <c r="N83">
        <f>IF(J83="Sí",1/COUNTIF($G$2:$G$300,G83),0)</f>
        <v/>
      </c>
      <c r="O83">
        <f>IF(K83="Sí",1/COUNTIF($H$2:$H$300,H83),0)</f>
        <v/>
      </c>
      <c r="P83">
        <f>IF(L83="Sí",1/COUNTIF($I$2:$I$300,I83),0)</f>
        <v/>
      </c>
    </row>
    <row r="84">
      <c r="A84" s="2" t="inlineStr">
        <is>
          <t>Vie</t>
        </is>
      </c>
      <c r="B84" s="2" t="n">
        <v>4</v>
      </c>
      <c r="C84" s="2" t="inlineStr">
        <is>
          <t>7B</t>
        </is>
      </c>
      <c r="D84" s="2" t="inlineStr">
        <is>
          <t>Religión</t>
        </is>
      </c>
      <c r="E84" s="2" t="inlineStr">
        <is>
          <t>Cruz</t>
        </is>
      </c>
      <c r="F84" s="2" t="inlineStr">
        <is>
          <t>Aula 7B</t>
        </is>
      </c>
      <c r="G84">
        <f>IF(A84="","",A84&amp;"|"&amp;B84&amp;"|"&amp;E84)</f>
        <v/>
      </c>
      <c r="H84">
        <f>IF(A84="","",A84&amp;"|"&amp;B84&amp;"|"&amp;F84)</f>
        <v/>
      </c>
      <c r="I84">
        <f>IF(A84="","",A84&amp;"|"&amp;B84&amp;"|"&amp;C84)</f>
        <v/>
      </c>
      <c r="J84">
        <f>IF(A84="","",IF(COUNTIF($G$2:$G$300,G84)&gt;1,"Sí",""))</f>
        <v/>
      </c>
      <c r="K84">
        <f>IF(A84="","",IF(COUNTIF($H$2:$H$300,H84)&gt;1,"Sí",""))</f>
        <v/>
      </c>
      <c r="L84">
        <f>IF(A84="","",IF(COUNTIF($I$2:$I$300,I84)&gt;1,"Sí",""))</f>
        <v/>
      </c>
      <c r="M84">
        <f>IF(A84="","",IF(OR(J84="Sí",K84="Sí",L84="Sí"),"Conflicto","OK"))</f>
        <v/>
      </c>
      <c r="N84">
        <f>IF(J84="Sí",1/COUNTIF($G$2:$G$300,G84),0)</f>
        <v/>
      </c>
      <c r="O84">
        <f>IF(K84="Sí",1/COUNTIF($H$2:$H$300,H84),0)</f>
        <v/>
      </c>
      <c r="P84">
        <f>IF(L84="Sí",1/COUNTIF($I$2:$I$300,I84),0)</f>
        <v/>
      </c>
    </row>
    <row r="85">
      <c r="A85" s="2" t="inlineStr">
        <is>
          <t>Vie</t>
        </is>
      </c>
      <c r="B85" s="2" t="n">
        <v>4</v>
      </c>
      <c r="C85" s="2" t="inlineStr">
        <is>
          <t>8A</t>
        </is>
      </c>
      <c r="D85" s="2" t="inlineStr">
        <is>
          <t>Matemáticas</t>
        </is>
      </c>
      <c r="E85" s="2" t="inlineStr">
        <is>
          <t>Ruiz</t>
        </is>
      </c>
      <c r="F85" s="2" t="inlineStr">
        <is>
          <t>Aula 8A</t>
        </is>
      </c>
      <c r="G85">
        <f>IF(A85="","",A85&amp;"|"&amp;B85&amp;"|"&amp;E85)</f>
        <v/>
      </c>
      <c r="H85">
        <f>IF(A85="","",A85&amp;"|"&amp;B85&amp;"|"&amp;F85)</f>
        <v/>
      </c>
      <c r="I85">
        <f>IF(A85="","",A85&amp;"|"&amp;B85&amp;"|"&amp;C85)</f>
        <v/>
      </c>
      <c r="J85">
        <f>IF(A85="","",IF(COUNTIF($G$2:$G$300,G85)&gt;1,"Sí",""))</f>
        <v/>
      </c>
      <c r="K85">
        <f>IF(A85="","",IF(COUNTIF($H$2:$H$300,H85)&gt;1,"Sí",""))</f>
        <v/>
      </c>
      <c r="L85">
        <f>IF(A85="","",IF(COUNTIF($I$2:$I$300,I85)&gt;1,"Sí",""))</f>
        <v/>
      </c>
      <c r="M85">
        <f>IF(A85="","",IF(OR(J85="Sí",K85="Sí",L85="Sí"),"Conflicto","OK"))</f>
        <v/>
      </c>
      <c r="N85">
        <f>IF(J85="Sí",1/COUNTIF($G$2:$G$300,G85),0)</f>
        <v/>
      </c>
      <c r="O85">
        <f>IF(K85="Sí",1/COUNTIF($H$2:$H$300,H85),0)</f>
        <v/>
      </c>
      <c r="P85">
        <f>IF(L85="Sí",1/COUNTIF($I$2:$I$300,I85),0)</f>
        <v/>
      </c>
    </row>
    <row r="86">
      <c r="A86" s="2" t="inlineStr">
        <is>
          <t>Vie</t>
        </is>
      </c>
      <c r="B86" s="2" t="n">
        <v>5</v>
      </c>
      <c r="C86" s="2" t="inlineStr">
        <is>
          <t>7A</t>
        </is>
      </c>
      <c r="D86" s="2" t="inlineStr">
        <is>
          <t>Educación física</t>
        </is>
      </c>
      <c r="E86" s="2" t="inlineStr">
        <is>
          <t>Salas</t>
        </is>
      </c>
      <c r="F86" s="2" t="inlineStr">
        <is>
          <t>Cancha</t>
        </is>
      </c>
      <c r="G86">
        <f>IF(A86="","",A86&amp;"|"&amp;B86&amp;"|"&amp;E86)</f>
        <v/>
      </c>
      <c r="H86">
        <f>IF(A86="","",A86&amp;"|"&amp;B86&amp;"|"&amp;F86)</f>
        <v/>
      </c>
      <c r="I86">
        <f>IF(A86="","",A86&amp;"|"&amp;B86&amp;"|"&amp;C86)</f>
        <v/>
      </c>
      <c r="J86">
        <f>IF(A86="","",IF(COUNTIF($G$2:$G$300,G86)&gt;1,"Sí",""))</f>
        <v/>
      </c>
      <c r="K86">
        <f>IF(A86="","",IF(COUNTIF($H$2:$H$300,H86)&gt;1,"Sí",""))</f>
        <v/>
      </c>
      <c r="L86">
        <f>IF(A86="","",IF(COUNTIF($I$2:$I$300,I86)&gt;1,"Sí",""))</f>
        <v/>
      </c>
      <c r="M86">
        <f>IF(A86="","",IF(OR(J86="Sí",K86="Sí",L86="Sí"),"Conflicto","OK"))</f>
        <v/>
      </c>
      <c r="N86">
        <f>IF(J86="Sí",1/COUNTIF($G$2:$G$300,G86),0)</f>
        <v/>
      </c>
      <c r="O86">
        <f>IF(K86="Sí",1/COUNTIF($H$2:$H$300,H86),0)</f>
        <v/>
      </c>
      <c r="P86">
        <f>IF(L86="Sí",1/COUNTIF($I$2:$I$300,I86),0)</f>
        <v/>
      </c>
    </row>
    <row r="87">
      <c r="A87" s="2" t="inlineStr">
        <is>
          <t>Vie</t>
        </is>
      </c>
      <c r="B87" s="2" t="n">
        <v>5</v>
      </c>
      <c r="C87" s="2" t="inlineStr">
        <is>
          <t>7B</t>
        </is>
      </c>
      <c r="D87" s="2" t="inlineStr">
        <is>
          <t>Tecnología</t>
        </is>
      </c>
      <c r="E87" s="2" t="inlineStr">
        <is>
          <t>Ruiz</t>
        </is>
      </c>
      <c r="F87" s="2" t="inlineStr">
        <is>
          <t>Sala de sistemas</t>
        </is>
      </c>
      <c r="G87">
        <f>IF(A87="","",A87&amp;"|"&amp;B87&amp;"|"&amp;E87)</f>
        <v/>
      </c>
      <c r="H87">
        <f>IF(A87="","",A87&amp;"|"&amp;B87&amp;"|"&amp;F87)</f>
        <v/>
      </c>
      <c r="I87">
        <f>IF(A87="","",A87&amp;"|"&amp;B87&amp;"|"&amp;C87)</f>
        <v/>
      </c>
      <c r="J87">
        <f>IF(A87="","",IF(COUNTIF($G$2:$G$300,G87)&gt;1,"Sí",""))</f>
        <v/>
      </c>
      <c r="K87">
        <f>IF(A87="","",IF(COUNTIF($H$2:$H$300,H87)&gt;1,"Sí",""))</f>
        <v/>
      </c>
      <c r="L87">
        <f>IF(A87="","",IF(COUNTIF($I$2:$I$300,I87)&gt;1,"Sí",""))</f>
        <v/>
      </c>
      <c r="M87">
        <f>IF(A87="","",IF(OR(J87="Sí",K87="Sí",L87="Sí"),"Conflicto","OK"))</f>
        <v/>
      </c>
      <c r="N87">
        <f>IF(J87="Sí",1/COUNTIF($G$2:$G$300,G87),0)</f>
        <v/>
      </c>
      <c r="O87">
        <f>IF(K87="Sí",1/COUNTIF($H$2:$H$300,H87),0)</f>
        <v/>
      </c>
      <c r="P87">
        <f>IF(L87="Sí",1/COUNTIF($I$2:$I$300,I87),0)</f>
        <v/>
      </c>
    </row>
    <row r="88">
      <c r="A88" s="2" t="inlineStr">
        <is>
          <t>Vie</t>
        </is>
      </c>
      <c r="B88" s="2" t="n">
        <v>5</v>
      </c>
      <c r="C88" s="2" t="inlineStr">
        <is>
          <t>8A</t>
        </is>
      </c>
      <c r="D88" s="2" t="inlineStr">
        <is>
          <t>Religión</t>
        </is>
      </c>
      <c r="E88" s="2" t="inlineStr">
        <is>
          <t>Cruz</t>
        </is>
      </c>
      <c r="F88" s="2" t="inlineStr">
        <is>
          <t>Aula 8A</t>
        </is>
      </c>
      <c r="G88">
        <f>IF(A88="","",A88&amp;"|"&amp;B88&amp;"|"&amp;E88)</f>
        <v/>
      </c>
      <c r="H88">
        <f>IF(A88="","",A88&amp;"|"&amp;B88&amp;"|"&amp;F88)</f>
        <v/>
      </c>
      <c r="I88">
        <f>IF(A88="","",A88&amp;"|"&amp;B88&amp;"|"&amp;C88)</f>
        <v/>
      </c>
      <c r="J88">
        <f>IF(A88="","",IF(COUNTIF($G$2:$G$300,G88)&gt;1,"Sí",""))</f>
        <v/>
      </c>
      <c r="K88">
        <f>IF(A88="","",IF(COUNTIF($H$2:$H$300,H88)&gt;1,"Sí",""))</f>
        <v/>
      </c>
      <c r="L88">
        <f>IF(A88="","",IF(COUNTIF($I$2:$I$300,I88)&gt;1,"Sí",""))</f>
        <v/>
      </c>
      <c r="M88">
        <f>IF(A88="","",IF(OR(J88="Sí",K88="Sí",L88="Sí"),"Conflicto","OK"))</f>
        <v/>
      </c>
      <c r="N88">
        <f>IF(J88="Sí",1/COUNTIF($G$2:$G$300,G88),0)</f>
        <v/>
      </c>
      <c r="O88">
        <f>IF(K88="Sí",1/COUNTIF($H$2:$H$300,H88),0)</f>
        <v/>
      </c>
      <c r="P88">
        <f>IF(L88="Sí",1/COUNTIF($I$2:$I$300,I88),0)</f>
        <v/>
      </c>
    </row>
    <row r="89">
      <c r="A89" s="2" t="inlineStr">
        <is>
          <t>Vie</t>
        </is>
      </c>
      <c r="B89" s="2" t="n">
        <v>6</v>
      </c>
      <c r="C89" s="2" t="inlineStr">
        <is>
          <t>7A</t>
        </is>
      </c>
      <c r="D89" s="2" t="inlineStr">
        <is>
          <t>Sociales</t>
        </is>
      </c>
      <c r="E89" s="2" t="inlineStr">
        <is>
          <t>Mora</t>
        </is>
      </c>
      <c r="F89" s="2" t="inlineStr">
        <is>
          <t>Aula 7A</t>
        </is>
      </c>
      <c r="G89">
        <f>IF(A89="","",A89&amp;"|"&amp;B89&amp;"|"&amp;E89)</f>
        <v/>
      </c>
      <c r="H89">
        <f>IF(A89="","",A89&amp;"|"&amp;B89&amp;"|"&amp;F89)</f>
        <v/>
      </c>
      <c r="I89">
        <f>IF(A89="","",A89&amp;"|"&amp;B89&amp;"|"&amp;C89)</f>
        <v/>
      </c>
      <c r="J89">
        <f>IF(A89="","",IF(COUNTIF($G$2:$G$300,G89)&gt;1,"Sí",""))</f>
        <v/>
      </c>
      <c r="K89">
        <f>IF(A89="","",IF(COUNTIF($H$2:$H$300,H89)&gt;1,"Sí",""))</f>
        <v/>
      </c>
      <c r="L89">
        <f>IF(A89="","",IF(COUNTIF($I$2:$I$300,I89)&gt;1,"Sí",""))</f>
        <v/>
      </c>
      <c r="M89">
        <f>IF(A89="","",IF(OR(J89="Sí",K89="Sí",L89="Sí"),"Conflicto","OK"))</f>
        <v/>
      </c>
      <c r="N89">
        <f>IF(J89="Sí",1/COUNTIF($G$2:$G$300,G89),0)</f>
        <v/>
      </c>
      <c r="O89">
        <f>IF(K89="Sí",1/COUNTIF($H$2:$H$300,H89),0)</f>
        <v/>
      </c>
      <c r="P89">
        <f>IF(L89="Sí",1/COUNTIF($I$2:$I$300,I89),0)</f>
        <v/>
      </c>
    </row>
    <row r="90">
      <c r="A90" s="2" t="inlineStr">
        <is>
          <t>Vie</t>
        </is>
      </c>
      <c r="B90" s="2" t="n">
        <v>6</v>
      </c>
      <c r="C90" s="2" t="inlineStr">
        <is>
          <t>7B</t>
        </is>
      </c>
      <c r="D90" s="2" t="inlineStr">
        <is>
          <t>Ética</t>
        </is>
      </c>
      <c r="E90" s="2" t="inlineStr">
        <is>
          <t>Ruiz</t>
        </is>
      </c>
      <c r="F90" s="2" t="inlineStr">
        <is>
          <t>Aula 7B</t>
        </is>
      </c>
      <c r="G90">
        <f>IF(A90="","",A90&amp;"|"&amp;B90&amp;"|"&amp;E90)</f>
        <v/>
      </c>
      <c r="H90">
        <f>IF(A90="","",A90&amp;"|"&amp;B90&amp;"|"&amp;F90)</f>
        <v/>
      </c>
      <c r="I90">
        <f>IF(A90="","",A90&amp;"|"&amp;B90&amp;"|"&amp;C90)</f>
        <v/>
      </c>
      <c r="J90">
        <f>IF(A90="","",IF(COUNTIF($G$2:$G$300,G90)&gt;1,"Sí",""))</f>
        <v/>
      </c>
      <c r="K90">
        <f>IF(A90="","",IF(COUNTIF($H$2:$H$300,H90)&gt;1,"Sí",""))</f>
        <v/>
      </c>
      <c r="L90">
        <f>IF(A90="","",IF(COUNTIF($I$2:$I$300,I90)&gt;1,"Sí",""))</f>
        <v/>
      </c>
      <c r="M90">
        <f>IF(A90="","",IF(OR(J90="Sí",K90="Sí",L90="Sí"),"Conflicto","OK"))</f>
        <v/>
      </c>
      <c r="N90">
        <f>IF(J90="Sí",1/COUNTIF($G$2:$G$300,G90),0)</f>
        <v/>
      </c>
      <c r="O90">
        <f>IF(K90="Sí",1/COUNTIF($H$2:$H$300,H90),0)</f>
        <v/>
      </c>
      <c r="P90">
        <f>IF(L90="Sí",1/COUNTIF($I$2:$I$300,I90),0)</f>
        <v/>
      </c>
    </row>
    <row r="91">
      <c r="A91" s="2" t="inlineStr">
        <is>
          <t>Vie</t>
        </is>
      </c>
      <c r="B91" s="2" t="n">
        <v>6</v>
      </c>
      <c r="C91" s="2" t="inlineStr">
        <is>
          <t>8A</t>
        </is>
      </c>
      <c r="D91" s="2" t="inlineStr">
        <is>
          <t>Inglés</t>
        </is>
      </c>
      <c r="E91" s="2" t="inlineStr">
        <is>
          <t>Pardo</t>
        </is>
      </c>
      <c r="F91" s="2" t="inlineStr">
        <is>
          <t>Aula 8A</t>
        </is>
      </c>
      <c r="G91">
        <f>IF(A91="","",A91&amp;"|"&amp;B91&amp;"|"&amp;E91)</f>
        <v/>
      </c>
      <c r="H91">
        <f>IF(A91="","",A91&amp;"|"&amp;B91&amp;"|"&amp;F91)</f>
        <v/>
      </c>
      <c r="I91">
        <f>IF(A91="","",A91&amp;"|"&amp;B91&amp;"|"&amp;C91)</f>
        <v/>
      </c>
      <c r="J91">
        <f>IF(A91="","",IF(COUNTIF($G$2:$G$300,G91)&gt;1,"Sí",""))</f>
        <v/>
      </c>
      <c r="K91">
        <f>IF(A91="","",IF(COUNTIF($H$2:$H$300,H91)&gt;1,"Sí",""))</f>
        <v/>
      </c>
      <c r="L91">
        <f>IF(A91="","",IF(COUNTIF($I$2:$I$300,I91)&gt;1,"Sí",""))</f>
        <v/>
      </c>
      <c r="M91">
        <f>IF(A91="","",IF(OR(J91="Sí",K91="Sí",L91="Sí"),"Conflicto","OK"))</f>
        <v/>
      </c>
      <c r="N91">
        <f>IF(J91="Sí",1/COUNTIF($G$2:$G$300,G91),0)</f>
        <v/>
      </c>
      <c r="O91">
        <f>IF(K91="Sí",1/COUNTIF($H$2:$H$300,H91),0)</f>
        <v/>
      </c>
      <c r="P91">
        <f>IF(L91="Sí",1/COUNTIF($I$2:$I$300,I91),0)</f>
        <v/>
      </c>
    </row>
    <row r="92">
      <c r="A92" s="2" t="inlineStr">
        <is>
          <t>Mar</t>
        </is>
      </c>
      <c r="B92" s="2" t="n">
        <v>4</v>
      </c>
      <c r="C92" s="2" t="inlineStr">
        <is>
          <t>7A</t>
        </is>
      </c>
      <c r="D92" s="2" t="inlineStr">
        <is>
          <t>Tecnología</t>
        </is>
      </c>
      <c r="E92" s="2" t="inlineStr">
        <is>
          <t>Ruiz</t>
        </is>
      </c>
      <c r="F92" s="2" t="inlineStr">
        <is>
          <t>Sala de sistemas</t>
        </is>
      </c>
      <c r="G92">
        <f>IF(A92="","",A92&amp;"|"&amp;B92&amp;"|"&amp;E92)</f>
        <v/>
      </c>
      <c r="H92">
        <f>IF(A92="","",A92&amp;"|"&amp;B92&amp;"|"&amp;F92)</f>
        <v/>
      </c>
      <c r="I92">
        <f>IF(A92="","",A92&amp;"|"&amp;B92&amp;"|"&amp;C92)</f>
        <v/>
      </c>
      <c r="J92">
        <f>IF(A92="","",IF(COUNTIF($G$2:$G$300,G92)&gt;1,"Sí",""))</f>
        <v/>
      </c>
      <c r="K92">
        <f>IF(A92="","",IF(COUNTIF($H$2:$H$300,H92)&gt;1,"Sí",""))</f>
        <v/>
      </c>
      <c r="L92">
        <f>IF(A92="","",IF(COUNTIF($I$2:$I$300,I92)&gt;1,"Sí",""))</f>
        <v/>
      </c>
      <c r="M92">
        <f>IF(A92="","",IF(OR(J92="Sí",K92="Sí",L92="Sí"),"Conflicto","OK"))</f>
        <v/>
      </c>
      <c r="N92">
        <f>IF(J92="Sí",1/COUNTIF($G$2:$G$300,G92),0)</f>
        <v/>
      </c>
      <c r="O92">
        <f>IF(K92="Sí",1/COUNTIF($H$2:$H$300,H92),0)</f>
        <v/>
      </c>
      <c r="P92">
        <f>IF(L92="Sí",1/COUNTIF($I$2:$I$300,I92),0)</f>
        <v/>
      </c>
    </row>
    <row r="93">
      <c r="A93" s="2" t="n"/>
      <c r="B93" s="2" t="n"/>
      <c r="C93" s="2" t="n"/>
      <c r="D93" s="2" t="n"/>
      <c r="E93" s="2" t="n"/>
      <c r="F93" s="2" t="n"/>
      <c r="G93">
        <f>IF(A93="","",A93&amp;"|"&amp;B93&amp;"|"&amp;E93)</f>
        <v/>
      </c>
      <c r="H93">
        <f>IF(A93="","",A93&amp;"|"&amp;B93&amp;"|"&amp;F93)</f>
        <v/>
      </c>
      <c r="I93">
        <f>IF(A93="","",A93&amp;"|"&amp;B93&amp;"|"&amp;C93)</f>
        <v/>
      </c>
      <c r="J93">
        <f>IF(A93="","",IF(COUNTIF($G$2:$G$300,G93)&gt;1,"Sí",""))</f>
        <v/>
      </c>
      <c r="K93">
        <f>IF(A93="","",IF(COUNTIF($H$2:$H$300,H93)&gt;1,"Sí",""))</f>
        <v/>
      </c>
      <c r="L93">
        <f>IF(A93="","",IF(COUNTIF($I$2:$I$300,I93)&gt;1,"Sí",""))</f>
        <v/>
      </c>
      <c r="M93">
        <f>IF(A93="","",IF(OR(J93="Sí",K93="Sí",L93="Sí"),"Conflicto","OK"))</f>
        <v/>
      </c>
      <c r="N93">
        <f>IF(J93="Sí",1/COUNTIF($G$2:$G$300,G93),0)</f>
        <v/>
      </c>
      <c r="O93">
        <f>IF(K93="Sí",1/COUNTIF($H$2:$H$300,H93),0)</f>
        <v/>
      </c>
      <c r="P93">
        <f>IF(L93="Sí",1/COUNTIF($I$2:$I$300,I93),0)</f>
        <v/>
      </c>
    </row>
    <row r="94">
      <c r="A94" s="2" t="n"/>
      <c r="B94" s="2" t="n"/>
      <c r="C94" s="2" t="n"/>
      <c r="D94" s="2" t="n"/>
      <c r="E94" s="2" t="n"/>
      <c r="F94" s="2" t="n"/>
      <c r="G94">
        <f>IF(A94="","",A94&amp;"|"&amp;B94&amp;"|"&amp;E94)</f>
        <v/>
      </c>
      <c r="H94">
        <f>IF(A94="","",A94&amp;"|"&amp;B94&amp;"|"&amp;F94)</f>
        <v/>
      </c>
      <c r="I94">
        <f>IF(A94="","",A94&amp;"|"&amp;B94&amp;"|"&amp;C94)</f>
        <v/>
      </c>
      <c r="J94">
        <f>IF(A94="","",IF(COUNTIF($G$2:$G$300,G94)&gt;1,"Sí",""))</f>
        <v/>
      </c>
      <c r="K94">
        <f>IF(A94="","",IF(COUNTIF($H$2:$H$300,H94)&gt;1,"Sí",""))</f>
        <v/>
      </c>
      <c r="L94">
        <f>IF(A94="","",IF(COUNTIF($I$2:$I$300,I94)&gt;1,"Sí",""))</f>
        <v/>
      </c>
      <c r="M94">
        <f>IF(A94="","",IF(OR(J94="Sí",K94="Sí",L94="Sí"),"Conflicto","OK"))</f>
        <v/>
      </c>
      <c r="N94">
        <f>IF(J94="Sí",1/COUNTIF($G$2:$G$300,G94),0)</f>
        <v/>
      </c>
      <c r="O94">
        <f>IF(K94="Sí",1/COUNTIF($H$2:$H$300,H94),0)</f>
        <v/>
      </c>
      <c r="P94">
        <f>IF(L94="Sí",1/COUNTIF($I$2:$I$300,I94),0)</f>
        <v/>
      </c>
    </row>
    <row r="95">
      <c r="A95" s="2" t="n"/>
      <c r="B95" s="2" t="n"/>
      <c r="C95" s="2" t="n"/>
      <c r="D95" s="2" t="n"/>
      <c r="E95" s="2" t="n"/>
      <c r="F95" s="2" t="n"/>
      <c r="G95">
        <f>IF(A95="","",A95&amp;"|"&amp;B95&amp;"|"&amp;E95)</f>
        <v/>
      </c>
      <c r="H95">
        <f>IF(A95="","",A95&amp;"|"&amp;B95&amp;"|"&amp;F95)</f>
        <v/>
      </c>
      <c r="I95">
        <f>IF(A95="","",A95&amp;"|"&amp;B95&amp;"|"&amp;C95)</f>
        <v/>
      </c>
      <c r="J95">
        <f>IF(A95="","",IF(COUNTIF($G$2:$G$300,G95)&gt;1,"Sí",""))</f>
        <v/>
      </c>
      <c r="K95">
        <f>IF(A95="","",IF(COUNTIF($H$2:$H$300,H95)&gt;1,"Sí",""))</f>
        <v/>
      </c>
      <c r="L95">
        <f>IF(A95="","",IF(COUNTIF($I$2:$I$300,I95)&gt;1,"Sí",""))</f>
        <v/>
      </c>
      <c r="M95">
        <f>IF(A95="","",IF(OR(J95="Sí",K95="Sí",L95="Sí"),"Conflicto","OK"))</f>
        <v/>
      </c>
      <c r="N95">
        <f>IF(J95="Sí",1/COUNTIF($G$2:$G$300,G95),0)</f>
        <v/>
      </c>
      <c r="O95">
        <f>IF(K95="Sí",1/COUNTIF($H$2:$H$300,H95),0)</f>
        <v/>
      </c>
      <c r="P95">
        <f>IF(L95="Sí",1/COUNTIF($I$2:$I$300,I95),0)</f>
        <v/>
      </c>
    </row>
    <row r="96">
      <c r="A96" s="2" t="n"/>
      <c r="B96" s="2" t="n"/>
      <c r="C96" s="2" t="n"/>
      <c r="D96" s="2" t="n"/>
      <c r="E96" s="2" t="n"/>
      <c r="F96" s="2" t="n"/>
      <c r="G96">
        <f>IF(A96="","",A96&amp;"|"&amp;B96&amp;"|"&amp;E96)</f>
        <v/>
      </c>
      <c r="H96">
        <f>IF(A96="","",A96&amp;"|"&amp;B96&amp;"|"&amp;F96)</f>
        <v/>
      </c>
      <c r="I96">
        <f>IF(A96="","",A96&amp;"|"&amp;B96&amp;"|"&amp;C96)</f>
        <v/>
      </c>
      <c r="J96">
        <f>IF(A96="","",IF(COUNTIF($G$2:$G$300,G96)&gt;1,"Sí",""))</f>
        <v/>
      </c>
      <c r="K96">
        <f>IF(A96="","",IF(COUNTIF($H$2:$H$300,H96)&gt;1,"Sí",""))</f>
        <v/>
      </c>
      <c r="L96">
        <f>IF(A96="","",IF(COUNTIF($I$2:$I$300,I96)&gt;1,"Sí",""))</f>
        <v/>
      </c>
      <c r="M96">
        <f>IF(A96="","",IF(OR(J96="Sí",K96="Sí",L96="Sí"),"Conflicto","OK"))</f>
        <v/>
      </c>
      <c r="N96">
        <f>IF(J96="Sí",1/COUNTIF($G$2:$G$300,G96),0)</f>
        <v/>
      </c>
      <c r="O96">
        <f>IF(K96="Sí",1/COUNTIF($H$2:$H$300,H96),0)</f>
        <v/>
      </c>
      <c r="P96">
        <f>IF(L96="Sí",1/COUNTIF($I$2:$I$300,I96),0)</f>
        <v/>
      </c>
    </row>
    <row r="97">
      <c r="A97" s="2" t="n"/>
      <c r="B97" s="2" t="n"/>
      <c r="C97" s="2" t="n"/>
      <c r="D97" s="2" t="n"/>
      <c r="E97" s="2" t="n"/>
      <c r="F97" s="2" t="n"/>
      <c r="G97">
        <f>IF(A97="","",A97&amp;"|"&amp;B97&amp;"|"&amp;E97)</f>
        <v/>
      </c>
      <c r="H97">
        <f>IF(A97="","",A97&amp;"|"&amp;B97&amp;"|"&amp;F97)</f>
        <v/>
      </c>
      <c r="I97">
        <f>IF(A97="","",A97&amp;"|"&amp;B97&amp;"|"&amp;C97)</f>
        <v/>
      </c>
      <c r="J97">
        <f>IF(A97="","",IF(COUNTIF($G$2:$G$300,G97)&gt;1,"Sí",""))</f>
        <v/>
      </c>
      <c r="K97">
        <f>IF(A97="","",IF(COUNTIF($H$2:$H$300,H97)&gt;1,"Sí",""))</f>
        <v/>
      </c>
      <c r="L97">
        <f>IF(A97="","",IF(COUNTIF($I$2:$I$300,I97)&gt;1,"Sí",""))</f>
        <v/>
      </c>
      <c r="M97">
        <f>IF(A97="","",IF(OR(J97="Sí",K97="Sí",L97="Sí"),"Conflicto","OK"))</f>
        <v/>
      </c>
      <c r="N97">
        <f>IF(J97="Sí",1/COUNTIF($G$2:$G$300,G97),0)</f>
        <v/>
      </c>
      <c r="O97">
        <f>IF(K97="Sí",1/COUNTIF($H$2:$H$300,H97),0)</f>
        <v/>
      </c>
      <c r="P97">
        <f>IF(L97="Sí",1/COUNTIF($I$2:$I$300,I97),0)</f>
        <v/>
      </c>
    </row>
    <row r="98">
      <c r="A98" s="2" t="n"/>
      <c r="B98" s="2" t="n"/>
      <c r="C98" s="2" t="n"/>
      <c r="D98" s="2" t="n"/>
      <c r="E98" s="2" t="n"/>
      <c r="F98" s="2" t="n"/>
      <c r="G98">
        <f>IF(A98="","",A98&amp;"|"&amp;B98&amp;"|"&amp;E98)</f>
        <v/>
      </c>
      <c r="H98">
        <f>IF(A98="","",A98&amp;"|"&amp;B98&amp;"|"&amp;F98)</f>
        <v/>
      </c>
      <c r="I98">
        <f>IF(A98="","",A98&amp;"|"&amp;B98&amp;"|"&amp;C98)</f>
        <v/>
      </c>
      <c r="J98">
        <f>IF(A98="","",IF(COUNTIF($G$2:$G$300,G98)&gt;1,"Sí",""))</f>
        <v/>
      </c>
      <c r="K98">
        <f>IF(A98="","",IF(COUNTIF($H$2:$H$300,H98)&gt;1,"Sí",""))</f>
        <v/>
      </c>
      <c r="L98">
        <f>IF(A98="","",IF(COUNTIF($I$2:$I$300,I98)&gt;1,"Sí",""))</f>
        <v/>
      </c>
      <c r="M98">
        <f>IF(A98="","",IF(OR(J98="Sí",K98="Sí",L98="Sí"),"Conflicto","OK"))</f>
        <v/>
      </c>
      <c r="N98">
        <f>IF(J98="Sí",1/COUNTIF($G$2:$G$300,G98),0)</f>
        <v/>
      </c>
      <c r="O98">
        <f>IF(K98="Sí",1/COUNTIF($H$2:$H$300,H98),0)</f>
        <v/>
      </c>
      <c r="P98">
        <f>IF(L98="Sí",1/COUNTIF($I$2:$I$300,I98),0)</f>
        <v/>
      </c>
    </row>
    <row r="99">
      <c r="A99" s="2" t="n"/>
      <c r="B99" s="2" t="n"/>
      <c r="C99" s="2" t="n"/>
      <c r="D99" s="2" t="n"/>
      <c r="E99" s="2" t="n"/>
      <c r="F99" s="2" t="n"/>
      <c r="G99">
        <f>IF(A99="","",A99&amp;"|"&amp;B99&amp;"|"&amp;E99)</f>
        <v/>
      </c>
      <c r="H99">
        <f>IF(A99="","",A99&amp;"|"&amp;B99&amp;"|"&amp;F99)</f>
        <v/>
      </c>
      <c r="I99">
        <f>IF(A99="","",A99&amp;"|"&amp;B99&amp;"|"&amp;C99)</f>
        <v/>
      </c>
      <c r="J99">
        <f>IF(A99="","",IF(COUNTIF($G$2:$G$300,G99)&gt;1,"Sí",""))</f>
        <v/>
      </c>
      <c r="K99">
        <f>IF(A99="","",IF(COUNTIF($H$2:$H$300,H99)&gt;1,"Sí",""))</f>
        <v/>
      </c>
      <c r="L99">
        <f>IF(A99="","",IF(COUNTIF($I$2:$I$300,I99)&gt;1,"Sí",""))</f>
        <v/>
      </c>
      <c r="M99">
        <f>IF(A99="","",IF(OR(J99="Sí",K99="Sí",L99="Sí"),"Conflicto","OK"))</f>
        <v/>
      </c>
      <c r="N99">
        <f>IF(J99="Sí",1/COUNTIF($G$2:$G$300,G99),0)</f>
        <v/>
      </c>
      <c r="O99">
        <f>IF(K99="Sí",1/COUNTIF($H$2:$H$300,H99),0)</f>
        <v/>
      </c>
      <c r="P99">
        <f>IF(L99="Sí",1/COUNTIF($I$2:$I$300,I99),0)</f>
        <v/>
      </c>
    </row>
    <row r="100">
      <c r="A100" s="2" t="n"/>
      <c r="B100" s="2" t="n"/>
      <c r="C100" s="2" t="n"/>
      <c r="D100" s="2" t="n"/>
      <c r="E100" s="2" t="n"/>
      <c r="F100" s="2" t="n"/>
      <c r="G100">
        <f>IF(A100="","",A100&amp;"|"&amp;B100&amp;"|"&amp;E100)</f>
        <v/>
      </c>
      <c r="H100">
        <f>IF(A100="","",A100&amp;"|"&amp;B100&amp;"|"&amp;F100)</f>
        <v/>
      </c>
      <c r="I100">
        <f>IF(A100="","",A100&amp;"|"&amp;B100&amp;"|"&amp;C100)</f>
        <v/>
      </c>
      <c r="J100">
        <f>IF(A100="","",IF(COUNTIF($G$2:$G$300,G100)&gt;1,"Sí",""))</f>
        <v/>
      </c>
      <c r="K100">
        <f>IF(A100="","",IF(COUNTIF($H$2:$H$300,H100)&gt;1,"Sí",""))</f>
        <v/>
      </c>
      <c r="L100">
        <f>IF(A100="","",IF(COUNTIF($I$2:$I$300,I100)&gt;1,"Sí",""))</f>
        <v/>
      </c>
      <c r="M100">
        <f>IF(A100="","",IF(OR(J100="Sí",K100="Sí",L100="Sí"),"Conflicto","OK"))</f>
        <v/>
      </c>
      <c r="N100">
        <f>IF(J100="Sí",1/COUNTIF($G$2:$G$300,G100),0)</f>
        <v/>
      </c>
      <c r="O100">
        <f>IF(K100="Sí",1/COUNTIF($H$2:$H$300,H100),0)</f>
        <v/>
      </c>
      <c r="P100">
        <f>IF(L100="Sí",1/COUNTIF($I$2:$I$300,I100),0)</f>
        <v/>
      </c>
    </row>
    <row r="101">
      <c r="A101" s="2" t="n"/>
      <c r="B101" s="2" t="n"/>
      <c r="C101" s="2" t="n"/>
      <c r="D101" s="2" t="n"/>
      <c r="E101" s="2" t="n"/>
      <c r="F101" s="2" t="n"/>
      <c r="G101">
        <f>IF(A101="","",A101&amp;"|"&amp;B101&amp;"|"&amp;E101)</f>
        <v/>
      </c>
      <c r="H101">
        <f>IF(A101="","",A101&amp;"|"&amp;B101&amp;"|"&amp;F101)</f>
        <v/>
      </c>
      <c r="I101">
        <f>IF(A101="","",A101&amp;"|"&amp;B101&amp;"|"&amp;C101)</f>
        <v/>
      </c>
      <c r="J101">
        <f>IF(A101="","",IF(COUNTIF($G$2:$G$300,G101)&gt;1,"Sí",""))</f>
        <v/>
      </c>
      <c r="K101">
        <f>IF(A101="","",IF(COUNTIF($H$2:$H$300,H101)&gt;1,"Sí",""))</f>
        <v/>
      </c>
      <c r="L101">
        <f>IF(A101="","",IF(COUNTIF($I$2:$I$300,I101)&gt;1,"Sí",""))</f>
        <v/>
      </c>
      <c r="M101">
        <f>IF(A101="","",IF(OR(J101="Sí",K101="Sí",L101="Sí"),"Conflicto","OK"))</f>
        <v/>
      </c>
      <c r="N101">
        <f>IF(J101="Sí",1/COUNTIF($G$2:$G$300,G101),0)</f>
        <v/>
      </c>
      <c r="O101">
        <f>IF(K101="Sí",1/COUNTIF($H$2:$H$300,H101),0)</f>
        <v/>
      </c>
      <c r="P101">
        <f>IF(L101="Sí",1/COUNTIF($I$2:$I$300,I101),0)</f>
        <v/>
      </c>
    </row>
    <row r="102">
      <c r="A102" s="2" t="n"/>
      <c r="B102" s="2" t="n"/>
      <c r="C102" s="2" t="n"/>
      <c r="D102" s="2" t="n"/>
      <c r="E102" s="2" t="n"/>
      <c r="F102" s="2" t="n"/>
      <c r="G102">
        <f>IF(A102="","",A102&amp;"|"&amp;B102&amp;"|"&amp;E102)</f>
        <v/>
      </c>
      <c r="H102">
        <f>IF(A102="","",A102&amp;"|"&amp;B102&amp;"|"&amp;F102)</f>
        <v/>
      </c>
      <c r="I102">
        <f>IF(A102="","",A102&amp;"|"&amp;B102&amp;"|"&amp;C102)</f>
        <v/>
      </c>
      <c r="J102">
        <f>IF(A102="","",IF(COUNTIF($G$2:$G$300,G102)&gt;1,"Sí",""))</f>
        <v/>
      </c>
      <c r="K102">
        <f>IF(A102="","",IF(COUNTIF($H$2:$H$300,H102)&gt;1,"Sí",""))</f>
        <v/>
      </c>
      <c r="L102">
        <f>IF(A102="","",IF(COUNTIF($I$2:$I$300,I102)&gt;1,"Sí",""))</f>
        <v/>
      </c>
      <c r="M102">
        <f>IF(A102="","",IF(OR(J102="Sí",K102="Sí",L102="Sí"),"Conflicto","OK"))</f>
        <v/>
      </c>
      <c r="N102">
        <f>IF(J102="Sí",1/COUNTIF($G$2:$G$300,G102),0)</f>
        <v/>
      </c>
      <c r="O102">
        <f>IF(K102="Sí",1/COUNTIF($H$2:$H$300,H102),0)</f>
        <v/>
      </c>
      <c r="P102">
        <f>IF(L102="Sí",1/COUNTIF($I$2:$I$300,I102),0)</f>
        <v/>
      </c>
    </row>
    <row r="103">
      <c r="A103" s="2" t="n"/>
      <c r="B103" s="2" t="n"/>
      <c r="C103" s="2" t="n"/>
      <c r="D103" s="2" t="n"/>
      <c r="E103" s="2" t="n"/>
      <c r="F103" s="2" t="n"/>
      <c r="G103">
        <f>IF(A103="","",A103&amp;"|"&amp;B103&amp;"|"&amp;E103)</f>
        <v/>
      </c>
      <c r="H103">
        <f>IF(A103="","",A103&amp;"|"&amp;B103&amp;"|"&amp;F103)</f>
        <v/>
      </c>
      <c r="I103">
        <f>IF(A103="","",A103&amp;"|"&amp;B103&amp;"|"&amp;C103)</f>
        <v/>
      </c>
      <c r="J103">
        <f>IF(A103="","",IF(COUNTIF($G$2:$G$300,G103)&gt;1,"Sí",""))</f>
        <v/>
      </c>
      <c r="K103">
        <f>IF(A103="","",IF(COUNTIF($H$2:$H$300,H103)&gt;1,"Sí",""))</f>
        <v/>
      </c>
      <c r="L103">
        <f>IF(A103="","",IF(COUNTIF($I$2:$I$300,I103)&gt;1,"Sí",""))</f>
        <v/>
      </c>
      <c r="M103">
        <f>IF(A103="","",IF(OR(J103="Sí",K103="Sí",L103="Sí"),"Conflicto","OK"))</f>
        <v/>
      </c>
      <c r="N103">
        <f>IF(J103="Sí",1/COUNTIF($G$2:$G$300,G103),0)</f>
        <v/>
      </c>
      <c r="O103">
        <f>IF(K103="Sí",1/COUNTIF($H$2:$H$300,H103),0)</f>
        <v/>
      </c>
      <c r="P103">
        <f>IF(L103="Sí",1/COUNTIF($I$2:$I$300,I103),0)</f>
        <v/>
      </c>
    </row>
    <row r="104">
      <c r="A104" s="2" t="n"/>
      <c r="B104" s="2" t="n"/>
      <c r="C104" s="2" t="n"/>
      <c r="D104" s="2" t="n"/>
      <c r="E104" s="2" t="n"/>
      <c r="F104" s="2" t="n"/>
      <c r="G104">
        <f>IF(A104="","",A104&amp;"|"&amp;B104&amp;"|"&amp;E104)</f>
        <v/>
      </c>
      <c r="H104">
        <f>IF(A104="","",A104&amp;"|"&amp;B104&amp;"|"&amp;F104)</f>
        <v/>
      </c>
      <c r="I104">
        <f>IF(A104="","",A104&amp;"|"&amp;B104&amp;"|"&amp;C104)</f>
        <v/>
      </c>
      <c r="J104">
        <f>IF(A104="","",IF(COUNTIF($G$2:$G$300,G104)&gt;1,"Sí",""))</f>
        <v/>
      </c>
      <c r="K104">
        <f>IF(A104="","",IF(COUNTIF($H$2:$H$300,H104)&gt;1,"Sí",""))</f>
        <v/>
      </c>
      <c r="L104">
        <f>IF(A104="","",IF(COUNTIF($I$2:$I$300,I104)&gt;1,"Sí",""))</f>
        <v/>
      </c>
      <c r="M104">
        <f>IF(A104="","",IF(OR(J104="Sí",K104="Sí",L104="Sí"),"Conflicto","OK"))</f>
        <v/>
      </c>
      <c r="N104">
        <f>IF(J104="Sí",1/COUNTIF($G$2:$G$300,G104),0)</f>
        <v/>
      </c>
      <c r="O104">
        <f>IF(K104="Sí",1/COUNTIF($H$2:$H$300,H104),0)</f>
        <v/>
      </c>
      <c r="P104">
        <f>IF(L104="Sí",1/COUNTIF($I$2:$I$300,I104),0)</f>
        <v/>
      </c>
    </row>
    <row r="105">
      <c r="A105" s="2" t="n"/>
      <c r="B105" s="2" t="n"/>
      <c r="C105" s="2" t="n"/>
      <c r="D105" s="2" t="n"/>
      <c r="E105" s="2" t="n"/>
      <c r="F105" s="2" t="n"/>
      <c r="G105">
        <f>IF(A105="","",A105&amp;"|"&amp;B105&amp;"|"&amp;E105)</f>
        <v/>
      </c>
      <c r="H105">
        <f>IF(A105="","",A105&amp;"|"&amp;B105&amp;"|"&amp;F105)</f>
        <v/>
      </c>
      <c r="I105">
        <f>IF(A105="","",A105&amp;"|"&amp;B105&amp;"|"&amp;C105)</f>
        <v/>
      </c>
      <c r="J105">
        <f>IF(A105="","",IF(COUNTIF($G$2:$G$300,G105)&gt;1,"Sí",""))</f>
        <v/>
      </c>
      <c r="K105">
        <f>IF(A105="","",IF(COUNTIF($H$2:$H$300,H105)&gt;1,"Sí",""))</f>
        <v/>
      </c>
      <c r="L105">
        <f>IF(A105="","",IF(COUNTIF($I$2:$I$300,I105)&gt;1,"Sí",""))</f>
        <v/>
      </c>
      <c r="M105">
        <f>IF(A105="","",IF(OR(J105="Sí",K105="Sí",L105="Sí"),"Conflicto","OK"))</f>
        <v/>
      </c>
      <c r="N105">
        <f>IF(J105="Sí",1/COUNTIF($G$2:$G$300,G105),0)</f>
        <v/>
      </c>
      <c r="O105">
        <f>IF(K105="Sí",1/COUNTIF($H$2:$H$300,H105),0)</f>
        <v/>
      </c>
      <c r="P105">
        <f>IF(L105="Sí",1/COUNTIF($I$2:$I$300,I105),0)</f>
        <v/>
      </c>
    </row>
    <row r="106">
      <c r="A106" s="2" t="n"/>
      <c r="B106" s="2" t="n"/>
      <c r="C106" s="2" t="n"/>
      <c r="D106" s="2" t="n"/>
      <c r="E106" s="2" t="n"/>
      <c r="F106" s="2" t="n"/>
      <c r="G106">
        <f>IF(A106="","",A106&amp;"|"&amp;B106&amp;"|"&amp;E106)</f>
        <v/>
      </c>
      <c r="H106">
        <f>IF(A106="","",A106&amp;"|"&amp;B106&amp;"|"&amp;F106)</f>
        <v/>
      </c>
      <c r="I106">
        <f>IF(A106="","",A106&amp;"|"&amp;B106&amp;"|"&amp;C106)</f>
        <v/>
      </c>
      <c r="J106">
        <f>IF(A106="","",IF(COUNTIF($G$2:$G$300,G106)&gt;1,"Sí",""))</f>
        <v/>
      </c>
      <c r="K106">
        <f>IF(A106="","",IF(COUNTIF($H$2:$H$300,H106)&gt;1,"Sí",""))</f>
        <v/>
      </c>
      <c r="L106">
        <f>IF(A106="","",IF(COUNTIF($I$2:$I$300,I106)&gt;1,"Sí",""))</f>
        <v/>
      </c>
      <c r="M106">
        <f>IF(A106="","",IF(OR(J106="Sí",K106="Sí",L106="Sí"),"Conflicto","OK"))</f>
        <v/>
      </c>
      <c r="N106">
        <f>IF(J106="Sí",1/COUNTIF($G$2:$G$300,G106),0)</f>
        <v/>
      </c>
      <c r="O106">
        <f>IF(K106="Sí",1/COUNTIF($H$2:$H$300,H106),0)</f>
        <v/>
      </c>
      <c r="P106">
        <f>IF(L106="Sí",1/COUNTIF($I$2:$I$300,I106),0)</f>
        <v/>
      </c>
    </row>
    <row r="107">
      <c r="A107" s="2" t="n"/>
      <c r="B107" s="2" t="n"/>
      <c r="C107" s="2" t="n"/>
      <c r="D107" s="2" t="n"/>
      <c r="E107" s="2" t="n"/>
      <c r="F107" s="2" t="n"/>
      <c r="G107">
        <f>IF(A107="","",A107&amp;"|"&amp;B107&amp;"|"&amp;E107)</f>
        <v/>
      </c>
      <c r="H107">
        <f>IF(A107="","",A107&amp;"|"&amp;B107&amp;"|"&amp;F107)</f>
        <v/>
      </c>
      <c r="I107">
        <f>IF(A107="","",A107&amp;"|"&amp;B107&amp;"|"&amp;C107)</f>
        <v/>
      </c>
      <c r="J107">
        <f>IF(A107="","",IF(COUNTIF($G$2:$G$300,G107)&gt;1,"Sí",""))</f>
        <v/>
      </c>
      <c r="K107">
        <f>IF(A107="","",IF(COUNTIF($H$2:$H$300,H107)&gt;1,"Sí",""))</f>
        <v/>
      </c>
      <c r="L107">
        <f>IF(A107="","",IF(COUNTIF($I$2:$I$300,I107)&gt;1,"Sí",""))</f>
        <v/>
      </c>
      <c r="M107">
        <f>IF(A107="","",IF(OR(J107="Sí",K107="Sí",L107="Sí"),"Conflicto","OK"))</f>
        <v/>
      </c>
      <c r="N107">
        <f>IF(J107="Sí",1/COUNTIF($G$2:$G$300,G107),0)</f>
        <v/>
      </c>
      <c r="O107">
        <f>IF(K107="Sí",1/COUNTIF($H$2:$H$300,H107),0)</f>
        <v/>
      </c>
      <c r="P107">
        <f>IF(L107="Sí",1/COUNTIF($I$2:$I$300,I107),0)</f>
        <v/>
      </c>
    </row>
    <row r="108">
      <c r="A108" s="2" t="n"/>
      <c r="B108" s="2" t="n"/>
      <c r="C108" s="2" t="n"/>
      <c r="D108" s="2" t="n"/>
      <c r="E108" s="2" t="n"/>
      <c r="F108" s="2" t="n"/>
      <c r="G108">
        <f>IF(A108="","",A108&amp;"|"&amp;B108&amp;"|"&amp;E108)</f>
        <v/>
      </c>
      <c r="H108">
        <f>IF(A108="","",A108&amp;"|"&amp;B108&amp;"|"&amp;F108)</f>
        <v/>
      </c>
      <c r="I108">
        <f>IF(A108="","",A108&amp;"|"&amp;B108&amp;"|"&amp;C108)</f>
        <v/>
      </c>
      <c r="J108">
        <f>IF(A108="","",IF(COUNTIF($G$2:$G$300,G108)&gt;1,"Sí",""))</f>
        <v/>
      </c>
      <c r="K108">
        <f>IF(A108="","",IF(COUNTIF($H$2:$H$300,H108)&gt;1,"Sí",""))</f>
        <v/>
      </c>
      <c r="L108">
        <f>IF(A108="","",IF(COUNTIF($I$2:$I$300,I108)&gt;1,"Sí",""))</f>
        <v/>
      </c>
      <c r="M108">
        <f>IF(A108="","",IF(OR(J108="Sí",K108="Sí",L108="Sí"),"Conflicto","OK"))</f>
        <v/>
      </c>
      <c r="N108">
        <f>IF(J108="Sí",1/COUNTIF($G$2:$G$300,G108),0)</f>
        <v/>
      </c>
      <c r="O108">
        <f>IF(K108="Sí",1/COUNTIF($H$2:$H$300,H108),0)</f>
        <v/>
      </c>
      <c r="P108">
        <f>IF(L108="Sí",1/COUNTIF($I$2:$I$300,I108),0)</f>
        <v/>
      </c>
    </row>
    <row r="109">
      <c r="A109" s="2" t="n"/>
      <c r="B109" s="2" t="n"/>
      <c r="C109" s="2" t="n"/>
      <c r="D109" s="2" t="n"/>
      <c r="E109" s="2" t="n"/>
      <c r="F109" s="2" t="n"/>
      <c r="G109">
        <f>IF(A109="","",A109&amp;"|"&amp;B109&amp;"|"&amp;E109)</f>
        <v/>
      </c>
      <c r="H109">
        <f>IF(A109="","",A109&amp;"|"&amp;B109&amp;"|"&amp;F109)</f>
        <v/>
      </c>
      <c r="I109">
        <f>IF(A109="","",A109&amp;"|"&amp;B109&amp;"|"&amp;C109)</f>
        <v/>
      </c>
      <c r="J109">
        <f>IF(A109="","",IF(COUNTIF($G$2:$G$300,G109)&gt;1,"Sí",""))</f>
        <v/>
      </c>
      <c r="K109">
        <f>IF(A109="","",IF(COUNTIF($H$2:$H$300,H109)&gt;1,"Sí",""))</f>
        <v/>
      </c>
      <c r="L109">
        <f>IF(A109="","",IF(COUNTIF($I$2:$I$300,I109)&gt;1,"Sí",""))</f>
        <v/>
      </c>
      <c r="M109">
        <f>IF(A109="","",IF(OR(J109="Sí",K109="Sí",L109="Sí"),"Conflicto","OK"))</f>
        <v/>
      </c>
      <c r="N109">
        <f>IF(J109="Sí",1/COUNTIF($G$2:$G$300,G109),0)</f>
        <v/>
      </c>
      <c r="O109">
        <f>IF(K109="Sí",1/COUNTIF($H$2:$H$300,H109),0)</f>
        <v/>
      </c>
      <c r="P109">
        <f>IF(L109="Sí",1/COUNTIF($I$2:$I$300,I109),0)</f>
        <v/>
      </c>
    </row>
    <row r="110">
      <c r="A110" s="2" t="n"/>
      <c r="B110" s="2" t="n"/>
      <c r="C110" s="2" t="n"/>
      <c r="D110" s="2" t="n"/>
      <c r="E110" s="2" t="n"/>
      <c r="F110" s="2" t="n"/>
      <c r="G110">
        <f>IF(A110="","",A110&amp;"|"&amp;B110&amp;"|"&amp;E110)</f>
        <v/>
      </c>
      <c r="H110">
        <f>IF(A110="","",A110&amp;"|"&amp;B110&amp;"|"&amp;F110)</f>
        <v/>
      </c>
      <c r="I110">
        <f>IF(A110="","",A110&amp;"|"&amp;B110&amp;"|"&amp;C110)</f>
        <v/>
      </c>
      <c r="J110">
        <f>IF(A110="","",IF(COUNTIF($G$2:$G$300,G110)&gt;1,"Sí",""))</f>
        <v/>
      </c>
      <c r="K110">
        <f>IF(A110="","",IF(COUNTIF($H$2:$H$300,H110)&gt;1,"Sí",""))</f>
        <v/>
      </c>
      <c r="L110">
        <f>IF(A110="","",IF(COUNTIF($I$2:$I$300,I110)&gt;1,"Sí",""))</f>
        <v/>
      </c>
      <c r="M110">
        <f>IF(A110="","",IF(OR(J110="Sí",K110="Sí",L110="Sí"),"Conflicto","OK"))</f>
        <v/>
      </c>
      <c r="N110">
        <f>IF(J110="Sí",1/COUNTIF($G$2:$G$300,G110),0)</f>
        <v/>
      </c>
      <c r="O110">
        <f>IF(K110="Sí",1/COUNTIF($H$2:$H$300,H110),0)</f>
        <v/>
      </c>
      <c r="P110">
        <f>IF(L110="Sí",1/COUNTIF($I$2:$I$300,I110),0)</f>
        <v/>
      </c>
    </row>
    <row r="111">
      <c r="A111" s="2" t="n"/>
      <c r="B111" s="2" t="n"/>
      <c r="C111" s="2" t="n"/>
      <c r="D111" s="2" t="n"/>
      <c r="E111" s="2" t="n"/>
      <c r="F111" s="2" t="n"/>
      <c r="G111">
        <f>IF(A111="","",A111&amp;"|"&amp;B111&amp;"|"&amp;E111)</f>
        <v/>
      </c>
      <c r="H111">
        <f>IF(A111="","",A111&amp;"|"&amp;B111&amp;"|"&amp;F111)</f>
        <v/>
      </c>
      <c r="I111">
        <f>IF(A111="","",A111&amp;"|"&amp;B111&amp;"|"&amp;C111)</f>
        <v/>
      </c>
      <c r="J111">
        <f>IF(A111="","",IF(COUNTIF($G$2:$G$300,G111)&gt;1,"Sí",""))</f>
        <v/>
      </c>
      <c r="K111">
        <f>IF(A111="","",IF(COUNTIF($H$2:$H$300,H111)&gt;1,"Sí",""))</f>
        <v/>
      </c>
      <c r="L111">
        <f>IF(A111="","",IF(COUNTIF($I$2:$I$300,I111)&gt;1,"Sí",""))</f>
        <v/>
      </c>
      <c r="M111">
        <f>IF(A111="","",IF(OR(J111="Sí",K111="Sí",L111="Sí"),"Conflicto","OK"))</f>
        <v/>
      </c>
      <c r="N111">
        <f>IF(J111="Sí",1/COUNTIF($G$2:$G$300,G111),0)</f>
        <v/>
      </c>
      <c r="O111">
        <f>IF(K111="Sí",1/COUNTIF($H$2:$H$300,H111),0)</f>
        <v/>
      </c>
      <c r="P111">
        <f>IF(L111="Sí",1/COUNTIF($I$2:$I$300,I111),0)</f>
        <v/>
      </c>
    </row>
    <row r="112">
      <c r="A112" s="2" t="n"/>
      <c r="B112" s="2" t="n"/>
      <c r="C112" s="2" t="n"/>
      <c r="D112" s="2" t="n"/>
      <c r="E112" s="2" t="n"/>
      <c r="F112" s="2" t="n"/>
      <c r="G112">
        <f>IF(A112="","",A112&amp;"|"&amp;B112&amp;"|"&amp;E112)</f>
        <v/>
      </c>
      <c r="H112">
        <f>IF(A112="","",A112&amp;"|"&amp;B112&amp;"|"&amp;F112)</f>
        <v/>
      </c>
      <c r="I112">
        <f>IF(A112="","",A112&amp;"|"&amp;B112&amp;"|"&amp;C112)</f>
        <v/>
      </c>
      <c r="J112">
        <f>IF(A112="","",IF(COUNTIF($G$2:$G$300,G112)&gt;1,"Sí",""))</f>
        <v/>
      </c>
      <c r="K112">
        <f>IF(A112="","",IF(COUNTIF($H$2:$H$300,H112)&gt;1,"Sí",""))</f>
        <v/>
      </c>
      <c r="L112">
        <f>IF(A112="","",IF(COUNTIF($I$2:$I$300,I112)&gt;1,"Sí",""))</f>
        <v/>
      </c>
      <c r="M112">
        <f>IF(A112="","",IF(OR(J112="Sí",K112="Sí",L112="Sí"),"Conflicto","OK"))</f>
        <v/>
      </c>
      <c r="N112">
        <f>IF(J112="Sí",1/COUNTIF($G$2:$G$300,G112),0)</f>
        <v/>
      </c>
      <c r="O112">
        <f>IF(K112="Sí",1/COUNTIF($H$2:$H$300,H112),0)</f>
        <v/>
      </c>
      <c r="P112">
        <f>IF(L112="Sí",1/COUNTIF($I$2:$I$300,I112),0)</f>
        <v/>
      </c>
    </row>
    <row r="113">
      <c r="A113" s="2" t="n"/>
      <c r="B113" s="2" t="n"/>
      <c r="C113" s="2" t="n"/>
      <c r="D113" s="2" t="n"/>
      <c r="E113" s="2" t="n"/>
      <c r="F113" s="2" t="n"/>
      <c r="G113">
        <f>IF(A113="","",A113&amp;"|"&amp;B113&amp;"|"&amp;E113)</f>
        <v/>
      </c>
      <c r="H113">
        <f>IF(A113="","",A113&amp;"|"&amp;B113&amp;"|"&amp;F113)</f>
        <v/>
      </c>
      <c r="I113">
        <f>IF(A113="","",A113&amp;"|"&amp;B113&amp;"|"&amp;C113)</f>
        <v/>
      </c>
      <c r="J113">
        <f>IF(A113="","",IF(COUNTIF($G$2:$G$300,G113)&gt;1,"Sí",""))</f>
        <v/>
      </c>
      <c r="K113">
        <f>IF(A113="","",IF(COUNTIF($H$2:$H$300,H113)&gt;1,"Sí",""))</f>
        <v/>
      </c>
      <c r="L113">
        <f>IF(A113="","",IF(COUNTIF($I$2:$I$300,I113)&gt;1,"Sí",""))</f>
        <v/>
      </c>
      <c r="M113">
        <f>IF(A113="","",IF(OR(J113="Sí",K113="Sí",L113="Sí"),"Conflicto","OK"))</f>
        <v/>
      </c>
      <c r="N113">
        <f>IF(J113="Sí",1/COUNTIF($G$2:$G$300,G113),0)</f>
        <v/>
      </c>
      <c r="O113">
        <f>IF(K113="Sí",1/COUNTIF($H$2:$H$300,H113),0)</f>
        <v/>
      </c>
      <c r="P113">
        <f>IF(L113="Sí",1/COUNTIF($I$2:$I$300,I113),0)</f>
        <v/>
      </c>
    </row>
    <row r="114">
      <c r="A114" s="2" t="n"/>
      <c r="B114" s="2" t="n"/>
      <c r="C114" s="2" t="n"/>
      <c r="D114" s="2" t="n"/>
      <c r="E114" s="2" t="n"/>
      <c r="F114" s="2" t="n"/>
      <c r="G114">
        <f>IF(A114="","",A114&amp;"|"&amp;B114&amp;"|"&amp;E114)</f>
        <v/>
      </c>
      <c r="H114">
        <f>IF(A114="","",A114&amp;"|"&amp;B114&amp;"|"&amp;F114)</f>
        <v/>
      </c>
      <c r="I114">
        <f>IF(A114="","",A114&amp;"|"&amp;B114&amp;"|"&amp;C114)</f>
        <v/>
      </c>
      <c r="J114">
        <f>IF(A114="","",IF(COUNTIF($G$2:$G$300,G114)&gt;1,"Sí",""))</f>
        <v/>
      </c>
      <c r="K114">
        <f>IF(A114="","",IF(COUNTIF($H$2:$H$300,H114)&gt;1,"Sí",""))</f>
        <v/>
      </c>
      <c r="L114">
        <f>IF(A114="","",IF(COUNTIF($I$2:$I$300,I114)&gt;1,"Sí",""))</f>
        <v/>
      </c>
      <c r="M114">
        <f>IF(A114="","",IF(OR(J114="Sí",K114="Sí",L114="Sí"),"Conflicto","OK"))</f>
        <v/>
      </c>
      <c r="N114">
        <f>IF(J114="Sí",1/COUNTIF($G$2:$G$300,G114),0)</f>
        <v/>
      </c>
      <c r="O114">
        <f>IF(K114="Sí",1/COUNTIF($H$2:$H$300,H114),0)</f>
        <v/>
      </c>
      <c r="P114">
        <f>IF(L114="Sí",1/COUNTIF($I$2:$I$300,I114),0)</f>
        <v/>
      </c>
    </row>
    <row r="115">
      <c r="A115" s="2" t="n"/>
      <c r="B115" s="2" t="n"/>
      <c r="C115" s="2" t="n"/>
      <c r="D115" s="2" t="n"/>
      <c r="E115" s="2" t="n"/>
      <c r="F115" s="2" t="n"/>
      <c r="G115">
        <f>IF(A115="","",A115&amp;"|"&amp;B115&amp;"|"&amp;E115)</f>
        <v/>
      </c>
      <c r="H115">
        <f>IF(A115="","",A115&amp;"|"&amp;B115&amp;"|"&amp;F115)</f>
        <v/>
      </c>
      <c r="I115">
        <f>IF(A115="","",A115&amp;"|"&amp;B115&amp;"|"&amp;C115)</f>
        <v/>
      </c>
      <c r="J115">
        <f>IF(A115="","",IF(COUNTIF($G$2:$G$300,G115)&gt;1,"Sí",""))</f>
        <v/>
      </c>
      <c r="K115">
        <f>IF(A115="","",IF(COUNTIF($H$2:$H$300,H115)&gt;1,"Sí",""))</f>
        <v/>
      </c>
      <c r="L115">
        <f>IF(A115="","",IF(COUNTIF($I$2:$I$300,I115)&gt;1,"Sí",""))</f>
        <v/>
      </c>
      <c r="M115">
        <f>IF(A115="","",IF(OR(J115="Sí",K115="Sí",L115="Sí"),"Conflicto","OK"))</f>
        <v/>
      </c>
      <c r="N115">
        <f>IF(J115="Sí",1/COUNTIF($G$2:$G$300,G115),0)</f>
        <v/>
      </c>
      <c r="O115">
        <f>IF(K115="Sí",1/COUNTIF($H$2:$H$300,H115),0)</f>
        <v/>
      </c>
      <c r="P115">
        <f>IF(L115="Sí",1/COUNTIF($I$2:$I$300,I115),0)</f>
        <v/>
      </c>
    </row>
    <row r="116">
      <c r="A116" s="2" t="n"/>
      <c r="B116" s="2" t="n"/>
      <c r="C116" s="2" t="n"/>
      <c r="D116" s="2" t="n"/>
      <c r="E116" s="2" t="n"/>
      <c r="F116" s="2" t="n"/>
      <c r="G116">
        <f>IF(A116="","",A116&amp;"|"&amp;B116&amp;"|"&amp;E116)</f>
        <v/>
      </c>
      <c r="H116">
        <f>IF(A116="","",A116&amp;"|"&amp;B116&amp;"|"&amp;F116)</f>
        <v/>
      </c>
      <c r="I116">
        <f>IF(A116="","",A116&amp;"|"&amp;B116&amp;"|"&amp;C116)</f>
        <v/>
      </c>
      <c r="J116">
        <f>IF(A116="","",IF(COUNTIF($G$2:$G$300,G116)&gt;1,"Sí",""))</f>
        <v/>
      </c>
      <c r="K116">
        <f>IF(A116="","",IF(COUNTIF($H$2:$H$300,H116)&gt;1,"Sí",""))</f>
        <v/>
      </c>
      <c r="L116">
        <f>IF(A116="","",IF(COUNTIF($I$2:$I$300,I116)&gt;1,"Sí",""))</f>
        <v/>
      </c>
      <c r="M116">
        <f>IF(A116="","",IF(OR(J116="Sí",K116="Sí",L116="Sí"),"Conflicto","OK"))</f>
        <v/>
      </c>
      <c r="N116">
        <f>IF(J116="Sí",1/COUNTIF($G$2:$G$300,G116),0)</f>
        <v/>
      </c>
      <c r="O116">
        <f>IF(K116="Sí",1/COUNTIF($H$2:$H$300,H116),0)</f>
        <v/>
      </c>
      <c r="P116">
        <f>IF(L116="Sí",1/COUNTIF($I$2:$I$300,I116),0)</f>
        <v/>
      </c>
    </row>
    <row r="117">
      <c r="A117" s="2" t="n"/>
      <c r="B117" s="2" t="n"/>
      <c r="C117" s="2" t="n"/>
      <c r="D117" s="2" t="n"/>
      <c r="E117" s="2" t="n"/>
      <c r="F117" s="2" t="n"/>
      <c r="G117">
        <f>IF(A117="","",A117&amp;"|"&amp;B117&amp;"|"&amp;E117)</f>
        <v/>
      </c>
      <c r="H117">
        <f>IF(A117="","",A117&amp;"|"&amp;B117&amp;"|"&amp;F117)</f>
        <v/>
      </c>
      <c r="I117">
        <f>IF(A117="","",A117&amp;"|"&amp;B117&amp;"|"&amp;C117)</f>
        <v/>
      </c>
      <c r="J117">
        <f>IF(A117="","",IF(COUNTIF($G$2:$G$300,G117)&gt;1,"Sí",""))</f>
        <v/>
      </c>
      <c r="K117">
        <f>IF(A117="","",IF(COUNTIF($H$2:$H$300,H117)&gt;1,"Sí",""))</f>
        <v/>
      </c>
      <c r="L117">
        <f>IF(A117="","",IF(COUNTIF($I$2:$I$300,I117)&gt;1,"Sí",""))</f>
        <v/>
      </c>
      <c r="M117">
        <f>IF(A117="","",IF(OR(J117="Sí",K117="Sí",L117="Sí"),"Conflicto","OK"))</f>
        <v/>
      </c>
      <c r="N117">
        <f>IF(J117="Sí",1/COUNTIF($G$2:$G$300,G117),0)</f>
        <v/>
      </c>
      <c r="O117">
        <f>IF(K117="Sí",1/COUNTIF($H$2:$H$300,H117),0)</f>
        <v/>
      </c>
      <c r="P117">
        <f>IF(L117="Sí",1/COUNTIF($I$2:$I$300,I117),0)</f>
        <v/>
      </c>
    </row>
    <row r="118">
      <c r="A118" s="2" t="n"/>
      <c r="B118" s="2" t="n"/>
      <c r="C118" s="2" t="n"/>
      <c r="D118" s="2" t="n"/>
      <c r="E118" s="2" t="n"/>
      <c r="F118" s="2" t="n"/>
      <c r="G118">
        <f>IF(A118="","",A118&amp;"|"&amp;B118&amp;"|"&amp;E118)</f>
        <v/>
      </c>
      <c r="H118">
        <f>IF(A118="","",A118&amp;"|"&amp;B118&amp;"|"&amp;F118)</f>
        <v/>
      </c>
      <c r="I118">
        <f>IF(A118="","",A118&amp;"|"&amp;B118&amp;"|"&amp;C118)</f>
        <v/>
      </c>
      <c r="J118">
        <f>IF(A118="","",IF(COUNTIF($G$2:$G$300,G118)&gt;1,"Sí",""))</f>
        <v/>
      </c>
      <c r="K118">
        <f>IF(A118="","",IF(COUNTIF($H$2:$H$300,H118)&gt;1,"Sí",""))</f>
        <v/>
      </c>
      <c r="L118">
        <f>IF(A118="","",IF(COUNTIF($I$2:$I$300,I118)&gt;1,"Sí",""))</f>
        <v/>
      </c>
      <c r="M118">
        <f>IF(A118="","",IF(OR(J118="Sí",K118="Sí",L118="Sí"),"Conflicto","OK"))</f>
        <v/>
      </c>
      <c r="N118">
        <f>IF(J118="Sí",1/COUNTIF($G$2:$G$300,G118),0)</f>
        <v/>
      </c>
      <c r="O118">
        <f>IF(K118="Sí",1/COUNTIF($H$2:$H$300,H118),0)</f>
        <v/>
      </c>
      <c r="P118">
        <f>IF(L118="Sí",1/COUNTIF($I$2:$I$300,I118),0)</f>
        <v/>
      </c>
    </row>
    <row r="119">
      <c r="A119" s="2" t="n"/>
      <c r="B119" s="2" t="n"/>
      <c r="C119" s="2" t="n"/>
      <c r="D119" s="2" t="n"/>
      <c r="E119" s="2" t="n"/>
      <c r="F119" s="2" t="n"/>
      <c r="G119">
        <f>IF(A119="","",A119&amp;"|"&amp;B119&amp;"|"&amp;E119)</f>
        <v/>
      </c>
      <c r="H119">
        <f>IF(A119="","",A119&amp;"|"&amp;B119&amp;"|"&amp;F119)</f>
        <v/>
      </c>
      <c r="I119">
        <f>IF(A119="","",A119&amp;"|"&amp;B119&amp;"|"&amp;C119)</f>
        <v/>
      </c>
      <c r="J119">
        <f>IF(A119="","",IF(COUNTIF($G$2:$G$300,G119)&gt;1,"Sí",""))</f>
        <v/>
      </c>
      <c r="K119">
        <f>IF(A119="","",IF(COUNTIF($H$2:$H$300,H119)&gt;1,"Sí",""))</f>
        <v/>
      </c>
      <c r="L119">
        <f>IF(A119="","",IF(COUNTIF($I$2:$I$300,I119)&gt;1,"Sí",""))</f>
        <v/>
      </c>
      <c r="M119">
        <f>IF(A119="","",IF(OR(J119="Sí",K119="Sí",L119="Sí"),"Conflicto","OK"))</f>
        <v/>
      </c>
      <c r="N119">
        <f>IF(J119="Sí",1/COUNTIF($G$2:$G$300,G119),0)</f>
        <v/>
      </c>
      <c r="O119">
        <f>IF(K119="Sí",1/COUNTIF($H$2:$H$300,H119),0)</f>
        <v/>
      </c>
      <c r="P119">
        <f>IF(L119="Sí",1/COUNTIF($I$2:$I$300,I119),0)</f>
        <v/>
      </c>
    </row>
    <row r="120">
      <c r="A120" s="2" t="n"/>
      <c r="B120" s="2" t="n"/>
      <c r="C120" s="2" t="n"/>
      <c r="D120" s="2" t="n"/>
      <c r="E120" s="2" t="n"/>
      <c r="F120" s="2" t="n"/>
      <c r="G120">
        <f>IF(A120="","",A120&amp;"|"&amp;B120&amp;"|"&amp;E120)</f>
        <v/>
      </c>
      <c r="H120">
        <f>IF(A120="","",A120&amp;"|"&amp;B120&amp;"|"&amp;F120)</f>
        <v/>
      </c>
      <c r="I120">
        <f>IF(A120="","",A120&amp;"|"&amp;B120&amp;"|"&amp;C120)</f>
        <v/>
      </c>
      <c r="J120">
        <f>IF(A120="","",IF(COUNTIF($G$2:$G$300,G120)&gt;1,"Sí",""))</f>
        <v/>
      </c>
      <c r="K120">
        <f>IF(A120="","",IF(COUNTIF($H$2:$H$300,H120)&gt;1,"Sí",""))</f>
        <v/>
      </c>
      <c r="L120">
        <f>IF(A120="","",IF(COUNTIF($I$2:$I$300,I120)&gt;1,"Sí",""))</f>
        <v/>
      </c>
      <c r="M120">
        <f>IF(A120="","",IF(OR(J120="Sí",K120="Sí",L120="Sí"),"Conflicto","OK"))</f>
        <v/>
      </c>
      <c r="N120">
        <f>IF(J120="Sí",1/COUNTIF($G$2:$G$300,G120),0)</f>
        <v/>
      </c>
      <c r="O120">
        <f>IF(K120="Sí",1/COUNTIF($H$2:$H$300,H120),0)</f>
        <v/>
      </c>
      <c r="P120">
        <f>IF(L120="Sí",1/COUNTIF($I$2:$I$300,I120),0)</f>
        <v/>
      </c>
    </row>
    <row r="121">
      <c r="A121" s="2" t="n"/>
      <c r="B121" s="2" t="n"/>
      <c r="C121" s="2" t="n"/>
      <c r="D121" s="2" t="n"/>
      <c r="E121" s="2" t="n"/>
      <c r="F121" s="2" t="n"/>
      <c r="G121">
        <f>IF(A121="","",A121&amp;"|"&amp;B121&amp;"|"&amp;E121)</f>
        <v/>
      </c>
      <c r="H121">
        <f>IF(A121="","",A121&amp;"|"&amp;B121&amp;"|"&amp;F121)</f>
        <v/>
      </c>
      <c r="I121">
        <f>IF(A121="","",A121&amp;"|"&amp;B121&amp;"|"&amp;C121)</f>
        <v/>
      </c>
      <c r="J121">
        <f>IF(A121="","",IF(COUNTIF($G$2:$G$300,G121)&gt;1,"Sí",""))</f>
        <v/>
      </c>
      <c r="K121">
        <f>IF(A121="","",IF(COUNTIF($H$2:$H$300,H121)&gt;1,"Sí",""))</f>
        <v/>
      </c>
      <c r="L121">
        <f>IF(A121="","",IF(COUNTIF($I$2:$I$300,I121)&gt;1,"Sí",""))</f>
        <v/>
      </c>
      <c r="M121">
        <f>IF(A121="","",IF(OR(J121="Sí",K121="Sí",L121="Sí"),"Conflicto","OK"))</f>
        <v/>
      </c>
      <c r="N121">
        <f>IF(J121="Sí",1/COUNTIF($G$2:$G$300,G121),0)</f>
        <v/>
      </c>
      <c r="O121">
        <f>IF(K121="Sí",1/COUNTIF($H$2:$H$300,H121),0)</f>
        <v/>
      </c>
      <c r="P121">
        <f>IF(L121="Sí",1/COUNTIF($I$2:$I$300,I121),0)</f>
        <v/>
      </c>
    </row>
    <row r="122">
      <c r="A122" s="2" t="n"/>
      <c r="B122" s="2" t="n"/>
      <c r="C122" s="2" t="n"/>
      <c r="D122" s="2" t="n"/>
      <c r="E122" s="2" t="n"/>
      <c r="F122" s="2" t="n"/>
      <c r="G122">
        <f>IF(A122="","",A122&amp;"|"&amp;B122&amp;"|"&amp;E122)</f>
        <v/>
      </c>
      <c r="H122">
        <f>IF(A122="","",A122&amp;"|"&amp;B122&amp;"|"&amp;F122)</f>
        <v/>
      </c>
      <c r="I122">
        <f>IF(A122="","",A122&amp;"|"&amp;B122&amp;"|"&amp;C122)</f>
        <v/>
      </c>
      <c r="J122">
        <f>IF(A122="","",IF(COUNTIF($G$2:$G$300,G122)&gt;1,"Sí",""))</f>
        <v/>
      </c>
      <c r="K122">
        <f>IF(A122="","",IF(COUNTIF($H$2:$H$300,H122)&gt;1,"Sí",""))</f>
        <v/>
      </c>
      <c r="L122">
        <f>IF(A122="","",IF(COUNTIF($I$2:$I$300,I122)&gt;1,"Sí",""))</f>
        <v/>
      </c>
      <c r="M122">
        <f>IF(A122="","",IF(OR(J122="Sí",K122="Sí",L122="Sí"),"Conflicto","OK"))</f>
        <v/>
      </c>
      <c r="N122">
        <f>IF(J122="Sí",1/COUNTIF($G$2:$G$300,G122),0)</f>
        <v/>
      </c>
      <c r="O122">
        <f>IF(K122="Sí",1/COUNTIF($H$2:$H$300,H122),0)</f>
        <v/>
      </c>
      <c r="P122">
        <f>IF(L122="Sí",1/COUNTIF($I$2:$I$300,I122),0)</f>
        <v/>
      </c>
    </row>
    <row r="123">
      <c r="A123" s="2" t="n"/>
      <c r="B123" s="2" t="n"/>
      <c r="C123" s="2" t="n"/>
      <c r="D123" s="2" t="n"/>
      <c r="E123" s="2" t="n"/>
      <c r="F123" s="2" t="n"/>
      <c r="G123">
        <f>IF(A123="","",A123&amp;"|"&amp;B123&amp;"|"&amp;E123)</f>
        <v/>
      </c>
      <c r="H123">
        <f>IF(A123="","",A123&amp;"|"&amp;B123&amp;"|"&amp;F123)</f>
        <v/>
      </c>
      <c r="I123">
        <f>IF(A123="","",A123&amp;"|"&amp;B123&amp;"|"&amp;C123)</f>
        <v/>
      </c>
      <c r="J123">
        <f>IF(A123="","",IF(COUNTIF($G$2:$G$300,G123)&gt;1,"Sí",""))</f>
        <v/>
      </c>
      <c r="K123">
        <f>IF(A123="","",IF(COUNTIF($H$2:$H$300,H123)&gt;1,"Sí",""))</f>
        <v/>
      </c>
      <c r="L123">
        <f>IF(A123="","",IF(COUNTIF($I$2:$I$300,I123)&gt;1,"Sí",""))</f>
        <v/>
      </c>
      <c r="M123">
        <f>IF(A123="","",IF(OR(J123="Sí",K123="Sí",L123="Sí"),"Conflicto","OK"))</f>
        <v/>
      </c>
      <c r="N123">
        <f>IF(J123="Sí",1/COUNTIF($G$2:$G$300,G123),0)</f>
        <v/>
      </c>
      <c r="O123">
        <f>IF(K123="Sí",1/COUNTIF($H$2:$H$300,H123),0)</f>
        <v/>
      </c>
      <c r="P123">
        <f>IF(L123="Sí",1/COUNTIF($I$2:$I$300,I123),0)</f>
        <v/>
      </c>
    </row>
    <row r="124">
      <c r="A124" s="2" t="n"/>
      <c r="B124" s="2" t="n"/>
      <c r="C124" s="2" t="n"/>
      <c r="D124" s="2" t="n"/>
      <c r="E124" s="2" t="n"/>
      <c r="F124" s="2" t="n"/>
      <c r="G124">
        <f>IF(A124="","",A124&amp;"|"&amp;B124&amp;"|"&amp;E124)</f>
        <v/>
      </c>
      <c r="H124">
        <f>IF(A124="","",A124&amp;"|"&amp;B124&amp;"|"&amp;F124)</f>
        <v/>
      </c>
      <c r="I124">
        <f>IF(A124="","",A124&amp;"|"&amp;B124&amp;"|"&amp;C124)</f>
        <v/>
      </c>
      <c r="J124">
        <f>IF(A124="","",IF(COUNTIF($G$2:$G$300,G124)&gt;1,"Sí",""))</f>
        <v/>
      </c>
      <c r="K124">
        <f>IF(A124="","",IF(COUNTIF($H$2:$H$300,H124)&gt;1,"Sí",""))</f>
        <v/>
      </c>
      <c r="L124">
        <f>IF(A124="","",IF(COUNTIF($I$2:$I$300,I124)&gt;1,"Sí",""))</f>
        <v/>
      </c>
      <c r="M124">
        <f>IF(A124="","",IF(OR(J124="Sí",K124="Sí",L124="Sí"),"Conflicto","OK"))</f>
        <v/>
      </c>
      <c r="N124">
        <f>IF(J124="Sí",1/COUNTIF($G$2:$G$300,G124),0)</f>
        <v/>
      </c>
      <c r="O124">
        <f>IF(K124="Sí",1/COUNTIF($H$2:$H$300,H124),0)</f>
        <v/>
      </c>
      <c r="P124">
        <f>IF(L124="Sí",1/COUNTIF($I$2:$I$300,I124),0)</f>
        <v/>
      </c>
    </row>
    <row r="125">
      <c r="A125" s="2" t="n"/>
      <c r="B125" s="2" t="n"/>
      <c r="C125" s="2" t="n"/>
      <c r="D125" s="2" t="n"/>
      <c r="E125" s="2" t="n"/>
      <c r="F125" s="2" t="n"/>
      <c r="G125">
        <f>IF(A125="","",A125&amp;"|"&amp;B125&amp;"|"&amp;E125)</f>
        <v/>
      </c>
      <c r="H125">
        <f>IF(A125="","",A125&amp;"|"&amp;B125&amp;"|"&amp;F125)</f>
        <v/>
      </c>
      <c r="I125">
        <f>IF(A125="","",A125&amp;"|"&amp;B125&amp;"|"&amp;C125)</f>
        <v/>
      </c>
      <c r="J125">
        <f>IF(A125="","",IF(COUNTIF($G$2:$G$300,G125)&gt;1,"Sí",""))</f>
        <v/>
      </c>
      <c r="K125">
        <f>IF(A125="","",IF(COUNTIF($H$2:$H$300,H125)&gt;1,"Sí",""))</f>
        <v/>
      </c>
      <c r="L125">
        <f>IF(A125="","",IF(COUNTIF($I$2:$I$300,I125)&gt;1,"Sí",""))</f>
        <v/>
      </c>
      <c r="M125">
        <f>IF(A125="","",IF(OR(J125="Sí",K125="Sí",L125="Sí"),"Conflicto","OK"))</f>
        <v/>
      </c>
      <c r="N125">
        <f>IF(J125="Sí",1/COUNTIF($G$2:$G$300,G125),0)</f>
        <v/>
      </c>
      <c r="O125">
        <f>IF(K125="Sí",1/COUNTIF($H$2:$H$300,H125),0)</f>
        <v/>
      </c>
      <c r="P125">
        <f>IF(L125="Sí",1/COUNTIF($I$2:$I$300,I125),0)</f>
        <v/>
      </c>
    </row>
    <row r="126">
      <c r="A126" s="2" t="n"/>
      <c r="B126" s="2" t="n"/>
      <c r="C126" s="2" t="n"/>
      <c r="D126" s="2" t="n"/>
      <c r="E126" s="2" t="n"/>
      <c r="F126" s="2" t="n"/>
      <c r="G126">
        <f>IF(A126="","",A126&amp;"|"&amp;B126&amp;"|"&amp;E126)</f>
        <v/>
      </c>
      <c r="H126">
        <f>IF(A126="","",A126&amp;"|"&amp;B126&amp;"|"&amp;F126)</f>
        <v/>
      </c>
      <c r="I126">
        <f>IF(A126="","",A126&amp;"|"&amp;B126&amp;"|"&amp;C126)</f>
        <v/>
      </c>
      <c r="J126">
        <f>IF(A126="","",IF(COUNTIF($G$2:$G$300,G126)&gt;1,"Sí",""))</f>
        <v/>
      </c>
      <c r="K126">
        <f>IF(A126="","",IF(COUNTIF($H$2:$H$300,H126)&gt;1,"Sí",""))</f>
        <v/>
      </c>
      <c r="L126">
        <f>IF(A126="","",IF(COUNTIF($I$2:$I$300,I126)&gt;1,"Sí",""))</f>
        <v/>
      </c>
      <c r="M126">
        <f>IF(A126="","",IF(OR(J126="Sí",K126="Sí",L126="Sí"),"Conflicto","OK"))</f>
        <v/>
      </c>
      <c r="N126">
        <f>IF(J126="Sí",1/COUNTIF($G$2:$G$300,G126),0)</f>
        <v/>
      </c>
      <c r="O126">
        <f>IF(K126="Sí",1/COUNTIF($H$2:$H$300,H126),0)</f>
        <v/>
      </c>
      <c r="P126">
        <f>IF(L126="Sí",1/COUNTIF($I$2:$I$300,I126),0)</f>
        <v/>
      </c>
    </row>
    <row r="127">
      <c r="A127" s="2" t="n"/>
      <c r="B127" s="2" t="n"/>
      <c r="C127" s="2" t="n"/>
      <c r="D127" s="2" t="n"/>
      <c r="E127" s="2" t="n"/>
      <c r="F127" s="2" t="n"/>
      <c r="G127">
        <f>IF(A127="","",A127&amp;"|"&amp;B127&amp;"|"&amp;E127)</f>
        <v/>
      </c>
      <c r="H127">
        <f>IF(A127="","",A127&amp;"|"&amp;B127&amp;"|"&amp;F127)</f>
        <v/>
      </c>
      <c r="I127">
        <f>IF(A127="","",A127&amp;"|"&amp;B127&amp;"|"&amp;C127)</f>
        <v/>
      </c>
      <c r="J127">
        <f>IF(A127="","",IF(COUNTIF($G$2:$G$300,G127)&gt;1,"Sí",""))</f>
        <v/>
      </c>
      <c r="K127">
        <f>IF(A127="","",IF(COUNTIF($H$2:$H$300,H127)&gt;1,"Sí",""))</f>
        <v/>
      </c>
      <c r="L127">
        <f>IF(A127="","",IF(COUNTIF($I$2:$I$300,I127)&gt;1,"Sí",""))</f>
        <v/>
      </c>
      <c r="M127">
        <f>IF(A127="","",IF(OR(J127="Sí",K127="Sí",L127="Sí"),"Conflicto","OK"))</f>
        <v/>
      </c>
      <c r="N127">
        <f>IF(J127="Sí",1/COUNTIF($G$2:$G$300,G127),0)</f>
        <v/>
      </c>
      <c r="O127">
        <f>IF(K127="Sí",1/COUNTIF($H$2:$H$300,H127),0)</f>
        <v/>
      </c>
      <c r="P127">
        <f>IF(L127="Sí",1/COUNTIF($I$2:$I$300,I127),0)</f>
        <v/>
      </c>
    </row>
    <row r="128">
      <c r="A128" s="2" t="n"/>
      <c r="B128" s="2" t="n"/>
      <c r="C128" s="2" t="n"/>
      <c r="D128" s="2" t="n"/>
      <c r="E128" s="2" t="n"/>
      <c r="F128" s="2" t="n"/>
      <c r="G128">
        <f>IF(A128="","",A128&amp;"|"&amp;B128&amp;"|"&amp;E128)</f>
        <v/>
      </c>
      <c r="H128">
        <f>IF(A128="","",A128&amp;"|"&amp;B128&amp;"|"&amp;F128)</f>
        <v/>
      </c>
      <c r="I128">
        <f>IF(A128="","",A128&amp;"|"&amp;B128&amp;"|"&amp;C128)</f>
        <v/>
      </c>
      <c r="J128">
        <f>IF(A128="","",IF(COUNTIF($G$2:$G$300,G128)&gt;1,"Sí",""))</f>
        <v/>
      </c>
      <c r="K128">
        <f>IF(A128="","",IF(COUNTIF($H$2:$H$300,H128)&gt;1,"Sí",""))</f>
        <v/>
      </c>
      <c r="L128">
        <f>IF(A128="","",IF(COUNTIF($I$2:$I$300,I128)&gt;1,"Sí",""))</f>
        <v/>
      </c>
      <c r="M128">
        <f>IF(A128="","",IF(OR(J128="Sí",K128="Sí",L128="Sí"),"Conflicto","OK"))</f>
        <v/>
      </c>
      <c r="N128">
        <f>IF(J128="Sí",1/COUNTIF($G$2:$G$300,G128),0)</f>
        <v/>
      </c>
      <c r="O128">
        <f>IF(K128="Sí",1/COUNTIF($H$2:$H$300,H128),0)</f>
        <v/>
      </c>
      <c r="P128">
        <f>IF(L128="Sí",1/COUNTIF($I$2:$I$300,I128),0)</f>
        <v/>
      </c>
    </row>
    <row r="129">
      <c r="A129" s="2" t="n"/>
      <c r="B129" s="2" t="n"/>
      <c r="C129" s="2" t="n"/>
      <c r="D129" s="2" t="n"/>
      <c r="E129" s="2" t="n"/>
      <c r="F129" s="2" t="n"/>
      <c r="G129">
        <f>IF(A129="","",A129&amp;"|"&amp;B129&amp;"|"&amp;E129)</f>
        <v/>
      </c>
      <c r="H129">
        <f>IF(A129="","",A129&amp;"|"&amp;B129&amp;"|"&amp;F129)</f>
        <v/>
      </c>
      <c r="I129">
        <f>IF(A129="","",A129&amp;"|"&amp;B129&amp;"|"&amp;C129)</f>
        <v/>
      </c>
      <c r="J129">
        <f>IF(A129="","",IF(COUNTIF($G$2:$G$300,G129)&gt;1,"Sí",""))</f>
        <v/>
      </c>
      <c r="K129">
        <f>IF(A129="","",IF(COUNTIF($H$2:$H$300,H129)&gt;1,"Sí",""))</f>
        <v/>
      </c>
      <c r="L129">
        <f>IF(A129="","",IF(COUNTIF($I$2:$I$300,I129)&gt;1,"Sí",""))</f>
        <v/>
      </c>
      <c r="M129">
        <f>IF(A129="","",IF(OR(J129="Sí",K129="Sí",L129="Sí"),"Conflicto","OK"))</f>
        <v/>
      </c>
      <c r="N129">
        <f>IF(J129="Sí",1/COUNTIF($G$2:$G$300,G129),0)</f>
        <v/>
      </c>
      <c r="O129">
        <f>IF(K129="Sí",1/COUNTIF($H$2:$H$300,H129),0)</f>
        <v/>
      </c>
      <c r="P129">
        <f>IF(L129="Sí",1/COUNTIF($I$2:$I$300,I129),0)</f>
        <v/>
      </c>
    </row>
    <row r="130">
      <c r="A130" s="2" t="n"/>
      <c r="B130" s="2" t="n"/>
      <c r="C130" s="2" t="n"/>
      <c r="D130" s="2" t="n"/>
      <c r="E130" s="2" t="n"/>
      <c r="F130" s="2" t="n"/>
      <c r="G130">
        <f>IF(A130="","",A130&amp;"|"&amp;B130&amp;"|"&amp;E130)</f>
        <v/>
      </c>
      <c r="H130">
        <f>IF(A130="","",A130&amp;"|"&amp;B130&amp;"|"&amp;F130)</f>
        <v/>
      </c>
      <c r="I130">
        <f>IF(A130="","",A130&amp;"|"&amp;B130&amp;"|"&amp;C130)</f>
        <v/>
      </c>
      <c r="J130">
        <f>IF(A130="","",IF(COUNTIF($G$2:$G$300,G130)&gt;1,"Sí",""))</f>
        <v/>
      </c>
      <c r="K130">
        <f>IF(A130="","",IF(COUNTIF($H$2:$H$300,H130)&gt;1,"Sí",""))</f>
        <v/>
      </c>
      <c r="L130">
        <f>IF(A130="","",IF(COUNTIF($I$2:$I$300,I130)&gt;1,"Sí",""))</f>
        <v/>
      </c>
      <c r="M130">
        <f>IF(A130="","",IF(OR(J130="Sí",K130="Sí",L130="Sí"),"Conflicto","OK"))</f>
        <v/>
      </c>
      <c r="N130">
        <f>IF(J130="Sí",1/COUNTIF($G$2:$G$300,G130),0)</f>
        <v/>
      </c>
      <c r="O130">
        <f>IF(K130="Sí",1/COUNTIF($H$2:$H$300,H130),0)</f>
        <v/>
      </c>
      <c r="P130">
        <f>IF(L130="Sí",1/COUNTIF($I$2:$I$300,I130),0)</f>
        <v/>
      </c>
    </row>
    <row r="131">
      <c r="A131" s="2" t="n"/>
      <c r="B131" s="2" t="n"/>
      <c r="C131" s="2" t="n"/>
      <c r="D131" s="2" t="n"/>
      <c r="E131" s="2" t="n"/>
      <c r="F131" s="2" t="n"/>
      <c r="G131">
        <f>IF(A131="","",A131&amp;"|"&amp;B131&amp;"|"&amp;E131)</f>
        <v/>
      </c>
      <c r="H131">
        <f>IF(A131="","",A131&amp;"|"&amp;B131&amp;"|"&amp;F131)</f>
        <v/>
      </c>
      <c r="I131">
        <f>IF(A131="","",A131&amp;"|"&amp;B131&amp;"|"&amp;C131)</f>
        <v/>
      </c>
      <c r="J131">
        <f>IF(A131="","",IF(COUNTIF($G$2:$G$300,G131)&gt;1,"Sí",""))</f>
        <v/>
      </c>
      <c r="K131">
        <f>IF(A131="","",IF(COUNTIF($H$2:$H$300,H131)&gt;1,"Sí",""))</f>
        <v/>
      </c>
      <c r="L131">
        <f>IF(A131="","",IF(COUNTIF($I$2:$I$300,I131)&gt;1,"Sí",""))</f>
        <v/>
      </c>
      <c r="M131">
        <f>IF(A131="","",IF(OR(J131="Sí",K131="Sí",L131="Sí"),"Conflicto","OK"))</f>
        <v/>
      </c>
      <c r="N131">
        <f>IF(J131="Sí",1/COUNTIF($G$2:$G$300,G131),0)</f>
        <v/>
      </c>
      <c r="O131">
        <f>IF(K131="Sí",1/COUNTIF($H$2:$H$300,H131),0)</f>
        <v/>
      </c>
      <c r="P131">
        <f>IF(L131="Sí",1/COUNTIF($I$2:$I$300,I131),0)</f>
        <v/>
      </c>
    </row>
    <row r="132">
      <c r="A132" s="2" t="n"/>
      <c r="B132" s="2" t="n"/>
      <c r="C132" s="2" t="n"/>
      <c r="D132" s="2" t="n"/>
      <c r="E132" s="2" t="n"/>
      <c r="F132" s="2" t="n"/>
      <c r="G132">
        <f>IF(A132="","",A132&amp;"|"&amp;B132&amp;"|"&amp;E132)</f>
        <v/>
      </c>
      <c r="H132">
        <f>IF(A132="","",A132&amp;"|"&amp;B132&amp;"|"&amp;F132)</f>
        <v/>
      </c>
      <c r="I132">
        <f>IF(A132="","",A132&amp;"|"&amp;B132&amp;"|"&amp;C132)</f>
        <v/>
      </c>
      <c r="J132">
        <f>IF(A132="","",IF(COUNTIF($G$2:$G$300,G132)&gt;1,"Sí",""))</f>
        <v/>
      </c>
      <c r="K132">
        <f>IF(A132="","",IF(COUNTIF($H$2:$H$300,H132)&gt;1,"Sí",""))</f>
        <v/>
      </c>
      <c r="L132">
        <f>IF(A132="","",IF(COUNTIF($I$2:$I$300,I132)&gt;1,"Sí",""))</f>
        <v/>
      </c>
      <c r="M132">
        <f>IF(A132="","",IF(OR(J132="Sí",K132="Sí",L132="Sí"),"Conflicto","OK"))</f>
        <v/>
      </c>
      <c r="N132">
        <f>IF(J132="Sí",1/COUNTIF($G$2:$G$300,G132),0)</f>
        <v/>
      </c>
      <c r="O132">
        <f>IF(K132="Sí",1/COUNTIF($H$2:$H$300,H132),0)</f>
        <v/>
      </c>
      <c r="P132">
        <f>IF(L132="Sí",1/COUNTIF($I$2:$I$300,I132),0)</f>
        <v/>
      </c>
    </row>
    <row r="133">
      <c r="A133" s="2" t="n"/>
      <c r="B133" s="2" t="n"/>
      <c r="C133" s="2" t="n"/>
      <c r="D133" s="2" t="n"/>
      <c r="E133" s="2" t="n"/>
      <c r="F133" s="2" t="n"/>
      <c r="G133">
        <f>IF(A133="","",A133&amp;"|"&amp;B133&amp;"|"&amp;E133)</f>
        <v/>
      </c>
      <c r="H133">
        <f>IF(A133="","",A133&amp;"|"&amp;B133&amp;"|"&amp;F133)</f>
        <v/>
      </c>
      <c r="I133">
        <f>IF(A133="","",A133&amp;"|"&amp;B133&amp;"|"&amp;C133)</f>
        <v/>
      </c>
      <c r="J133">
        <f>IF(A133="","",IF(COUNTIF($G$2:$G$300,G133)&gt;1,"Sí",""))</f>
        <v/>
      </c>
      <c r="K133">
        <f>IF(A133="","",IF(COUNTIF($H$2:$H$300,H133)&gt;1,"Sí",""))</f>
        <v/>
      </c>
      <c r="L133">
        <f>IF(A133="","",IF(COUNTIF($I$2:$I$300,I133)&gt;1,"Sí",""))</f>
        <v/>
      </c>
      <c r="M133">
        <f>IF(A133="","",IF(OR(J133="Sí",K133="Sí",L133="Sí"),"Conflicto","OK"))</f>
        <v/>
      </c>
      <c r="N133">
        <f>IF(J133="Sí",1/COUNTIF($G$2:$G$300,G133),0)</f>
        <v/>
      </c>
      <c r="O133">
        <f>IF(K133="Sí",1/COUNTIF($H$2:$H$300,H133),0)</f>
        <v/>
      </c>
      <c r="P133">
        <f>IF(L133="Sí",1/COUNTIF($I$2:$I$300,I133),0)</f>
        <v/>
      </c>
    </row>
    <row r="134">
      <c r="A134" s="2" t="n"/>
      <c r="B134" s="2" t="n"/>
      <c r="C134" s="2" t="n"/>
      <c r="D134" s="2" t="n"/>
      <c r="E134" s="2" t="n"/>
      <c r="F134" s="2" t="n"/>
      <c r="G134">
        <f>IF(A134="","",A134&amp;"|"&amp;B134&amp;"|"&amp;E134)</f>
        <v/>
      </c>
      <c r="H134">
        <f>IF(A134="","",A134&amp;"|"&amp;B134&amp;"|"&amp;F134)</f>
        <v/>
      </c>
      <c r="I134">
        <f>IF(A134="","",A134&amp;"|"&amp;B134&amp;"|"&amp;C134)</f>
        <v/>
      </c>
      <c r="J134">
        <f>IF(A134="","",IF(COUNTIF($G$2:$G$300,G134)&gt;1,"Sí",""))</f>
        <v/>
      </c>
      <c r="K134">
        <f>IF(A134="","",IF(COUNTIF($H$2:$H$300,H134)&gt;1,"Sí",""))</f>
        <v/>
      </c>
      <c r="L134">
        <f>IF(A134="","",IF(COUNTIF($I$2:$I$300,I134)&gt;1,"Sí",""))</f>
        <v/>
      </c>
      <c r="M134">
        <f>IF(A134="","",IF(OR(J134="Sí",K134="Sí",L134="Sí"),"Conflicto","OK"))</f>
        <v/>
      </c>
      <c r="N134">
        <f>IF(J134="Sí",1/COUNTIF($G$2:$G$300,G134),0)</f>
        <v/>
      </c>
      <c r="O134">
        <f>IF(K134="Sí",1/COUNTIF($H$2:$H$300,H134),0)</f>
        <v/>
      </c>
      <c r="P134">
        <f>IF(L134="Sí",1/COUNTIF($I$2:$I$300,I134),0)</f>
        <v/>
      </c>
    </row>
    <row r="135">
      <c r="A135" s="2" t="n"/>
      <c r="B135" s="2" t="n"/>
      <c r="C135" s="2" t="n"/>
      <c r="D135" s="2" t="n"/>
      <c r="E135" s="2" t="n"/>
      <c r="F135" s="2" t="n"/>
      <c r="G135">
        <f>IF(A135="","",A135&amp;"|"&amp;B135&amp;"|"&amp;E135)</f>
        <v/>
      </c>
      <c r="H135">
        <f>IF(A135="","",A135&amp;"|"&amp;B135&amp;"|"&amp;F135)</f>
        <v/>
      </c>
      <c r="I135">
        <f>IF(A135="","",A135&amp;"|"&amp;B135&amp;"|"&amp;C135)</f>
        <v/>
      </c>
      <c r="J135">
        <f>IF(A135="","",IF(COUNTIF($G$2:$G$300,G135)&gt;1,"Sí",""))</f>
        <v/>
      </c>
      <c r="K135">
        <f>IF(A135="","",IF(COUNTIF($H$2:$H$300,H135)&gt;1,"Sí",""))</f>
        <v/>
      </c>
      <c r="L135">
        <f>IF(A135="","",IF(COUNTIF($I$2:$I$300,I135)&gt;1,"Sí",""))</f>
        <v/>
      </c>
      <c r="M135">
        <f>IF(A135="","",IF(OR(J135="Sí",K135="Sí",L135="Sí"),"Conflicto","OK"))</f>
        <v/>
      </c>
      <c r="N135">
        <f>IF(J135="Sí",1/COUNTIF($G$2:$G$300,G135),0)</f>
        <v/>
      </c>
      <c r="O135">
        <f>IF(K135="Sí",1/COUNTIF($H$2:$H$300,H135),0)</f>
        <v/>
      </c>
      <c r="P135">
        <f>IF(L135="Sí",1/COUNTIF($I$2:$I$300,I135),0)</f>
        <v/>
      </c>
    </row>
    <row r="136">
      <c r="A136" s="2" t="n"/>
      <c r="B136" s="2" t="n"/>
      <c r="C136" s="2" t="n"/>
      <c r="D136" s="2" t="n"/>
      <c r="E136" s="2" t="n"/>
      <c r="F136" s="2" t="n"/>
      <c r="G136">
        <f>IF(A136="","",A136&amp;"|"&amp;B136&amp;"|"&amp;E136)</f>
        <v/>
      </c>
      <c r="H136">
        <f>IF(A136="","",A136&amp;"|"&amp;B136&amp;"|"&amp;F136)</f>
        <v/>
      </c>
      <c r="I136">
        <f>IF(A136="","",A136&amp;"|"&amp;B136&amp;"|"&amp;C136)</f>
        <v/>
      </c>
      <c r="J136">
        <f>IF(A136="","",IF(COUNTIF($G$2:$G$300,G136)&gt;1,"Sí",""))</f>
        <v/>
      </c>
      <c r="K136">
        <f>IF(A136="","",IF(COUNTIF($H$2:$H$300,H136)&gt;1,"Sí",""))</f>
        <v/>
      </c>
      <c r="L136">
        <f>IF(A136="","",IF(COUNTIF($I$2:$I$300,I136)&gt;1,"Sí",""))</f>
        <v/>
      </c>
      <c r="M136">
        <f>IF(A136="","",IF(OR(J136="Sí",K136="Sí",L136="Sí"),"Conflicto","OK"))</f>
        <v/>
      </c>
      <c r="N136">
        <f>IF(J136="Sí",1/COUNTIF($G$2:$G$300,G136),0)</f>
        <v/>
      </c>
      <c r="O136">
        <f>IF(K136="Sí",1/COUNTIF($H$2:$H$300,H136),0)</f>
        <v/>
      </c>
      <c r="P136">
        <f>IF(L136="Sí",1/COUNTIF($I$2:$I$300,I136),0)</f>
        <v/>
      </c>
    </row>
    <row r="137">
      <c r="A137" s="2" t="n"/>
      <c r="B137" s="2" t="n"/>
      <c r="C137" s="2" t="n"/>
      <c r="D137" s="2" t="n"/>
      <c r="E137" s="2" t="n"/>
      <c r="F137" s="2" t="n"/>
      <c r="G137">
        <f>IF(A137="","",A137&amp;"|"&amp;B137&amp;"|"&amp;E137)</f>
        <v/>
      </c>
      <c r="H137">
        <f>IF(A137="","",A137&amp;"|"&amp;B137&amp;"|"&amp;F137)</f>
        <v/>
      </c>
      <c r="I137">
        <f>IF(A137="","",A137&amp;"|"&amp;B137&amp;"|"&amp;C137)</f>
        <v/>
      </c>
      <c r="J137">
        <f>IF(A137="","",IF(COUNTIF($G$2:$G$300,G137)&gt;1,"Sí",""))</f>
        <v/>
      </c>
      <c r="K137">
        <f>IF(A137="","",IF(COUNTIF($H$2:$H$300,H137)&gt;1,"Sí",""))</f>
        <v/>
      </c>
      <c r="L137">
        <f>IF(A137="","",IF(COUNTIF($I$2:$I$300,I137)&gt;1,"Sí",""))</f>
        <v/>
      </c>
      <c r="M137">
        <f>IF(A137="","",IF(OR(J137="Sí",K137="Sí",L137="Sí"),"Conflicto","OK"))</f>
        <v/>
      </c>
      <c r="N137">
        <f>IF(J137="Sí",1/COUNTIF($G$2:$G$300,G137),0)</f>
        <v/>
      </c>
      <c r="O137">
        <f>IF(K137="Sí",1/COUNTIF($H$2:$H$300,H137),0)</f>
        <v/>
      </c>
      <c r="P137">
        <f>IF(L137="Sí",1/COUNTIF($I$2:$I$300,I137),0)</f>
        <v/>
      </c>
    </row>
    <row r="138">
      <c r="A138" s="2" t="n"/>
      <c r="B138" s="2" t="n"/>
      <c r="C138" s="2" t="n"/>
      <c r="D138" s="2" t="n"/>
      <c r="E138" s="2" t="n"/>
      <c r="F138" s="2" t="n"/>
      <c r="G138">
        <f>IF(A138="","",A138&amp;"|"&amp;B138&amp;"|"&amp;E138)</f>
        <v/>
      </c>
      <c r="H138">
        <f>IF(A138="","",A138&amp;"|"&amp;B138&amp;"|"&amp;F138)</f>
        <v/>
      </c>
      <c r="I138">
        <f>IF(A138="","",A138&amp;"|"&amp;B138&amp;"|"&amp;C138)</f>
        <v/>
      </c>
      <c r="J138">
        <f>IF(A138="","",IF(COUNTIF($G$2:$G$300,G138)&gt;1,"Sí",""))</f>
        <v/>
      </c>
      <c r="K138">
        <f>IF(A138="","",IF(COUNTIF($H$2:$H$300,H138)&gt;1,"Sí",""))</f>
        <v/>
      </c>
      <c r="L138">
        <f>IF(A138="","",IF(COUNTIF($I$2:$I$300,I138)&gt;1,"Sí",""))</f>
        <v/>
      </c>
      <c r="M138">
        <f>IF(A138="","",IF(OR(J138="Sí",K138="Sí",L138="Sí"),"Conflicto","OK"))</f>
        <v/>
      </c>
      <c r="N138">
        <f>IF(J138="Sí",1/COUNTIF($G$2:$G$300,G138),0)</f>
        <v/>
      </c>
      <c r="O138">
        <f>IF(K138="Sí",1/COUNTIF($H$2:$H$300,H138),0)</f>
        <v/>
      </c>
      <c r="P138">
        <f>IF(L138="Sí",1/COUNTIF($I$2:$I$300,I138),0)</f>
        <v/>
      </c>
    </row>
    <row r="139">
      <c r="A139" s="2" t="n"/>
      <c r="B139" s="2" t="n"/>
      <c r="C139" s="2" t="n"/>
      <c r="D139" s="2" t="n"/>
      <c r="E139" s="2" t="n"/>
      <c r="F139" s="2" t="n"/>
      <c r="G139">
        <f>IF(A139="","",A139&amp;"|"&amp;B139&amp;"|"&amp;E139)</f>
        <v/>
      </c>
      <c r="H139">
        <f>IF(A139="","",A139&amp;"|"&amp;B139&amp;"|"&amp;F139)</f>
        <v/>
      </c>
      <c r="I139">
        <f>IF(A139="","",A139&amp;"|"&amp;B139&amp;"|"&amp;C139)</f>
        <v/>
      </c>
      <c r="J139">
        <f>IF(A139="","",IF(COUNTIF($G$2:$G$300,G139)&gt;1,"Sí",""))</f>
        <v/>
      </c>
      <c r="K139">
        <f>IF(A139="","",IF(COUNTIF($H$2:$H$300,H139)&gt;1,"Sí",""))</f>
        <v/>
      </c>
      <c r="L139">
        <f>IF(A139="","",IF(COUNTIF($I$2:$I$300,I139)&gt;1,"Sí",""))</f>
        <v/>
      </c>
      <c r="M139">
        <f>IF(A139="","",IF(OR(J139="Sí",K139="Sí",L139="Sí"),"Conflicto","OK"))</f>
        <v/>
      </c>
      <c r="N139">
        <f>IF(J139="Sí",1/COUNTIF($G$2:$G$300,G139),0)</f>
        <v/>
      </c>
      <c r="O139">
        <f>IF(K139="Sí",1/COUNTIF($H$2:$H$300,H139),0)</f>
        <v/>
      </c>
      <c r="P139">
        <f>IF(L139="Sí",1/COUNTIF($I$2:$I$300,I139),0)</f>
        <v/>
      </c>
    </row>
    <row r="140">
      <c r="A140" s="2" t="n"/>
      <c r="B140" s="2" t="n"/>
      <c r="C140" s="2" t="n"/>
      <c r="D140" s="2" t="n"/>
      <c r="E140" s="2" t="n"/>
      <c r="F140" s="2" t="n"/>
      <c r="G140">
        <f>IF(A140="","",A140&amp;"|"&amp;B140&amp;"|"&amp;E140)</f>
        <v/>
      </c>
      <c r="H140">
        <f>IF(A140="","",A140&amp;"|"&amp;B140&amp;"|"&amp;F140)</f>
        <v/>
      </c>
      <c r="I140">
        <f>IF(A140="","",A140&amp;"|"&amp;B140&amp;"|"&amp;C140)</f>
        <v/>
      </c>
      <c r="J140">
        <f>IF(A140="","",IF(COUNTIF($G$2:$G$300,G140)&gt;1,"Sí",""))</f>
        <v/>
      </c>
      <c r="K140">
        <f>IF(A140="","",IF(COUNTIF($H$2:$H$300,H140)&gt;1,"Sí",""))</f>
        <v/>
      </c>
      <c r="L140">
        <f>IF(A140="","",IF(COUNTIF($I$2:$I$300,I140)&gt;1,"Sí",""))</f>
        <v/>
      </c>
      <c r="M140">
        <f>IF(A140="","",IF(OR(J140="Sí",K140="Sí",L140="Sí"),"Conflicto","OK"))</f>
        <v/>
      </c>
      <c r="N140">
        <f>IF(J140="Sí",1/COUNTIF($G$2:$G$300,G140),0)</f>
        <v/>
      </c>
      <c r="O140">
        <f>IF(K140="Sí",1/COUNTIF($H$2:$H$300,H140),0)</f>
        <v/>
      </c>
      <c r="P140">
        <f>IF(L140="Sí",1/COUNTIF($I$2:$I$300,I140),0)</f>
        <v/>
      </c>
    </row>
    <row r="141">
      <c r="A141" s="2" t="n"/>
      <c r="B141" s="2" t="n"/>
      <c r="C141" s="2" t="n"/>
      <c r="D141" s="2" t="n"/>
      <c r="E141" s="2" t="n"/>
      <c r="F141" s="2" t="n"/>
      <c r="G141">
        <f>IF(A141="","",A141&amp;"|"&amp;B141&amp;"|"&amp;E141)</f>
        <v/>
      </c>
      <c r="H141">
        <f>IF(A141="","",A141&amp;"|"&amp;B141&amp;"|"&amp;F141)</f>
        <v/>
      </c>
      <c r="I141">
        <f>IF(A141="","",A141&amp;"|"&amp;B141&amp;"|"&amp;C141)</f>
        <v/>
      </c>
      <c r="J141">
        <f>IF(A141="","",IF(COUNTIF($G$2:$G$300,G141)&gt;1,"Sí",""))</f>
        <v/>
      </c>
      <c r="K141">
        <f>IF(A141="","",IF(COUNTIF($H$2:$H$300,H141)&gt;1,"Sí",""))</f>
        <v/>
      </c>
      <c r="L141">
        <f>IF(A141="","",IF(COUNTIF($I$2:$I$300,I141)&gt;1,"Sí",""))</f>
        <v/>
      </c>
      <c r="M141">
        <f>IF(A141="","",IF(OR(J141="Sí",K141="Sí",L141="Sí"),"Conflicto","OK"))</f>
        <v/>
      </c>
      <c r="N141">
        <f>IF(J141="Sí",1/COUNTIF($G$2:$G$300,G141),0)</f>
        <v/>
      </c>
      <c r="O141">
        <f>IF(K141="Sí",1/COUNTIF($H$2:$H$300,H141),0)</f>
        <v/>
      </c>
      <c r="P141">
        <f>IF(L141="Sí",1/COUNTIF($I$2:$I$300,I141),0)</f>
        <v/>
      </c>
    </row>
    <row r="142">
      <c r="A142" s="2" t="n"/>
      <c r="B142" s="2" t="n"/>
      <c r="C142" s="2" t="n"/>
      <c r="D142" s="2" t="n"/>
      <c r="E142" s="2" t="n"/>
      <c r="F142" s="2" t="n"/>
      <c r="G142">
        <f>IF(A142="","",A142&amp;"|"&amp;B142&amp;"|"&amp;E142)</f>
        <v/>
      </c>
      <c r="H142">
        <f>IF(A142="","",A142&amp;"|"&amp;B142&amp;"|"&amp;F142)</f>
        <v/>
      </c>
      <c r="I142">
        <f>IF(A142="","",A142&amp;"|"&amp;B142&amp;"|"&amp;C142)</f>
        <v/>
      </c>
      <c r="J142">
        <f>IF(A142="","",IF(COUNTIF($G$2:$G$300,G142)&gt;1,"Sí",""))</f>
        <v/>
      </c>
      <c r="K142">
        <f>IF(A142="","",IF(COUNTIF($H$2:$H$300,H142)&gt;1,"Sí",""))</f>
        <v/>
      </c>
      <c r="L142">
        <f>IF(A142="","",IF(COUNTIF($I$2:$I$300,I142)&gt;1,"Sí",""))</f>
        <v/>
      </c>
      <c r="M142">
        <f>IF(A142="","",IF(OR(J142="Sí",K142="Sí",L142="Sí"),"Conflicto","OK"))</f>
        <v/>
      </c>
      <c r="N142">
        <f>IF(J142="Sí",1/COUNTIF($G$2:$G$300,G142),0)</f>
        <v/>
      </c>
      <c r="O142">
        <f>IF(K142="Sí",1/COUNTIF($H$2:$H$300,H142),0)</f>
        <v/>
      </c>
      <c r="P142">
        <f>IF(L142="Sí",1/COUNTIF($I$2:$I$300,I142),0)</f>
        <v/>
      </c>
    </row>
    <row r="143">
      <c r="A143" s="2" t="n"/>
      <c r="B143" s="2" t="n"/>
      <c r="C143" s="2" t="n"/>
      <c r="D143" s="2" t="n"/>
      <c r="E143" s="2" t="n"/>
      <c r="F143" s="2" t="n"/>
      <c r="G143">
        <f>IF(A143="","",A143&amp;"|"&amp;B143&amp;"|"&amp;E143)</f>
        <v/>
      </c>
      <c r="H143">
        <f>IF(A143="","",A143&amp;"|"&amp;B143&amp;"|"&amp;F143)</f>
        <v/>
      </c>
      <c r="I143">
        <f>IF(A143="","",A143&amp;"|"&amp;B143&amp;"|"&amp;C143)</f>
        <v/>
      </c>
      <c r="J143">
        <f>IF(A143="","",IF(COUNTIF($G$2:$G$300,G143)&gt;1,"Sí",""))</f>
        <v/>
      </c>
      <c r="K143">
        <f>IF(A143="","",IF(COUNTIF($H$2:$H$300,H143)&gt;1,"Sí",""))</f>
        <v/>
      </c>
      <c r="L143">
        <f>IF(A143="","",IF(COUNTIF($I$2:$I$300,I143)&gt;1,"Sí",""))</f>
        <v/>
      </c>
      <c r="M143">
        <f>IF(A143="","",IF(OR(J143="Sí",K143="Sí",L143="Sí"),"Conflicto","OK"))</f>
        <v/>
      </c>
      <c r="N143">
        <f>IF(J143="Sí",1/COUNTIF($G$2:$G$300,G143),0)</f>
        <v/>
      </c>
      <c r="O143">
        <f>IF(K143="Sí",1/COUNTIF($H$2:$H$300,H143),0)</f>
        <v/>
      </c>
      <c r="P143">
        <f>IF(L143="Sí",1/COUNTIF($I$2:$I$300,I143),0)</f>
        <v/>
      </c>
    </row>
    <row r="144">
      <c r="A144" s="2" t="n"/>
      <c r="B144" s="2" t="n"/>
      <c r="C144" s="2" t="n"/>
      <c r="D144" s="2" t="n"/>
      <c r="E144" s="2" t="n"/>
      <c r="F144" s="2" t="n"/>
      <c r="G144">
        <f>IF(A144="","",A144&amp;"|"&amp;B144&amp;"|"&amp;E144)</f>
        <v/>
      </c>
      <c r="H144">
        <f>IF(A144="","",A144&amp;"|"&amp;B144&amp;"|"&amp;F144)</f>
        <v/>
      </c>
      <c r="I144">
        <f>IF(A144="","",A144&amp;"|"&amp;B144&amp;"|"&amp;C144)</f>
        <v/>
      </c>
      <c r="J144">
        <f>IF(A144="","",IF(COUNTIF($G$2:$G$300,G144)&gt;1,"Sí",""))</f>
        <v/>
      </c>
      <c r="K144">
        <f>IF(A144="","",IF(COUNTIF($H$2:$H$300,H144)&gt;1,"Sí",""))</f>
        <v/>
      </c>
      <c r="L144">
        <f>IF(A144="","",IF(COUNTIF($I$2:$I$300,I144)&gt;1,"Sí",""))</f>
        <v/>
      </c>
      <c r="M144">
        <f>IF(A144="","",IF(OR(J144="Sí",K144="Sí",L144="Sí"),"Conflicto","OK"))</f>
        <v/>
      </c>
      <c r="N144">
        <f>IF(J144="Sí",1/COUNTIF($G$2:$G$300,G144),0)</f>
        <v/>
      </c>
      <c r="O144">
        <f>IF(K144="Sí",1/COUNTIF($H$2:$H$300,H144),0)</f>
        <v/>
      </c>
      <c r="P144">
        <f>IF(L144="Sí",1/COUNTIF($I$2:$I$300,I144),0)</f>
        <v/>
      </c>
    </row>
    <row r="145">
      <c r="A145" s="2" t="n"/>
      <c r="B145" s="2" t="n"/>
      <c r="C145" s="2" t="n"/>
      <c r="D145" s="2" t="n"/>
      <c r="E145" s="2" t="n"/>
      <c r="F145" s="2" t="n"/>
      <c r="G145">
        <f>IF(A145="","",A145&amp;"|"&amp;B145&amp;"|"&amp;E145)</f>
        <v/>
      </c>
      <c r="H145">
        <f>IF(A145="","",A145&amp;"|"&amp;B145&amp;"|"&amp;F145)</f>
        <v/>
      </c>
      <c r="I145">
        <f>IF(A145="","",A145&amp;"|"&amp;B145&amp;"|"&amp;C145)</f>
        <v/>
      </c>
      <c r="J145">
        <f>IF(A145="","",IF(COUNTIF($G$2:$G$300,G145)&gt;1,"Sí",""))</f>
        <v/>
      </c>
      <c r="K145">
        <f>IF(A145="","",IF(COUNTIF($H$2:$H$300,H145)&gt;1,"Sí",""))</f>
        <v/>
      </c>
      <c r="L145">
        <f>IF(A145="","",IF(COUNTIF($I$2:$I$300,I145)&gt;1,"Sí",""))</f>
        <v/>
      </c>
      <c r="M145">
        <f>IF(A145="","",IF(OR(J145="Sí",K145="Sí",L145="Sí"),"Conflicto","OK"))</f>
        <v/>
      </c>
      <c r="N145">
        <f>IF(J145="Sí",1/COUNTIF($G$2:$G$300,G145),0)</f>
        <v/>
      </c>
      <c r="O145">
        <f>IF(K145="Sí",1/COUNTIF($H$2:$H$300,H145),0)</f>
        <v/>
      </c>
      <c r="P145">
        <f>IF(L145="Sí",1/COUNTIF($I$2:$I$300,I145),0)</f>
        <v/>
      </c>
    </row>
    <row r="146">
      <c r="A146" s="2" t="n"/>
      <c r="B146" s="2" t="n"/>
      <c r="C146" s="2" t="n"/>
      <c r="D146" s="2" t="n"/>
      <c r="E146" s="2" t="n"/>
      <c r="F146" s="2" t="n"/>
      <c r="G146">
        <f>IF(A146="","",A146&amp;"|"&amp;B146&amp;"|"&amp;E146)</f>
        <v/>
      </c>
      <c r="H146">
        <f>IF(A146="","",A146&amp;"|"&amp;B146&amp;"|"&amp;F146)</f>
        <v/>
      </c>
      <c r="I146">
        <f>IF(A146="","",A146&amp;"|"&amp;B146&amp;"|"&amp;C146)</f>
        <v/>
      </c>
      <c r="J146">
        <f>IF(A146="","",IF(COUNTIF($G$2:$G$300,G146)&gt;1,"Sí",""))</f>
        <v/>
      </c>
      <c r="K146">
        <f>IF(A146="","",IF(COUNTIF($H$2:$H$300,H146)&gt;1,"Sí",""))</f>
        <v/>
      </c>
      <c r="L146">
        <f>IF(A146="","",IF(COUNTIF($I$2:$I$300,I146)&gt;1,"Sí",""))</f>
        <v/>
      </c>
      <c r="M146">
        <f>IF(A146="","",IF(OR(J146="Sí",K146="Sí",L146="Sí"),"Conflicto","OK"))</f>
        <v/>
      </c>
      <c r="N146">
        <f>IF(J146="Sí",1/COUNTIF($G$2:$G$300,G146),0)</f>
        <v/>
      </c>
      <c r="O146">
        <f>IF(K146="Sí",1/COUNTIF($H$2:$H$300,H146),0)</f>
        <v/>
      </c>
      <c r="P146">
        <f>IF(L146="Sí",1/COUNTIF($I$2:$I$300,I146),0)</f>
        <v/>
      </c>
    </row>
    <row r="147">
      <c r="A147" s="2" t="n"/>
      <c r="B147" s="2" t="n"/>
      <c r="C147" s="2" t="n"/>
      <c r="D147" s="2" t="n"/>
      <c r="E147" s="2" t="n"/>
      <c r="F147" s="2" t="n"/>
      <c r="G147">
        <f>IF(A147="","",A147&amp;"|"&amp;B147&amp;"|"&amp;E147)</f>
        <v/>
      </c>
      <c r="H147">
        <f>IF(A147="","",A147&amp;"|"&amp;B147&amp;"|"&amp;F147)</f>
        <v/>
      </c>
      <c r="I147">
        <f>IF(A147="","",A147&amp;"|"&amp;B147&amp;"|"&amp;C147)</f>
        <v/>
      </c>
      <c r="J147">
        <f>IF(A147="","",IF(COUNTIF($G$2:$G$300,G147)&gt;1,"Sí",""))</f>
        <v/>
      </c>
      <c r="K147">
        <f>IF(A147="","",IF(COUNTIF($H$2:$H$300,H147)&gt;1,"Sí",""))</f>
        <v/>
      </c>
      <c r="L147">
        <f>IF(A147="","",IF(COUNTIF($I$2:$I$300,I147)&gt;1,"Sí",""))</f>
        <v/>
      </c>
      <c r="M147">
        <f>IF(A147="","",IF(OR(J147="Sí",K147="Sí",L147="Sí"),"Conflicto","OK"))</f>
        <v/>
      </c>
      <c r="N147">
        <f>IF(J147="Sí",1/COUNTIF($G$2:$G$300,G147),0)</f>
        <v/>
      </c>
      <c r="O147">
        <f>IF(K147="Sí",1/COUNTIF($H$2:$H$300,H147),0)</f>
        <v/>
      </c>
      <c r="P147">
        <f>IF(L147="Sí",1/COUNTIF($I$2:$I$300,I147),0)</f>
        <v/>
      </c>
    </row>
    <row r="148">
      <c r="A148" s="2" t="n"/>
      <c r="B148" s="2" t="n"/>
      <c r="C148" s="2" t="n"/>
      <c r="D148" s="2" t="n"/>
      <c r="E148" s="2" t="n"/>
      <c r="F148" s="2" t="n"/>
      <c r="G148">
        <f>IF(A148="","",A148&amp;"|"&amp;B148&amp;"|"&amp;E148)</f>
        <v/>
      </c>
      <c r="H148">
        <f>IF(A148="","",A148&amp;"|"&amp;B148&amp;"|"&amp;F148)</f>
        <v/>
      </c>
      <c r="I148">
        <f>IF(A148="","",A148&amp;"|"&amp;B148&amp;"|"&amp;C148)</f>
        <v/>
      </c>
      <c r="J148">
        <f>IF(A148="","",IF(COUNTIF($G$2:$G$300,G148)&gt;1,"Sí",""))</f>
        <v/>
      </c>
      <c r="K148">
        <f>IF(A148="","",IF(COUNTIF($H$2:$H$300,H148)&gt;1,"Sí",""))</f>
        <v/>
      </c>
      <c r="L148">
        <f>IF(A148="","",IF(COUNTIF($I$2:$I$300,I148)&gt;1,"Sí",""))</f>
        <v/>
      </c>
      <c r="M148">
        <f>IF(A148="","",IF(OR(J148="Sí",K148="Sí",L148="Sí"),"Conflicto","OK"))</f>
        <v/>
      </c>
      <c r="N148">
        <f>IF(J148="Sí",1/COUNTIF($G$2:$G$300,G148),0)</f>
        <v/>
      </c>
      <c r="O148">
        <f>IF(K148="Sí",1/COUNTIF($H$2:$H$300,H148),0)</f>
        <v/>
      </c>
      <c r="P148">
        <f>IF(L148="Sí",1/COUNTIF($I$2:$I$300,I148),0)</f>
        <v/>
      </c>
    </row>
    <row r="149">
      <c r="A149" s="2" t="n"/>
      <c r="B149" s="2" t="n"/>
      <c r="C149" s="2" t="n"/>
      <c r="D149" s="2" t="n"/>
      <c r="E149" s="2" t="n"/>
      <c r="F149" s="2" t="n"/>
      <c r="G149">
        <f>IF(A149="","",A149&amp;"|"&amp;B149&amp;"|"&amp;E149)</f>
        <v/>
      </c>
      <c r="H149">
        <f>IF(A149="","",A149&amp;"|"&amp;B149&amp;"|"&amp;F149)</f>
        <v/>
      </c>
      <c r="I149">
        <f>IF(A149="","",A149&amp;"|"&amp;B149&amp;"|"&amp;C149)</f>
        <v/>
      </c>
      <c r="J149">
        <f>IF(A149="","",IF(COUNTIF($G$2:$G$300,G149)&gt;1,"Sí",""))</f>
        <v/>
      </c>
      <c r="K149">
        <f>IF(A149="","",IF(COUNTIF($H$2:$H$300,H149)&gt;1,"Sí",""))</f>
        <v/>
      </c>
      <c r="L149">
        <f>IF(A149="","",IF(COUNTIF($I$2:$I$300,I149)&gt;1,"Sí",""))</f>
        <v/>
      </c>
      <c r="M149">
        <f>IF(A149="","",IF(OR(J149="Sí",K149="Sí",L149="Sí"),"Conflicto","OK"))</f>
        <v/>
      </c>
      <c r="N149">
        <f>IF(J149="Sí",1/COUNTIF($G$2:$G$300,G149),0)</f>
        <v/>
      </c>
      <c r="O149">
        <f>IF(K149="Sí",1/COUNTIF($H$2:$H$300,H149),0)</f>
        <v/>
      </c>
      <c r="P149">
        <f>IF(L149="Sí",1/COUNTIF($I$2:$I$300,I149),0)</f>
        <v/>
      </c>
    </row>
    <row r="150">
      <c r="A150" s="2" t="n"/>
      <c r="B150" s="2" t="n"/>
      <c r="C150" s="2" t="n"/>
      <c r="D150" s="2" t="n"/>
      <c r="E150" s="2" t="n"/>
      <c r="F150" s="2" t="n"/>
      <c r="G150">
        <f>IF(A150="","",A150&amp;"|"&amp;B150&amp;"|"&amp;E150)</f>
        <v/>
      </c>
      <c r="H150">
        <f>IF(A150="","",A150&amp;"|"&amp;B150&amp;"|"&amp;F150)</f>
        <v/>
      </c>
      <c r="I150">
        <f>IF(A150="","",A150&amp;"|"&amp;B150&amp;"|"&amp;C150)</f>
        <v/>
      </c>
      <c r="J150">
        <f>IF(A150="","",IF(COUNTIF($G$2:$G$300,G150)&gt;1,"Sí",""))</f>
        <v/>
      </c>
      <c r="K150">
        <f>IF(A150="","",IF(COUNTIF($H$2:$H$300,H150)&gt;1,"Sí",""))</f>
        <v/>
      </c>
      <c r="L150">
        <f>IF(A150="","",IF(COUNTIF($I$2:$I$300,I150)&gt;1,"Sí",""))</f>
        <v/>
      </c>
      <c r="M150">
        <f>IF(A150="","",IF(OR(J150="Sí",K150="Sí",L150="Sí"),"Conflicto","OK"))</f>
        <v/>
      </c>
      <c r="N150">
        <f>IF(J150="Sí",1/COUNTIF($G$2:$G$300,G150),0)</f>
        <v/>
      </c>
      <c r="O150">
        <f>IF(K150="Sí",1/COUNTIF($H$2:$H$300,H150),0)</f>
        <v/>
      </c>
      <c r="P150">
        <f>IF(L150="Sí",1/COUNTIF($I$2:$I$300,I150),0)</f>
        <v/>
      </c>
    </row>
    <row r="151">
      <c r="A151" s="2" t="n"/>
      <c r="B151" s="2" t="n"/>
      <c r="C151" s="2" t="n"/>
      <c r="D151" s="2" t="n"/>
      <c r="E151" s="2" t="n"/>
      <c r="F151" s="2" t="n"/>
      <c r="G151">
        <f>IF(A151="","",A151&amp;"|"&amp;B151&amp;"|"&amp;E151)</f>
        <v/>
      </c>
      <c r="H151">
        <f>IF(A151="","",A151&amp;"|"&amp;B151&amp;"|"&amp;F151)</f>
        <v/>
      </c>
      <c r="I151">
        <f>IF(A151="","",A151&amp;"|"&amp;B151&amp;"|"&amp;C151)</f>
        <v/>
      </c>
      <c r="J151">
        <f>IF(A151="","",IF(COUNTIF($G$2:$G$300,G151)&gt;1,"Sí",""))</f>
        <v/>
      </c>
      <c r="K151">
        <f>IF(A151="","",IF(COUNTIF($H$2:$H$300,H151)&gt;1,"Sí",""))</f>
        <v/>
      </c>
      <c r="L151">
        <f>IF(A151="","",IF(COUNTIF($I$2:$I$300,I151)&gt;1,"Sí",""))</f>
        <v/>
      </c>
      <c r="M151">
        <f>IF(A151="","",IF(OR(J151="Sí",K151="Sí",L151="Sí"),"Conflicto","OK"))</f>
        <v/>
      </c>
      <c r="N151">
        <f>IF(J151="Sí",1/COUNTIF($G$2:$G$300,G151),0)</f>
        <v/>
      </c>
      <c r="O151">
        <f>IF(K151="Sí",1/COUNTIF($H$2:$H$300,H151),0)</f>
        <v/>
      </c>
      <c r="P151">
        <f>IF(L151="Sí",1/COUNTIF($I$2:$I$300,I151),0)</f>
        <v/>
      </c>
    </row>
    <row r="152">
      <c r="A152" s="2" t="n"/>
      <c r="B152" s="2" t="n"/>
      <c r="C152" s="2" t="n"/>
      <c r="D152" s="2" t="n"/>
      <c r="E152" s="2" t="n"/>
      <c r="F152" s="2" t="n"/>
      <c r="G152">
        <f>IF(A152="","",A152&amp;"|"&amp;B152&amp;"|"&amp;E152)</f>
        <v/>
      </c>
      <c r="H152">
        <f>IF(A152="","",A152&amp;"|"&amp;B152&amp;"|"&amp;F152)</f>
        <v/>
      </c>
      <c r="I152">
        <f>IF(A152="","",A152&amp;"|"&amp;B152&amp;"|"&amp;C152)</f>
        <v/>
      </c>
      <c r="J152">
        <f>IF(A152="","",IF(COUNTIF($G$2:$G$300,G152)&gt;1,"Sí",""))</f>
        <v/>
      </c>
      <c r="K152">
        <f>IF(A152="","",IF(COUNTIF($H$2:$H$300,H152)&gt;1,"Sí",""))</f>
        <v/>
      </c>
      <c r="L152">
        <f>IF(A152="","",IF(COUNTIF($I$2:$I$300,I152)&gt;1,"Sí",""))</f>
        <v/>
      </c>
      <c r="M152">
        <f>IF(A152="","",IF(OR(J152="Sí",K152="Sí",L152="Sí"),"Conflicto","OK"))</f>
        <v/>
      </c>
      <c r="N152">
        <f>IF(J152="Sí",1/COUNTIF($G$2:$G$300,G152),0)</f>
        <v/>
      </c>
      <c r="O152">
        <f>IF(K152="Sí",1/COUNTIF($H$2:$H$300,H152),0)</f>
        <v/>
      </c>
      <c r="P152">
        <f>IF(L152="Sí",1/COUNTIF($I$2:$I$300,I152),0)</f>
        <v/>
      </c>
    </row>
    <row r="153">
      <c r="A153" s="2" t="n"/>
      <c r="B153" s="2" t="n"/>
      <c r="C153" s="2" t="n"/>
      <c r="D153" s="2" t="n"/>
      <c r="E153" s="2" t="n"/>
      <c r="F153" s="2" t="n"/>
      <c r="G153">
        <f>IF(A153="","",A153&amp;"|"&amp;B153&amp;"|"&amp;E153)</f>
        <v/>
      </c>
      <c r="H153">
        <f>IF(A153="","",A153&amp;"|"&amp;B153&amp;"|"&amp;F153)</f>
        <v/>
      </c>
      <c r="I153">
        <f>IF(A153="","",A153&amp;"|"&amp;B153&amp;"|"&amp;C153)</f>
        <v/>
      </c>
      <c r="J153">
        <f>IF(A153="","",IF(COUNTIF($G$2:$G$300,G153)&gt;1,"Sí",""))</f>
        <v/>
      </c>
      <c r="K153">
        <f>IF(A153="","",IF(COUNTIF($H$2:$H$300,H153)&gt;1,"Sí",""))</f>
        <v/>
      </c>
      <c r="L153">
        <f>IF(A153="","",IF(COUNTIF($I$2:$I$300,I153)&gt;1,"Sí",""))</f>
        <v/>
      </c>
      <c r="M153">
        <f>IF(A153="","",IF(OR(J153="Sí",K153="Sí",L153="Sí"),"Conflicto","OK"))</f>
        <v/>
      </c>
      <c r="N153">
        <f>IF(J153="Sí",1/COUNTIF($G$2:$G$300,G153),0)</f>
        <v/>
      </c>
      <c r="O153">
        <f>IF(K153="Sí",1/COUNTIF($H$2:$H$300,H153),0)</f>
        <v/>
      </c>
      <c r="P153">
        <f>IF(L153="Sí",1/COUNTIF($I$2:$I$300,I153),0)</f>
        <v/>
      </c>
    </row>
    <row r="154">
      <c r="A154" s="2" t="n"/>
      <c r="B154" s="2" t="n"/>
      <c r="C154" s="2" t="n"/>
      <c r="D154" s="2" t="n"/>
      <c r="E154" s="2" t="n"/>
      <c r="F154" s="2" t="n"/>
      <c r="G154">
        <f>IF(A154="","",A154&amp;"|"&amp;B154&amp;"|"&amp;E154)</f>
        <v/>
      </c>
      <c r="H154">
        <f>IF(A154="","",A154&amp;"|"&amp;B154&amp;"|"&amp;F154)</f>
        <v/>
      </c>
      <c r="I154">
        <f>IF(A154="","",A154&amp;"|"&amp;B154&amp;"|"&amp;C154)</f>
        <v/>
      </c>
      <c r="J154">
        <f>IF(A154="","",IF(COUNTIF($G$2:$G$300,G154)&gt;1,"Sí",""))</f>
        <v/>
      </c>
      <c r="K154">
        <f>IF(A154="","",IF(COUNTIF($H$2:$H$300,H154)&gt;1,"Sí",""))</f>
        <v/>
      </c>
      <c r="L154">
        <f>IF(A154="","",IF(COUNTIF($I$2:$I$300,I154)&gt;1,"Sí",""))</f>
        <v/>
      </c>
      <c r="M154">
        <f>IF(A154="","",IF(OR(J154="Sí",K154="Sí",L154="Sí"),"Conflicto","OK"))</f>
        <v/>
      </c>
      <c r="N154">
        <f>IF(J154="Sí",1/COUNTIF($G$2:$G$300,G154),0)</f>
        <v/>
      </c>
      <c r="O154">
        <f>IF(K154="Sí",1/COUNTIF($H$2:$H$300,H154),0)</f>
        <v/>
      </c>
      <c r="P154">
        <f>IF(L154="Sí",1/COUNTIF($I$2:$I$300,I154),0)</f>
        <v/>
      </c>
    </row>
    <row r="155">
      <c r="A155" s="2" t="n"/>
      <c r="B155" s="2" t="n"/>
      <c r="C155" s="2" t="n"/>
      <c r="D155" s="2" t="n"/>
      <c r="E155" s="2" t="n"/>
      <c r="F155" s="2" t="n"/>
      <c r="G155">
        <f>IF(A155="","",A155&amp;"|"&amp;B155&amp;"|"&amp;E155)</f>
        <v/>
      </c>
      <c r="H155">
        <f>IF(A155="","",A155&amp;"|"&amp;B155&amp;"|"&amp;F155)</f>
        <v/>
      </c>
      <c r="I155">
        <f>IF(A155="","",A155&amp;"|"&amp;B155&amp;"|"&amp;C155)</f>
        <v/>
      </c>
      <c r="J155">
        <f>IF(A155="","",IF(COUNTIF($G$2:$G$300,G155)&gt;1,"Sí",""))</f>
        <v/>
      </c>
      <c r="K155">
        <f>IF(A155="","",IF(COUNTIF($H$2:$H$300,H155)&gt;1,"Sí",""))</f>
        <v/>
      </c>
      <c r="L155">
        <f>IF(A155="","",IF(COUNTIF($I$2:$I$300,I155)&gt;1,"Sí",""))</f>
        <v/>
      </c>
      <c r="M155">
        <f>IF(A155="","",IF(OR(J155="Sí",K155="Sí",L155="Sí"),"Conflicto","OK"))</f>
        <v/>
      </c>
      <c r="N155">
        <f>IF(J155="Sí",1/COUNTIF($G$2:$G$300,G155),0)</f>
        <v/>
      </c>
      <c r="O155">
        <f>IF(K155="Sí",1/COUNTIF($H$2:$H$300,H155),0)</f>
        <v/>
      </c>
      <c r="P155">
        <f>IF(L155="Sí",1/COUNTIF($I$2:$I$300,I155),0)</f>
        <v/>
      </c>
    </row>
    <row r="156">
      <c r="A156" s="2" t="n"/>
      <c r="B156" s="2" t="n"/>
      <c r="C156" s="2" t="n"/>
      <c r="D156" s="2" t="n"/>
      <c r="E156" s="2" t="n"/>
      <c r="F156" s="2" t="n"/>
      <c r="G156">
        <f>IF(A156="","",A156&amp;"|"&amp;B156&amp;"|"&amp;E156)</f>
        <v/>
      </c>
      <c r="H156">
        <f>IF(A156="","",A156&amp;"|"&amp;B156&amp;"|"&amp;F156)</f>
        <v/>
      </c>
      <c r="I156">
        <f>IF(A156="","",A156&amp;"|"&amp;B156&amp;"|"&amp;C156)</f>
        <v/>
      </c>
      <c r="J156">
        <f>IF(A156="","",IF(COUNTIF($G$2:$G$300,G156)&gt;1,"Sí",""))</f>
        <v/>
      </c>
      <c r="K156">
        <f>IF(A156="","",IF(COUNTIF($H$2:$H$300,H156)&gt;1,"Sí",""))</f>
        <v/>
      </c>
      <c r="L156">
        <f>IF(A156="","",IF(COUNTIF($I$2:$I$300,I156)&gt;1,"Sí",""))</f>
        <v/>
      </c>
      <c r="M156">
        <f>IF(A156="","",IF(OR(J156="Sí",K156="Sí",L156="Sí"),"Conflicto","OK"))</f>
        <v/>
      </c>
      <c r="N156">
        <f>IF(J156="Sí",1/COUNTIF($G$2:$G$300,G156),0)</f>
        <v/>
      </c>
      <c r="O156">
        <f>IF(K156="Sí",1/COUNTIF($H$2:$H$300,H156),0)</f>
        <v/>
      </c>
      <c r="P156">
        <f>IF(L156="Sí",1/COUNTIF($I$2:$I$300,I156),0)</f>
        <v/>
      </c>
    </row>
    <row r="157">
      <c r="A157" s="2" t="n"/>
      <c r="B157" s="2" t="n"/>
      <c r="C157" s="2" t="n"/>
      <c r="D157" s="2" t="n"/>
      <c r="E157" s="2" t="n"/>
      <c r="F157" s="2" t="n"/>
      <c r="G157">
        <f>IF(A157="","",A157&amp;"|"&amp;B157&amp;"|"&amp;E157)</f>
        <v/>
      </c>
      <c r="H157">
        <f>IF(A157="","",A157&amp;"|"&amp;B157&amp;"|"&amp;F157)</f>
        <v/>
      </c>
      <c r="I157">
        <f>IF(A157="","",A157&amp;"|"&amp;B157&amp;"|"&amp;C157)</f>
        <v/>
      </c>
      <c r="J157">
        <f>IF(A157="","",IF(COUNTIF($G$2:$G$300,G157)&gt;1,"Sí",""))</f>
        <v/>
      </c>
      <c r="K157">
        <f>IF(A157="","",IF(COUNTIF($H$2:$H$300,H157)&gt;1,"Sí",""))</f>
        <v/>
      </c>
      <c r="L157">
        <f>IF(A157="","",IF(COUNTIF($I$2:$I$300,I157)&gt;1,"Sí",""))</f>
        <v/>
      </c>
      <c r="M157">
        <f>IF(A157="","",IF(OR(J157="Sí",K157="Sí",L157="Sí"),"Conflicto","OK"))</f>
        <v/>
      </c>
      <c r="N157">
        <f>IF(J157="Sí",1/COUNTIF($G$2:$G$300,G157),0)</f>
        <v/>
      </c>
      <c r="O157">
        <f>IF(K157="Sí",1/COUNTIF($H$2:$H$300,H157),0)</f>
        <v/>
      </c>
      <c r="P157">
        <f>IF(L157="Sí",1/COUNTIF($I$2:$I$300,I157),0)</f>
        <v/>
      </c>
    </row>
    <row r="158">
      <c r="A158" s="2" t="n"/>
      <c r="B158" s="2" t="n"/>
      <c r="C158" s="2" t="n"/>
      <c r="D158" s="2" t="n"/>
      <c r="E158" s="2" t="n"/>
      <c r="F158" s="2" t="n"/>
      <c r="G158">
        <f>IF(A158="","",A158&amp;"|"&amp;B158&amp;"|"&amp;E158)</f>
        <v/>
      </c>
      <c r="H158">
        <f>IF(A158="","",A158&amp;"|"&amp;B158&amp;"|"&amp;F158)</f>
        <v/>
      </c>
      <c r="I158">
        <f>IF(A158="","",A158&amp;"|"&amp;B158&amp;"|"&amp;C158)</f>
        <v/>
      </c>
      <c r="J158">
        <f>IF(A158="","",IF(COUNTIF($G$2:$G$300,G158)&gt;1,"Sí",""))</f>
        <v/>
      </c>
      <c r="K158">
        <f>IF(A158="","",IF(COUNTIF($H$2:$H$300,H158)&gt;1,"Sí",""))</f>
        <v/>
      </c>
      <c r="L158">
        <f>IF(A158="","",IF(COUNTIF($I$2:$I$300,I158)&gt;1,"Sí",""))</f>
        <v/>
      </c>
      <c r="M158">
        <f>IF(A158="","",IF(OR(J158="Sí",K158="Sí",L158="Sí"),"Conflicto","OK"))</f>
        <v/>
      </c>
      <c r="N158">
        <f>IF(J158="Sí",1/COUNTIF($G$2:$G$300,G158),0)</f>
        <v/>
      </c>
      <c r="O158">
        <f>IF(K158="Sí",1/COUNTIF($H$2:$H$300,H158),0)</f>
        <v/>
      </c>
      <c r="P158">
        <f>IF(L158="Sí",1/COUNTIF($I$2:$I$300,I158),0)</f>
        <v/>
      </c>
    </row>
    <row r="159">
      <c r="A159" s="2" t="n"/>
      <c r="B159" s="2" t="n"/>
      <c r="C159" s="2" t="n"/>
      <c r="D159" s="2" t="n"/>
      <c r="E159" s="2" t="n"/>
      <c r="F159" s="2" t="n"/>
      <c r="G159">
        <f>IF(A159="","",A159&amp;"|"&amp;B159&amp;"|"&amp;E159)</f>
        <v/>
      </c>
      <c r="H159">
        <f>IF(A159="","",A159&amp;"|"&amp;B159&amp;"|"&amp;F159)</f>
        <v/>
      </c>
      <c r="I159">
        <f>IF(A159="","",A159&amp;"|"&amp;B159&amp;"|"&amp;C159)</f>
        <v/>
      </c>
      <c r="J159">
        <f>IF(A159="","",IF(COUNTIF($G$2:$G$300,G159)&gt;1,"Sí",""))</f>
        <v/>
      </c>
      <c r="K159">
        <f>IF(A159="","",IF(COUNTIF($H$2:$H$300,H159)&gt;1,"Sí",""))</f>
        <v/>
      </c>
      <c r="L159">
        <f>IF(A159="","",IF(COUNTIF($I$2:$I$300,I159)&gt;1,"Sí",""))</f>
        <v/>
      </c>
      <c r="M159">
        <f>IF(A159="","",IF(OR(J159="Sí",K159="Sí",L159="Sí"),"Conflicto","OK"))</f>
        <v/>
      </c>
      <c r="N159">
        <f>IF(J159="Sí",1/COUNTIF($G$2:$G$300,G159),0)</f>
        <v/>
      </c>
      <c r="O159">
        <f>IF(K159="Sí",1/COUNTIF($H$2:$H$300,H159),0)</f>
        <v/>
      </c>
      <c r="P159">
        <f>IF(L159="Sí",1/COUNTIF($I$2:$I$300,I159),0)</f>
        <v/>
      </c>
    </row>
    <row r="160">
      <c r="A160" s="2" t="n"/>
      <c r="B160" s="2" t="n"/>
      <c r="C160" s="2" t="n"/>
      <c r="D160" s="2" t="n"/>
      <c r="E160" s="2" t="n"/>
      <c r="F160" s="2" t="n"/>
      <c r="G160">
        <f>IF(A160="","",A160&amp;"|"&amp;B160&amp;"|"&amp;E160)</f>
        <v/>
      </c>
      <c r="H160">
        <f>IF(A160="","",A160&amp;"|"&amp;B160&amp;"|"&amp;F160)</f>
        <v/>
      </c>
      <c r="I160">
        <f>IF(A160="","",A160&amp;"|"&amp;B160&amp;"|"&amp;C160)</f>
        <v/>
      </c>
      <c r="J160">
        <f>IF(A160="","",IF(COUNTIF($G$2:$G$300,G160)&gt;1,"Sí",""))</f>
        <v/>
      </c>
      <c r="K160">
        <f>IF(A160="","",IF(COUNTIF($H$2:$H$300,H160)&gt;1,"Sí",""))</f>
        <v/>
      </c>
      <c r="L160">
        <f>IF(A160="","",IF(COUNTIF($I$2:$I$300,I160)&gt;1,"Sí",""))</f>
        <v/>
      </c>
      <c r="M160">
        <f>IF(A160="","",IF(OR(J160="Sí",K160="Sí",L160="Sí"),"Conflicto","OK"))</f>
        <v/>
      </c>
      <c r="N160">
        <f>IF(J160="Sí",1/COUNTIF($G$2:$G$300,G160),0)</f>
        <v/>
      </c>
      <c r="O160">
        <f>IF(K160="Sí",1/COUNTIF($H$2:$H$300,H160),0)</f>
        <v/>
      </c>
      <c r="P160">
        <f>IF(L160="Sí",1/COUNTIF($I$2:$I$300,I160),0)</f>
        <v/>
      </c>
    </row>
    <row r="161">
      <c r="A161" s="2" t="n"/>
      <c r="B161" s="2" t="n"/>
      <c r="C161" s="2" t="n"/>
      <c r="D161" s="2" t="n"/>
      <c r="E161" s="2" t="n"/>
      <c r="F161" s="2" t="n"/>
      <c r="G161">
        <f>IF(A161="","",A161&amp;"|"&amp;B161&amp;"|"&amp;E161)</f>
        <v/>
      </c>
      <c r="H161">
        <f>IF(A161="","",A161&amp;"|"&amp;B161&amp;"|"&amp;F161)</f>
        <v/>
      </c>
      <c r="I161">
        <f>IF(A161="","",A161&amp;"|"&amp;B161&amp;"|"&amp;C161)</f>
        <v/>
      </c>
      <c r="J161">
        <f>IF(A161="","",IF(COUNTIF($G$2:$G$300,G161)&gt;1,"Sí",""))</f>
        <v/>
      </c>
      <c r="K161">
        <f>IF(A161="","",IF(COUNTIF($H$2:$H$300,H161)&gt;1,"Sí",""))</f>
        <v/>
      </c>
      <c r="L161">
        <f>IF(A161="","",IF(COUNTIF($I$2:$I$300,I161)&gt;1,"Sí",""))</f>
        <v/>
      </c>
      <c r="M161">
        <f>IF(A161="","",IF(OR(J161="Sí",K161="Sí",L161="Sí"),"Conflicto","OK"))</f>
        <v/>
      </c>
      <c r="N161">
        <f>IF(J161="Sí",1/COUNTIF($G$2:$G$300,G161),0)</f>
        <v/>
      </c>
      <c r="O161">
        <f>IF(K161="Sí",1/COUNTIF($H$2:$H$300,H161),0)</f>
        <v/>
      </c>
      <c r="P161">
        <f>IF(L161="Sí",1/COUNTIF($I$2:$I$300,I161),0)</f>
        <v/>
      </c>
    </row>
    <row r="162">
      <c r="A162" s="2" t="n"/>
      <c r="B162" s="2" t="n"/>
      <c r="C162" s="2" t="n"/>
      <c r="D162" s="2" t="n"/>
      <c r="E162" s="2" t="n"/>
      <c r="F162" s="2" t="n"/>
      <c r="G162">
        <f>IF(A162="","",A162&amp;"|"&amp;B162&amp;"|"&amp;E162)</f>
        <v/>
      </c>
      <c r="H162">
        <f>IF(A162="","",A162&amp;"|"&amp;B162&amp;"|"&amp;F162)</f>
        <v/>
      </c>
      <c r="I162">
        <f>IF(A162="","",A162&amp;"|"&amp;B162&amp;"|"&amp;C162)</f>
        <v/>
      </c>
      <c r="J162">
        <f>IF(A162="","",IF(COUNTIF($G$2:$G$300,G162)&gt;1,"Sí",""))</f>
        <v/>
      </c>
      <c r="K162">
        <f>IF(A162="","",IF(COUNTIF($H$2:$H$300,H162)&gt;1,"Sí",""))</f>
        <v/>
      </c>
      <c r="L162">
        <f>IF(A162="","",IF(COUNTIF($I$2:$I$300,I162)&gt;1,"Sí",""))</f>
        <v/>
      </c>
      <c r="M162">
        <f>IF(A162="","",IF(OR(J162="Sí",K162="Sí",L162="Sí"),"Conflicto","OK"))</f>
        <v/>
      </c>
      <c r="N162">
        <f>IF(J162="Sí",1/COUNTIF($G$2:$G$300,G162),0)</f>
        <v/>
      </c>
      <c r="O162">
        <f>IF(K162="Sí",1/COUNTIF($H$2:$H$300,H162),0)</f>
        <v/>
      </c>
      <c r="P162">
        <f>IF(L162="Sí",1/COUNTIF($I$2:$I$300,I162),0)</f>
        <v/>
      </c>
    </row>
    <row r="163">
      <c r="A163" s="2" t="n"/>
      <c r="B163" s="2" t="n"/>
      <c r="C163" s="2" t="n"/>
      <c r="D163" s="2" t="n"/>
      <c r="E163" s="2" t="n"/>
      <c r="F163" s="2" t="n"/>
      <c r="G163">
        <f>IF(A163="","",A163&amp;"|"&amp;B163&amp;"|"&amp;E163)</f>
        <v/>
      </c>
      <c r="H163">
        <f>IF(A163="","",A163&amp;"|"&amp;B163&amp;"|"&amp;F163)</f>
        <v/>
      </c>
      <c r="I163">
        <f>IF(A163="","",A163&amp;"|"&amp;B163&amp;"|"&amp;C163)</f>
        <v/>
      </c>
      <c r="J163">
        <f>IF(A163="","",IF(COUNTIF($G$2:$G$300,G163)&gt;1,"Sí",""))</f>
        <v/>
      </c>
      <c r="K163">
        <f>IF(A163="","",IF(COUNTIF($H$2:$H$300,H163)&gt;1,"Sí",""))</f>
        <v/>
      </c>
      <c r="L163">
        <f>IF(A163="","",IF(COUNTIF($I$2:$I$300,I163)&gt;1,"Sí",""))</f>
        <v/>
      </c>
      <c r="M163">
        <f>IF(A163="","",IF(OR(J163="Sí",K163="Sí",L163="Sí"),"Conflicto","OK"))</f>
        <v/>
      </c>
      <c r="N163">
        <f>IF(J163="Sí",1/COUNTIF($G$2:$G$300,G163),0)</f>
        <v/>
      </c>
      <c r="O163">
        <f>IF(K163="Sí",1/COUNTIF($H$2:$H$300,H163),0)</f>
        <v/>
      </c>
      <c r="P163">
        <f>IF(L163="Sí",1/COUNTIF($I$2:$I$300,I163),0)</f>
        <v/>
      </c>
    </row>
    <row r="164">
      <c r="A164" s="2" t="n"/>
      <c r="B164" s="2" t="n"/>
      <c r="C164" s="2" t="n"/>
      <c r="D164" s="2" t="n"/>
      <c r="E164" s="2" t="n"/>
      <c r="F164" s="2" t="n"/>
      <c r="G164">
        <f>IF(A164="","",A164&amp;"|"&amp;B164&amp;"|"&amp;E164)</f>
        <v/>
      </c>
      <c r="H164">
        <f>IF(A164="","",A164&amp;"|"&amp;B164&amp;"|"&amp;F164)</f>
        <v/>
      </c>
      <c r="I164">
        <f>IF(A164="","",A164&amp;"|"&amp;B164&amp;"|"&amp;C164)</f>
        <v/>
      </c>
      <c r="J164">
        <f>IF(A164="","",IF(COUNTIF($G$2:$G$300,G164)&gt;1,"Sí",""))</f>
        <v/>
      </c>
      <c r="K164">
        <f>IF(A164="","",IF(COUNTIF($H$2:$H$300,H164)&gt;1,"Sí",""))</f>
        <v/>
      </c>
      <c r="L164">
        <f>IF(A164="","",IF(COUNTIF($I$2:$I$300,I164)&gt;1,"Sí",""))</f>
        <v/>
      </c>
      <c r="M164">
        <f>IF(A164="","",IF(OR(J164="Sí",K164="Sí",L164="Sí"),"Conflicto","OK"))</f>
        <v/>
      </c>
      <c r="N164">
        <f>IF(J164="Sí",1/COUNTIF($G$2:$G$300,G164),0)</f>
        <v/>
      </c>
      <c r="O164">
        <f>IF(K164="Sí",1/COUNTIF($H$2:$H$300,H164),0)</f>
        <v/>
      </c>
      <c r="P164">
        <f>IF(L164="Sí",1/COUNTIF($I$2:$I$300,I164),0)</f>
        <v/>
      </c>
    </row>
    <row r="165">
      <c r="A165" s="2" t="n"/>
      <c r="B165" s="2" t="n"/>
      <c r="C165" s="2" t="n"/>
      <c r="D165" s="2" t="n"/>
      <c r="E165" s="2" t="n"/>
      <c r="F165" s="2" t="n"/>
      <c r="G165">
        <f>IF(A165="","",A165&amp;"|"&amp;B165&amp;"|"&amp;E165)</f>
        <v/>
      </c>
      <c r="H165">
        <f>IF(A165="","",A165&amp;"|"&amp;B165&amp;"|"&amp;F165)</f>
        <v/>
      </c>
      <c r="I165">
        <f>IF(A165="","",A165&amp;"|"&amp;B165&amp;"|"&amp;C165)</f>
        <v/>
      </c>
      <c r="J165">
        <f>IF(A165="","",IF(COUNTIF($G$2:$G$300,G165)&gt;1,"Sí",""))</f>
        <v/>
      </c>
      <c r="K165">
        <f>IF(A165="","",IF(COUNTIF($H$2:$H$300,H165)&gt;1,"Sí",""))</f>
        <v/>
      </c>
      <c r="L165">
        <f>IF(A165="","",IF(COUNTIF($I$2:$I$300,I165)&gt;1,"Sí",""))</f>
        <v/>
      </c>
      <c r="M165">
        <f>IF(A165="","",IF(OR(J165="Sí",K165="Sí",L165="Sí"),"Conflicto","OK"))</f>
        <v/>
      </c>
      <c r="N165">
        <f>IF(J165="Sí",1/COUNTIF($G$2:$G$300,G165),0)</f>
        <v/>
      </c>
      <c r="O165">
        <f>IF(K165="Sí",1/COUNTIF($H$2:$H$300,H165),0)</f>
        <v/>
      </c>
      <c r="P165">
        <f>IF(L165="Sí",1/COUNTIF($I$2:$I$300,I165),0)</f>
        <v/>
      </c>
    </row>
    <row r="166">
      <c r="A166" s="2" t="n"/>
      <c r="B166" s="2" t="n"/>
      <c r="C166" s="2" t="n"/>
      <c r="D166" s="2" t="n"/>
      <c r="E166" s="2" t="n"/>
      <c r="F166" s="2" t="n"/>
      <c r="G166">
        <f>IF(A166="","",A166&amp;"|"&amp;B166&amp;"|"&amp;E166)</f>
        <v/>
      </c>
      <c r="H166">
        <f>IF(A166="","",A166&amp;"|"&amp;B166&amp;"|"&amp;F166)</f>
        <v/>
      </c>
      <c r="I166">
        <f>IF(A166="","",A166&amp;"|"&amp;B166&amp;"|"&amp;C166)</f>
        <v/>
      </c>
      <c r="J166">
        <f>IF(A166="","",IF(COUNTIF($G$2:$G$300,G166)&gt;1,"Sí",""))</f>
        <v/>
      </c>
      <c r="K166">
        <f>IF(A166="","",IF(COUNTIF($H$2:$H$300,H166)&gt;1,"Sí",""))</f>
        <v/>
      </c>
      <c r="L166">
        <f>IF(A166="","",IF(COUNTIF($I$2:$I$300,I166)&gt;1,"Sí",""))</f>
        <v/>
      </c>
      <c r="M166">
        <f>IF(A166="","",IF(OR(J166="Sí",K166="Sí",L166="Sí"),"Conflicto","OK"))</f>
        <v/>
      </c>
      <c r="N166">
        <f>IF(J166="Sí",1/COUNTIF($G$2:$G$300,G166),0)</f>
        <v/>
      </c>
      <c r="O166">
        <f>IF(K166="Sí",1/COUNTIF($H$2:$H$300,H166),0)</f>
        <v/>
      </c>
      <c r="P166">
        <f>IF(L166="Sí",1/COUNTIF($I$2:$I$300,I166),0)</f>
        <v/>
      </c>
    </row>
    <row r="167">
      <c r="A167" s="2" t="n"/>
      <c r="B167" s="2" t="n"/>
      <c r="C167" s="2" t="n"/>
      <c r="D167" s="2" t="n"/>
      <c r="E167" s="2" t="n"/>
      <c r="F167" s="2" t="n"/>
      <c r="G167">
        <f>IF(A167="","",A167&amp;"|"&amp;B167&amp;"|"&amp;E167)</f>
        <v/>
      </c>
      <c r="H167">
        <f>IF(A167="","",A167&amp;"|"&amp;B167&amp;"|"&amp;F167)</f>
        <v/>
      </c>
      <c r="I167">
        <f>IF(A167="","",A167&amp;"|"&amp;B167&amp;"|"&amp;C167)</f>
        <v/>
      </c>
      <c r="J167">
        <f>IF(A167="","",IF(COUNTIF($G$2:$G$300,G167)&gt;1,"Sí",""))</f>
        <v/>
      </c>
      <c r="K167">
        <f>IF(A167="","",IF(COUNTIF($H$2:$H$300,H167)&gt;1,"Sí",""))</f>
        <v/>
      </c>
      <c r="L167">
        <f>IF(A167="","",IF(COUNTIF($I$2:$I$300,I167)&gt;1,"Sí",""))</f>
        <v/>
      </c>
      <c r="M167">
        <f>IF(A167="","",IF(OR(J167="Sí",K167="Sí",L167="Sí"),"Conflicto","OK"))</f>
        <v/>
      </c>
      <c r="N167">
        <f>IF(J167="Sí",1/COUNTIF($G$2:$G$300,G167),0)</f>
        <v/>
      </c>
      <c r="O167">
        <f>IF(K167="Sí",1/COUNTIF($H$2:$H$300,H167),0)</f>
        <v/>
      </c>
      <c r="P167">
        <f>IF(L167="Sí",1/COUNTIF($I$2:$I$300,I167),0)</f>
        <v/>
      </c>
    </row>
    <row r="168">
      <c r="A168" s="2" t="n"/>
      <c r="B168" s="2" t="n"/>
      <c r="C168" s="2" t="n"/>
      <c r="D168" s="2" t="n"/>
      <c r="E168" s="2" t="n"/>
      <c r="F168" s="2" t="n"/>
      <c r="G168">
        <f>IF(A168="","",A168&amp;"|"&amp;B168&amp;"|"&amp;E168)</f>
        <v/>
      </c>
      <c r="H168">
        <f>IF(A168="","",A168&amp;"|"&amp;B168&amp;"|"&amp;F168)</f>
        <v/>
      </c>
      <c r="I168">
        <f>IF(A168="","",A168&amp;"|"&amp;B168&amp;"|"&amp;C168)</f>
        <v/>
      </c>
      <c r="J168">
        <f>IF(A168="","",IF(COUNTIF($G$2:$G$300,G168)&gt;1,"Sí",""))</f>
        <v/>
      </c>
      <c r="K168">
        <f>IF(A168="","",IF(COUNTIF($H$2:$H$300,H168)&gt;1,"Sí",""))</f>
        <v/>
      </c>
      <c r="L168">
        <f>IF(A168="","",IF(COUNTIF($I$2:$I$300,I168)&gt;1,"Sí",""))</f>
        <v/>
      </c>
      <c r="M168">
        <f>IF(A168="","",IF(OR(J168="Sí",K168="Sí",L168="Sí"),"Conflicto","OK"))</f>
        <v/>
      </c>
      <c r="N168">
        <f>IF(J168="Sí",1/COUNTIF($G$2:$G$300,G168),0)</f>
        <v/>
      </c>
      <c r="O168">
        <f>IF(K168="Sí",1/COUNTIF($H$2:$H$300,H168),0)</f>
        <v/>
      </c>
      <c r="P168">
        <f>IF(L168="Sí",1/COUNTIF($I$2:$I$300,I168),0)</f>
        <v/>
      </c>
    </row>
    <row r="169">
      <c r="A169" s="2" t="n"/>
      <c r="B169" s="2" t="n"/>
      <c r="C169" s="2" t="n"/>
      <c r="D169" s="2" t="n"/>
      <c r="E169" s="2" t="n"/>
      <c r="F169" s="2" t="n"/>
      <c r="G169">
        <f>IF(A169="","",A169&amp;"|"&amp;B169&amp;"|"&amp;E169)</f>
        <v/>
      </c>
      <c r="H169">
        <f>IF(A169="","",A169&amp;"|"&amp;B169&amp;"|"&amp;F169)</f>
        <v/>
      </c>
      <c r="I169">
        <f>IF(A169="","",A169&amp;"|"&amp;B169&amp;"|"&amp;C169)</f>
        <v/>
      </c>
      <c r="J169">
        <f>IF(A169="","",IF(COUNTIF($G$2:$G$300,G169)&gt;1,"Sí",""))</f>
        <v/>
      </c>
      <c r="K169">
        <f>IF(A169="","",IF(COUNTIF($H$2:$H$300,H169)&gt;1,"Sí",""))</f>
        <v/>
      </c>
      <c r="L169">
        <f>IF(A169="","",IF(COUNTIF($I$2:$I$300,I169)&gt;1,"Sí",""))</f>
        <v/>
      </c>
      <c r="M169">
        <f>IF(A169="","",IF(OR(J169="Sí",K169="Sí",L169="Sí"),"Conflicto","OK"))</f>
        <v/>
      </c>
      <c r="N169">
        <f>IF(J169="Sí",1/COUNTIF($G$2:$G$300,G169),0)</f>
        <v/>
      </c>
      <c r="O169">
        <f>IF(K169="Sí",1/COUNTIF($H$2:$H$300,H169),0)</f>
        <v/>
      </c>
      <c r="P169">
        <f>IF(L169="Sí",1/COUNTIF($I$2:$I$300,I169),0)</f>
        <v/>
      </c>
    </row>
    <row r="170">
      <c r="A170" s="2" t="n"/>
      <c r="B170" s="2" t="n"/>
      <c r="C170" s="2" t="n"/>
      <c r="D170" s="2" t="n"/>
      <c r="E170" s="2" t="n"/>
      <c r="F170" s="2" t="n"/>
      <c r="G170">
        <f>IF(A170="","",A170&amp;"|"&amp;B170&amp;"|"&amp;E170)</f>
        <v/>
      </c>
      <c r="H170">
        <f>IF(A170="","",A170&amp;"|"&amp;B170&amp;"|"&amp;F170)</f>
        <v/>
      </c>
      <c r="I170">
        <f>IF(A170="","",A170&amp;"|"&amp;B170&amp;"|"&amp;C170)</f>
        <v/>
      </c>
      <c r="J170">
        <f>IF(A170="","",IF(COUNTIF($G$2:$G$300,G170)&gt;1,"Sí",""))</f>
        <v/>
      </c>
      <c r="K170">
        <f>IF(A170="","",IF(COUNTIF($H$2:$H$300,H170)&gt;1,"Sí",""))</f>
        <v/>
      </c>
      <c r="L170">
        <f>IF(A170="","",IF(COUNTIF($I$2:$I$300,I170)&gt;1,"Sí",""))</f>
        <v/>
      </c>
      <c r="M170">
        <f>IF(A170="","",IF(OR(J170="Sí",K170="Sí",L170="Sí"),"Conflicto","OK"))</f>
        <v/>
      </c>
      <c r="N170">
        <f>IF(J170="Sí",1/COUNTIF($G$2:$G$300,G170),0)</f>
        <v/>
      </c>
      <c r="O170">
        <f>IF(K170="Sí",1/COUNTIF($H$2:$H$300,H170),0)</f>
        <v/>
      </c>
      <c r="P170">
        <f>IF(L170="Sí",1/COUNTIF($I$2:$I$300,I170),0)</f>
        <v/>
      </c>
    </row>
    <row r="171">
      <c r="A171" s="2" t="n"/>
      <c r="B171" s="2" t="n"/>
      <c r="C171" s="2" t="n"/>
      <c r="D171" s="2" t="n"/>
      <c r="E171" s="2" t="n"/>
      <c r="F171" s="2" t="n"/>
      <c r="G171">
        <f>IF(A171="","",A171&amp;"|"&amp;B171&amp;"|"&amp;E171)</f>
        <v/>
      </c>
      <c r="H171">
        <f>IF(A171="","",A171&amp;"|"&amp;B171&amp;"|"&amp;F171)</f>
        <v/>
      </c>
      <c r="I171">
        <f>IF(A171="","",A171&amp;"|"&amp;B171&amp;"|"&amp;C171)</f>
        <v/>
      </c>
      <c r="J171">
        <f>IF(A171="","",IF(COUNTIF($G$2:$G$300,G171)&gt;1,"Sí",""))</f>
        <v/>
      </c>
      <c r="K171">
        <f>IF(A171="","",IF(COUNTIF($H$2:$H$300,H171)&gt;1,"Sí",""))</f>
        <v/>
      </c>
      <c r="L171">
        <f>IF(A171="","",IF(COUNTIF($I$2:$I$300,I171)&gt;1,"Sí",""))</f>
        <v/>
      </c>
      <c r="M171">
        <f>IF(A171="","",IF(OR(J171="Sí",K171="Sí",L171="Sí"),"Conflicto","OK"))</f>
        <v/>
      </c>
      <c r="N171">
        <f>IF(J171="Sí",1/COUNTIF($G$2:$G$300,G171),0)</f>
        <v/>
      </c>
      <c r="O171">
        <f>IF(K171="Sí",1/COUNTIF($H$2:$H$300,H171),0)</f>
        <v/>
      </c>
      <c r="P171">
        <f>IF(L171="Sí",1/COUNTIF($I$2:$I$300,I171),0)</f>
        <v/>
      </c>
    </row>
    <row r="172">
      <c r="A172" s="2" t="n"/>
      <c r="B172" s="2" t="n"/>
      <c r="C172" s="2" t="n"/>
      <c r="D172" s="2" t="n"/>
      <c r="E172" s="2" t="n"/>
      <c r="F172" s="2" t="n"/>
      <c r="G172">
        <f>IF(A172="","",A172&amp;"|"&amp;B172&amp;"|"&amp;E172)</f>
        <v/>
      </c>
      <c r="H172">
        <f>IF(A172="","",A172&amp;"|"&amp;B172&amp;"|"&amp;F172)</f>
        <v/>
      </c>
      <c r="I172">
        <f>IF(A172="","",A172&amp;"|"&amp;B172&amp;"|"&amp;C172)</f>
        <v/>
      </c>
      <c r="J172">
        <f>IF(A172="","",IF(COUNTIF($G$2:$G$300,G172)&gt;1,"Sí",""))</f>
        <v/>
      </c>
      <c r="K172">
        <f>IF(A172="","",IF(COUNTIF($H$2:$H$300,H172)&gt;1,"Sí",""))</f>
        <v/>
      </c>
      <c r="L172">
        <f>IF(A172="","",IF(COUNTIF($I$2:$I$300,I172)&gt;1,"Sí",""))</f>
        <v/>
      </c>
      <c r="M172">
        <f>IF(A172="","",IF(OR(J172="Sí",K172="Sí",L172="Sí"),"Conflicto","OK"))</f>
        <v/>
      </c>
      <c r="N172">
        <f>IF(J172="Sí",1/COUNTIF($G$2:$G$300,G172),0)</f>
        <v/>
      </c>
      <c r="O172">
        <f>IF(K172="Sí",1/COUNTIF($H$2:$H$300,H172),0)</f>
        <v/>
      </c>
      <c r="P172">
        <f>IF(L172="Sí",1/COUNTIF($I$2:$I$300,I172),0)</f>
        <v/>
      </c>
    </row>
    <row r="173">
      <c r="A173" s="2" t="n"/>
      <c r="B173" s="2" t="n"/>
      <c r="C173" s="2" t="n"/>
      <c r="D173" s="2" t="n"/>
      <c r="E173" s="2" t="n"/>
      <c r="F173" s="2" t="n"/>
      <c r="G173">
        <f>IF(A173="","",A173&amp;"|"&amp;B173&amp;"|"&amp;E173)</f>
        <v/>
      </c>
      <c r="H173">
        <f>IF(A173="","",A173&amp;"|"&amp;B173&amp;"|"&amp;F173)</f>
        <v/>
      </c>
      <c r="I173">
        <f>IF(A173="","",A173&amp;"|"&amp;B173&amp;"|"&amp;C173)</f>
        <v/>
      </c>
      <c r="J173">
        <f>IF(A173="","",IF(COUNTIF($G$2:$G$300,G173)&gt;1,"Sí",""))</f>
        <v/>
      </c>
      <c r="K173">
        <f>IF(A173="","",IF(COUNTIF($H$2:$H$300,H173)&gt;1,"Sí",""))</f>
        <v/>
      </c>
      <c r="L173">
        <f>IF(A173="","",IF(COUNTIF($I$2:$I$300,I173)&gt;1,"Sí",""))</f>
        <v/>
      </c>
      <c r="M173">
        <f>IF(A173="","",IF(OR(J173="Sí",K173="Sí",L173="Sí"),"Conflicto","OK"))</f>
        <v/>
      </c>
      <c r="N173">
        <f>IF(J173="Sí",1/COUNTIF($G$2:$G$300,G173),0)</f>
        <v/>
      </c>
      <c r="O173">
        <f>IF(K173="Sí",1/COUNTIF($H$2:$H$300,H173),0)</f>
        <v/>
      </c>
      <c r="P173">
        <f>IF(L173="Sí",1/COUNTIF($I$2:$I$300,I173),0)</f>
        <v/>
      </c>
    </row>
    <row r="174">
      <c r="A174" s="2" t="n"/>
      <c r="B174" s="2" t="n"/>
      <c r="C174" s="2" t="n"/>
      <c r="D174" s="2" t="n"/>
      <c r="E174" s="2" t="n"/>
      <c r="F174" s="2" t="n"/>
      <c r="G174">
        <f>IF(A174="","",A174&amp;"|"&amp;B174&amp;"|"&amp;E174)</f>
        <v/>
      </c>
      <c r="H174">
        <f>IF(A174="","",A174&amp;"|"&amp;B174&amp;"|"&amp;F174)</f>
        <v/>
      </c>
      <c r="I174">
        <f>IF(A174="","",A174&amp;"|"&amp;B174&amp;"|"&amp;C174)</f>
        <v/>
      </c>
      <c r="J174">
        <f>IF(A174="","",IF(COUNTIF($G$2:$G$300,G174)&gt;1,"Sí",""))</f>
        <v/>
      </c>
      <c r="K174">
        <f>IF(A174="","",IF(COUNTIF($H$2:$H$300,H174)&gt;1,"Sí",""))</f>
        <v/>
      </c>
      <c r="L174">
        <f>IF(A174="","",IF(COUNTIF($I$2:$I$300,I174)&gt;1,"Sí",""))</f>
        <v/>
      </c>
      <c r="M174">
        <f>IF(A174="","",IF(OR(J174="Sí",K174="Sí",L174="Sí"),"Conflicto","OK"))</f>
        <v/>
      </c>
      <c r="N174">
        <f>IF(J174="Sí",1/COUNTIF($G$2:$G$300,G174),0)</f>
        <v/>
      </c>
      <c r="O174">
        <f>IF(K174="Sí",1/COUNTIF($H$2:$H$300,H174),0)</f>
        <v/>
      </c>
      <c r="P174">
        <f>IF(L174="Sí",1/COUNTIF($I$2:$I$300,I174),0)</f>
        <v/>
      </c>
    </row>
    <row r="175">
      <c r="A175" s="2" t="n"/>
      <c r="B175" s="2" t="n"/>
      <c r="C175" s="2" t="n"/>
      <c r="D175" s="2" t="n"/>
      <c r="E175" s="2" t="n"/>
      <c r="F175" s="2" t="n"/>
      <c r="G175">
        <f>IF(A175="","",A175&amp;"|"&amp;B175&amp;"|"&amp;E175)</f>
        <v/>
      </c>
      <c r="H175">
        <f>IF(A175="","",A175&amp;"|"&amp;B175&amp;"|"&amp;F175)</f>
        <v/>
      </c>
      <c r="I175">
        <f>IF(A175="","",A175&amp;"|"&amp;B175&amp;"|"&amp;C175)</f>
        <v/>
      </c>
      <c r="J175">
        <f>IF(A175="","",IF(COUNTIF($G$2:$G$300,G175)&gt;1,"Sí",""))</f>
        <v/>
      </c>
      <c r="K175">
        <f>IF(A175="","",IF(COUNTIF($H$2:$H$300,H175)&gt;1,"Sí",""))</f>
        <v/>
      </c>
      <c r="L175">
        <f>IF(A175="","",IF(COUNTIF($I$2:$I$300,I175)&gt;1,"Sí",""))</f>
        <v/>
      </c>
      <c r="M175">
        <f>IF(A175="","",IF(OR(J175="Sí",K175="Sí",L175="Sí"),"Conflicto","OK"))</f>
        <v/>
      </c>
      <c r="N175">
        <f>IF(J175="Sí",1/COUNTIF($G$2:$G$300,G175),0)</f>
        <v/>
      </c>
      <c r="O175">
        <f>IF(K175="Sí",1/COUNTIF($H$2:$H$300,H175),0)</f>
        <v/>
      </c>
      <c r="P175">
        <f>IF(L175="Sí",1/COUNTIF($I$2:$I$300,I175),0)</f>
        <v/>
      </c>
    </row>
    <row r="176">
      <c r="A176" s="2" t="n"/>
      <c r="B176" s="2" t="n"/>
      <c r="C176" s="2" t="n"/>
      <c r="D176" s="2" t="n"/>
      <c r="E176" s="2" t="n"/>
      <c r="F176" s="2" t="n"/>
      <c r="G176">
        <f>IF(A176="","",A176&amp;"|"&amp;B176&amp;"|"&amp;E176)</f>
        <v/>
      </c>
      <c r="H176">
        <f>IF(A176="","",A176&amp;"|"&amp;B176&amp;"|"&amp;F176)</f>
        <v/>
      </c>
      <c r="I176">
        <f>IF(A176="","",A176&amp;"|"&amp;B176&amp;"|"&amp;C176)</f>
        <v/>
      </c>
      <c r="J176">
        <f>IF(A176="","",IF(COUNTIF($G$2:$G$300,G176)&gt;1,"Sí",""))</f>
        <v/>
      </c>
      <c r="K176">
        <f>IF(A176="","",IF(COUNTIF($H$2:$H$300,H176)&gt;1,"Sí",""))</f>
        <v/>
      </c>
      <c r="L176">
        <f>IF(A176="","",IF(COUNTIF($I$2:$I$300,I176)&gt;1,"Sí",""))</f>
        <v/>
      </c>
      <c r="M176">
        <f>IF(A176="","",IF(OR(J176="Sí",K176="Sí",L176="Sí"),"Conflicto","OK"))</f>
        <v/>
      </c>
      <c r="N176">
        <f>IF(J176="Sí",1/COUNTIF($G$2:$G$300,G176),0)</f>
        <v/>
      </c>
      <c r="O176">
        <f>IF(K176="Sí",1/COUNTIF($H$2:$H$300,H176),0)</f>
        <v/>
      </c>
      <c r="P176">
        <f>IF(L176="Sí",1/COUNTIF($I$2:$I$300,I176),0)</f>
        <v/>
      </c>
    </row>
    <row r="177">
      <c r="A177" s="2" t="n"/>
      <c r="B177" s="2" t="n"/>
      <c r="C177" s="2" t="n"/>
      <c r="D177" s="2" t="n"/>
      <c r="E177" s="2" t="n"/>
      <c r="F177" s="2" t="n"/>
      <c r="G177">
        <f>IF(A177="","",A177&amp;"|"&amp;B177&amp;"|"&amp;E177)</f>
        <v/>
      </c>
      <c r="H177">
        <f>IF(A177="","",A177&amp;"|"&amp;B177&amp;"|"&amp;F177)</f>
        <v/>
      </c>
      <c r="I177">
        <f>IF(A177="","",A177&amp;"|"&amp;B177&amp;"|"&amp;C177)</f>
        <v/>
      </c>
      <c r="J177">
        <f>IF(A177="","",IF(COUNTIF($G$2:$G$300,G177)&gt;1,"Sí",""))</f>
        <v/>
      </c>
      <c r="K177">
        <f>IF(A177="","",IF(COUNTIF($H$2:$H$300,H177)&gt;1,"Sí",""))</f>
        <v/>
      </c>
      <c r="L177">
        <f>IF(A177="","",IF(COUNTIF($I$2:$I$300,I177)&gt;1,"Sí",""))</f>
        <v/>
      </c>
      <c r="M177">
        <f>IF(A177="","",IF(OR(J177="Sí",K177="Sí",L177="Sí"),"Conflicto","OK"))</f>
        <v/>
      </c>
      <c r="N177">
        <f>IF(J177="Sí",1/COUNTIF($G$2:$G$300,G177),0)</f>
        <v/>
      </c>
      <c r="O177">
        <f>IF(K177="Sí",1/COUNTIF($H$2:$H$300,H177),0)</f>
        <v/>
      </c>
      <c r="P177">
        <f>IF(L177="Sí",1/COUNTIF($I$2:$I$300,I177),0)</f>
        <v/>
      </c>
    </row>
    <row r="178">
      <c r="A178" s="2" t="n"/>
      <c r="B178" s="2" t="n"/>
      <c r="C178" s="2" t="n"/>
      <c r="D178" s="2" t="n"/>
      <c r="E178" s="2" t="n"/>
      <c r="F178" s="2" t="n"/>
      <c r="G178">
        <f>IF(A178="","",A178&amp;"|"&amp;B178&amp;"|"&amp;E178)</f>
        <v/>
      </c>
      <c r="H178">
        <f>IF(A178="","",A178&amp;"|"&amp;B178&amp;"|"&amp;F178)</f>
        <v/>
      </c>
      <c r="I178">
        <f>IF(A178="","",A178&amp;"|"&amp;B178&amp;"|"&amp;C178)</f>
        <v/>
      </c>
      <c r="J178">
        <f>IF(A178="","",IF(COUNTIF($G$2:$G$300,G178)&gt;1,"Sí",""))</f>
        <v/>
      </c>
      <c r="K178">
        <f>IF(A178="","",IF(COUNTIF($H$2:$H$300,H178)&gt;1,"Sí",""))</f>
        <v/>
      </c>
      <c r="L178">
        <f>IF(A178="","",IF(COUNTIF($I$2:$I$300,I178)&gt;1,"Sí",""))</f>
        <v/>
      </c>
      <c r="M178">
        <f>IF(A178="","",IF(OR(J178="Sí",K178="Sí",L178="Sí"),"Conflicto","OK"))</f>
        <v/>
      </c>
      <c r="N178">
        <f>IF(J178="Sí",1/COUNTIF($G$2:$G$300,G178),0)</f>
        <v/>
      </c>
      <c r="O178">
        <f>IF(K178="Sí",1/COUNTIF($H$2:$H$300,H178),0)</f>
        <v/>
      </c>
      <c r="P178">
        <f>IF(L178="Sí",1/COUNTIF($I$2:$I$300,I178),0)</f>
        <v/>
      </c>
    </row>
    <row r="179">
      <c r="A179" s="2" t="n"/>
      <c r="B179" s="2" t="n"/>
      <c r="C179" s="2" t="n"/>
      <c r="D179" s="2" t="n"/>
      <c r="E179" s="2" t="n"/>
      <c r="F179" s="2" t="n"/>
      <c r="G179">
        <f>IF(A179="","",A179&amp;"|"&amp;B179&amp;"|"&amp;E179)</f>
        <v/>
      </c>
      <c r="H179">
        <f>IF(A179="","",A179&amp;"|"&amp;B179&amp;"|"&amp;F179)</f>
        <v/>
      </c>
      <c r="I179">
        <f>IF(A179="","",A179&amp;"|"&amp;B179&amp;"|"&amp;C179)</f>
        <v/>
      </c>
      <c r="J179">
        <f>IF(A179="","",IF(COUNTIF($G$2:$G$300,G179)&gt;1,"Sí",""))</f>
        <v/>
      </c>
      <c r="K179">
        <f>IF(A179="","",IF(COUNTIF($H$2:$H$300,H179)&gt;1,"Sí",""))</f>
        <v/>
      </c>
      <c r="L179">
        <f>IF(A179="","",IF(COUNTIF($I$2:$I$300,I179)&gt;1,"Sí",""))</f>
        <v/>
      </c>
      <c r="M179">
        <f>IF(A179="","",IF(OR(J179="Sí",K179="Sí",L179="Sí"),"Conflicto","OK"))</f>
        <v/>
      </c>
      <c r="N179">
        <f>IF(J179="Sí",1/COUNTIF($G$2:$G$300,G179),0)</f>
        <v/>
      </c>
      <c r="O179">
        <f>IF(K179="Sí",1/COUNTIF($H$2:$H$300,H179),0)</f>
        <v/>
      </c>
      <c r="P179">
        <f>IF(L179="Sí",1/COUNTIF($I$2:$I$300,I179),0)</f>
        <v/>
      </c>
    </row>
    <row r="180">
      <c r="A180" s="2" t="n"/>
      <c r="B180" s="2" t="n"/>
      <c r="C180" s="2" t="n"/>
      <c r="D180" s="2" t="n"/>
      <c r="E180" s="2" t="n"/>
      <c r="F180" s="2" t="n"/>
      <c r="G180">
        <f>IF(A180="","",A180&amp;"|"&amp;B180&amp;"|"&amp;E180)</f>
        <v/>
      </c>
      <c r="H180">
        <f>IF(A180="","",A180&amp;"|"&amp;B180&amp;"|"&amp;F180)</f>
        <v/>
      </c>
      <c r="I180">
        <f>IF(A180="","",A180&amp;"|"&amp;B180&amp;"|"&amp;C180)</f>
        <v/>
      </c>
      <c r="J180">
        <f>IF(A180="","",IF(COUNTIF($G$2:$G$300,G180)&gt;1,"Sí",""))</f>
        <v/>
      </c>
      <c r="K180">
        <f>IF(A180="","",IF(COUNTIF($H$2:$H$300,H180)&gt;1,"Sí",""))</f>
        <v/>
      </c>
      <c r="L180">
        <f>IF(A180="","",IF(COUNTIF($I$2:$I$300,I180)&gt;1,"Sí",""))</f>
        <v/>
      </c>
      <c r="M180">
        <f>IF(A180="","",IF(OR(J180="Sí",K180="Sí",L180="Sí"),"Conflicto","OK"))</f>
        <v/>
      </c>
      <c r="N180">
        <f>IF(J180="Sí",1/COUNTIF($G$2:$G$300,G180),0)</f>
        <v/>
      </c>
      <c r="O180">
        <f>IF(K180="Sí",1/COUNTIF($H$2:$H$300,H180),0)</f>
        <v/>
      </c>
      <c r="P180">
        <f>IF(L180="Sí",1/COUNTIF($I$2:$I$300,I180),0)</f>
        <v/>
      </c>
    </row>
    <row r="181">
      <c r="A181" s="2" t="n"/>
      <c r="B181" s="2" t="n"/>
      <c r="C181" s="2" t="n"/>
      <c r="D181" s="2" t="n"/>
      <c r="E181" s="2" t="n"/>
      <c r="F181" s="2" t="n"/>
      <c r="G181">
        <f>IF(A181="","",A181&amp;"|"&amp;B181&amp;"|"&amp;E181)</f>
        <v/>
      </c>
      <c r="H181">
        <f>IF(A181="","",A181&amp;"|"&amp;B181&amp;"|"&amp;F181)</f>
        <v/>
      </c>
      <c r="I181">
        <f>IF(A181="","",A181&amp;"|"&amp;B181&amp;"|"&amp;C181)</f>
        <v/>
      </c>
      <c r="J181">
        <f>IF(A181="","",IF(COUNTIF($G$2:$G$300,G181)&gt;1,"Sí",""))</f>
        <v/>
      </c>
      <c r="K181">
        <f>IF(A181="","",IF(COUNTIF($H$2:$H$300,H181)&gt;1,"Sí",""))</f>
        <v/>
      </c>
      <c r="L181">
        <f>IF(A181="","",IF(COUNTIF($I$2:$I$300,I181)&gt;1,"Sí",""))</f>
        <v/>
      </c>
      <c r="M181">
        <f>IF(A181="","",IF(OR(J181="Sí",K181="Sí",L181="Sí"),"Conflicto","OK"))</f>
        <v/>
      </c>
      <c r="N181">
        <f>IF(J181="Sí",1/COUNTIF($G$2:$G$300,G181),0)</f>
        <v/>
      </c>
      <c r="O181">
        <f>IF(K181="Sí",1/COUNTIF($H$2:$H$300,H181),0)</f>
        <v/>
      </c>
      <c r="P181">
        <f>IF(L181="Sí",1/COUNTIF($I$2:$I$300,I181),0)</f>
        <v/>
      </c>
    </row>
    <row r="182">
      <c r="A182" s="2" t="n"/>
      <c r="B182" s="2" t="n"/>
      <c r="C182" s="2" t="n"/>
      <c r="D182" s="2" t="n"/>
      <c r="E182" s="2" t="n"/>
      <c r="F182" s="2" t="n"/>
      <c r="G182">
        <f>IF(A182="","",A182&amp;"|"&amp;B182&amp;"|"&amp;E182)</f>
        <v/>
      </c>
      <c r="H182">
        <f>IF(A182="","",A182&amp;"|"&amp;B182&amp;"|"&amp;F182)</f>
        <v/>
      </c>
      <c r="I182">
        <f>IF(A182="","",A182&amp;"|"&amp;B182&amp;"|"&amp;C182)</f>
        <v/>
      </c>
      <c r="J182">
        <f>IF(A182="","",IF(COUNTIF($G$2:$G$300,G182)&gt;1,"Sí",""))</f>
        <v/>
      </c>
      <c r="K182">
        <f>IF(A182="","",IF(COUNTIF($H$2:$H$300,H182)&gt;1,"Sí",""))</f>
        <v/>
      </c>
      <c r="L182">
        <f>IF(A182="","",IF(COUNTIF($I$2:$I$300,I182)&gt;1,"Sí",""))</f>
        <v/>
      </c>
      <c r="M182">
        <f>IF(A182="","",IF(OR(J182="Sí",K182="Sí",L182="Sí"),"Conflicto","OK"))</f>
        <v/>
      </c>
      <c r="N182">
        <f>IF(J182="Sí",1/COUNTIF($G$2:$G$300,G182),0)</f>
        <v/>
      </c>
      <c r="O182">
        <f>IF(K182="Sí",1/COUNTIF($H$2:$H$300,H182),0)</f>
        <v/>
      </c>
      <c r="P182">
        <f>IF(L182="Sí",1/COUNTIF($I$2:$I$300,I182),0)</f>
        <v/>
      </c>
    </row>
    <row r="183">
      <c r="A183" s="2" t="n"/>
      <c r="B183" s="2" t="n"/>
      <c r="C183" s="2" t="n"/>
      <c r="D183" s="2" t="n"/>
      <c r="E183" s="2" t="n"/>
      <c r="F183" s="2" t="n"/>
      <c r="G183">
        <f>IF(A183="","",A183&amp;"|"&amp;B183&amp;"|"&amp;E183)</f>
        <v/>
      </c>
      <c r="H183">
        <f>IF(A183="","",A183&amp;"|"&amp;B183&amp;"|"&amp;F183)</f>
        <v/>
      </c>
      <c r="I183">
        <f>IF(A183="","",A183&amp;"|"&amp;B183&amp;"|"&amp;C183)</f>
        <v/>
      </c>
      <c r="J183">
        <f>IF(A183="","",IF(COUNTIF($G$2:$G$300,G183)&gt;1,"Sí",""))</f>
        <v/>
      </c>
      <c r="K183">
        <f>IF(A183="","",IF(COUNTIF($H$2:$H$300,H183)&gt;1,"Sí",""))</f>
        <v/>
      </c>
      <c r="L183">
        <f>IF(A183="","",IF(COUNTIF($I$2:$I$300,I183)&gt;1,"Sí",""))</f>
        <v/>
      </c>
      <c r="M183">
        <f>IF(A183="","",IF(OR(J183="Sí",K183="Sí",L183="Sí"),"Conflicto","OK"))</f>
        <v/>
      </c>
      <c r="N183">
        <f>IF(J183="Sí",1/COUNTIF($G$2:$G$300,G183),0)</f>
        <v/>
      </c>
      <c r="O183">
        <f>IF(K183="Sí",1/COUNTIF($H$2:$H$300,H183),0)</f>
        <v/>
      </c>
      <c r="P183">
        <f>IF(L183="Sí",1/COUNTIF($I$2:$I$300,I183),0)</f>
        <v/>
      </c>
    </row>
    <row r="184">
      <c r="A184" s="2" t="n"/>
      <c r="B184" s="2" t="n"/>
      <c r="C184" s="2" t="n"/>
      <c r="D184" s="2" t="n"/>
      <c r="E184" s="2" t="n"/>
      <c r="F184" s="2" t="n"/>
      <c r="G184">
        <f>IF(A184="","",A184&amp;"|"&amp;B184&amp;"|"&amp;E184)</f>
        <v/>
      </c>
      <c r="H184">
        <f>IF(A184="","",A184&amp;"|"&amp;B184&amp;"|"&amp;F184)</f>
        <v/>
      </c>
      <c r="I184">
        <f>IF(A184="","",A184&amp;"|"&amp;B184&amp;"|"&amp;C184)</f>
        <v/>
      </c>
      <c r="J184">
        <f>IF(A184="","",IF(COUNTIF($G$2:$G$300,G184)&gt;1,"Sí",""))</f>
        <v/>
      </c>
      <c r="K184">
        <f>IF(A184="","",IF(COUNTIF($H$2:$H$300,H184)&gt;1,"Sí",""))</f>
        <v/>
      </c>
      <c r="L184">
        <f>IF(A184="","",IF(COUNTIF($I$2:$I$300,I184)&gt;1,"Sí",""))</f>
        <v/>
      </c>
      <c r="M184">
        <f>IF(A184="","",IF(OR(J184="Sí",K184="Sí",L184="Sí"),"Conflicto","OK"))</f>
        <v/>
      </c>
      <c r="N184">
        <f>IF(J184="Sí",1/COUNTIF($G$2:$G$300,G184),0)</f>
        <v/>
      </c>
      <c r="O184">
        <f>IF(K184="Sí",1/COUNTIF($H$2:$H$300,H184),0)</f>
        <v/>
      </c>
      <c r="P184">
        <f>IF(L184="Sí",1/COUNTIF($I$2:$I$300,I184),0)</f>
        <v/>
      </c>
    </row>
    <row r="185">
      <c r="A185" s="2" t="n"/>
      <c r="B185" s="2" t="n"/>
      <c r="C185" s="2" t="n"/>
      <c r="D185" s="2" t="n"/>
      <c r="E185" s="2" t="n"/>
      <c r="F185" s="2" t="n"/>
      <c r="G185">
        <f>IF(A185="","",A185&amp;"|"&amp;B185&amp;"|"&amp;E185)</f>
        <v/>
      </c>
      <c r="H185">
        <f>IF(A185="","",A185&amp;"|"&amp;B185&amp;"|"&amp;F185)</f>
        <v/>
      </c>
      <c r="I185">
        <f>IF(A185="","",A185&amp;"|"&amp;B185&amp;"|"&amp;C185)</f>
        <v/>
      </c>
      <c r="J185">
        <f>IF(A185="","",IF(COUNTIF($G$2:$G$300,G185)&gt;1,"Sí",""))</f>
        <v/>
      </c>
      <c r="K185">
        <f>IF(A185="","",IF(COUNTIF($H$2:$H$300,H185)&gt;1,"Sí",""))</f>
        <v/>
      </c>
      <c r="L185">
        <f>IF(A185="","",IF(COUNTIF($I$2:$I$300,I185)&gt;1,"Sí",""))</f>
        <v/>
      </c>
      <c r="M185">
        <f>IF(A185="","",IF(OR(J185="Sí",K185="Sí",L185="Sí"),"Conflicto","OK"))</f>
        <v/>
      </c>
      <c r="N185">
        <f>IF(J185="Sí",1/COUNTIF($G$2:$G$300,G185),0)</f>
        <v/>
      </c>
      <c r="O185">
        <f>IF(K185="Sí",1/COUNTIF($H$2:$H$300,H185),0)</f>
        <v/>
      </c>
      <c r="P185">
        <f>IF(L185="Sí",1/COUNTIF($I$2:$I$300,I185),0)</f>
        <v/>
      </c>
    </row>
    <row r="186">
      <c r="A186" s="2" t="n"/>
      <c r="B186" s="2" t="n"/>
      <c r="C186" s="2" t="n"/>
      <c r="D186" s="2" t="n"/>
      <c r="E186" s="2" t="n"/>
      <c r="F186" s="2" t="n"/>
      <c r="G186">
        <f>IF(A186="","",A186&amp;"|"&amp;B186&amp;"|"&amp;E186)</f>
        <v/>
      </c>
      <c r="H186">
        <f>IF(A186="","",A186&amp;"|"&amp;B186&amp;"|"&amp;F186)</f>
        <v/>
      </c>
      <c r="I186">
        <f>IF(A186="","",A186&amp;"|"&amp;B186&amp;"|"&amp;C186)</f>
        <v/>
      </c>
      <c r="J186">
        <f>IF(A186="","",IF(COUNTIF($G$2:$G$300,G186)&gt;1,"Sí",""))</f>
        <v/>
      </c>
      <c r="K186">
        <f>IF(A186="","",IF(COUNTIF($H$2:$H$300,H186)&gt;1,"Sí",""))</f>
        <v/>
      </c>
      <c r="L186">
        <f>IF(A186="","",IF(COUNTIF($I$2:$I$300,I186)&gt;1,"Sí",""))</f>
        <v/>
      </c>
      <c r="M186">
        <f>IF(A186="","",IF(OR(J186="Sí",K186="Sí",L186="Sí"),"Conflicto","OK"))</f>
        <v/>
      </c>
      <c r="N186">
        <f>IF(J186="Sí",1/COUNTIF($G$2:$G$300,G186),0)</f>
        <v/>
      </c>
      <c r="O186">
        <f>IF(K186="Sí",1/COUNTIF($H$2:$H$300,H186),0)</f>
        <v/>
      </c>
      <c r="P186">
        <f>IF(L186="Sí",1/COUNTIF($I$2:$I$300,I186),0)</f>
        <v/>
      </c>
    </row>
    <row r="187">
      <c r="A187" s="2" t="n"/>
      <c r="B187" s="2" t="n"/>
      <c r="C187" s="2" t="n"/>
      <c r="D187" s="2" t="n"/>
      <c r="E187" s="2" t="n"/>
      <c r="F187" s="2" t="n"/>
      <c r="G187">
        <f>IF(A187="","",A187&amp;"|"&amp;B187&amp;"|"&amp;E187)</f>
        <v/>
      </c>
      <c r="H187">
        <f>IF(A187="","",A187&amp;"|"&amp;B187&amp;"|"&amp;F187)</f>
        <v/>
      </c>
      <c r="I187">
        <f>IF(A187="","",A187&amp;"|"&amp;B187&amp;"|"&amp;C187)</f>
        <v/>
      </c>
      <c r="J187">
        <f>IF(A187="","",IF(COUNTIF($G$2:$G$300,G187)&gt;1,"Sí",""))</f>
        <v/>
      </c>
      <c r="K187">
        <f>IF(A187="","",IF(COUNTIF($H$2:$H$300,H187)&gt;1,"Sí",""))</f>
        <v/>
      </c>
      <c r="L187">
        <f>IF(A187="","",IF(COUNTIF($I$2:$I$300,I187)&gt;1,"Sí",""))</f>
        <v/>
      </c>
      <c r="M187">
        <f>IF(A187="","",IF(OR(J187="Sí",K187="Sí",L187="Sí"),"Conflicto","OK"))</f>
        <v/>
      </c>
      <c r="N187">
        <f>IF(J187="Sí",1/COUNTIF($G$2:$G$300,G187),0)</f>
        <v/>
      </c>
      <c r="O187">
        <f>IF(K187="Sí",1/COUNTIF($H$2:$H$300,H187),0)</f>
        <v/>
      </c>
      <c r="P187">
        <f>IF(L187="Sí",1/COUNTIF($I$2:$I$300,I187),0)</f>
        <v/>
      </c>
    </row>
    <row r="188">
      <c r="A188" s="2" t="n"/>
      <c r="B188" s="2" t="n"/>
      <c r="C188" s="2" t="n"/>
      <c r="D188" s="2" t="n"/>
      <c r="E188" s="2" t="n"/>
      <c r="F188" s="2" t="n"/>
      <c r="G188">
        <f>IF(A188="","",A188&amp;"|"&amp;B188&amp;"|"&amp;E188)</f>
        <v/>
      </c>
      <c r="H188">
        <f>IF(A188="","",A188&amp;"|"&amp;B188&amp;"|"&amp;F188)</f>
        <v/>
      </c>
      <c r="I188">
        <f>IF(A188="","",A188&amp;"|"&amp;B188&amp;"|"&amp;C188)</f>
        <v/>
      </c>
      <c r="J188">
        <f>IF(A188="","",IF(COUNTIF($G$2:$G$300,G188)&gt;1,"Sí",""))</f>
        <v/>
      </c>
      <c r="K188">
        <f>IF(A188="","",IF(COUNTIF($H$2:$H$300,H188)&gt;1,"Sí",""))</f>
        <v/>
      </c>
      <c r="L188">
        <f>IF(A188="","",IF(COUNTIF($I$2:$I$300,I188)&gt;1,"Sí",""))</f>
        <v/>
      </c>
      <c r="M188">
        <f>IF(A188="","",IF(OR(J188="Sí",K188="Sí",L188="Sí"),"Conflicto","OK"))</f>
        <v/>
      </c>
      <c r="N188">
        <f>IF(J188="Sí",1/COUNTIF($G$2:$G$300,G188),0)</f>
        <v/>
      </c>
      <c r="O188">
        <f>IF(K188="Sí",1/COUNTIF($H$2:$H$300,H188),0)</f>
        <v/>
      </c>
      <c r="P188">
        <f>IF(L188="Sí",1/COUNTIF($I$2:$I$300,I188),0)</f>
        <v/>
      </c>
    </row>
    <row r="189">
      <c r="A189" s="2" t="n"/>
      <c r="B189" s="2" t="n"/>
      <c r="C189" s="2" t="n"/>
      <c r="D189" s="2" t="n"/>
      <c r="E189" s="2" t="n"/>
      <c r="F189" s="2" t="n"/>
      <c r="G189">
        <f>IF(A189="","",A189&amp;"|"&amp;B189&amp;"|"&amp;E189)</f>
        <v/>
      </c>
      <c r="H189">
        <f>IF(A189="","",A189&amp;"|"&amp;B189&amp;"|"&amp;F189)</f>
        <v/>
      </c>
      <c r="I189">
        <f>IF(A189="","",A189&amp;"|"&amp;B189&amp;"|"&amp;C189)</f>
        <v/>
      </c>
      <c r="J189">
        <f>IF(A189="","",IF(COUNTIF($G$2:$G$300,G189)&gt;1,"Sí",""))</f>
        <v/>
      </c>
      <c r="K189">
        <f>IF(A189="","",IF(COUNTIF($H$2:$H$300,H189)&gt;1,"Sí",""))</f>
        <v/>
      </c>
      <c r="L189">
        <f>IF(A189="","",IF(COUNTIF($I$2:$I$300,I189)&gt;1,"Sí",""))</f>
        <v/>
      </c>
      <c r="M189">
        <f>IF(A189="","",IF(OR(J189="Sí",K189="Sí",L189="Sí"),"Conflicto","OK"))</f>
        <v/>
      </c>
      <c r="N189">
        <f>IF(J189="Sí",1/COUNTIF($G$2:$G$300,G189),0)</f>
        <v/>
      </c>
      <c r="O189">
        <f>IF(K189="Sí",1/COUNTIF($H$2:$H$300,H189),0)</f>
        <v/>
      </c>
      <c r="P189">
        <f>IF(L189="Sí",1/COUNTIF($I$2:$I$300,I189),0)</f>
        <v/>
      </c>
    </row>
    <row r="190">
      <c r="A190" s="2" t="n"/>
      <c r="B190" s="2" t="n"/>
      <c r="C190" s="2" t="n"/>
      <c r="D190" s="2" t="n"/>
      <c r="E190" s="2" t="n"/>
      <c r="F190" s="2" t="n"/>
      <c r="G190">
        <f>IF(A190="","",A190&amp;"|"&amp;B190&amp;"|"&amp;E190)</f>
        <v/>
      </c>
      <c r="H190">
        <f>IF(A190="","",A190&amp;"|"&amp;B190&amp;"|"&amp;F190)</f>
        <v/>
      </c>
      <c r="I190">
        <f>IF(A190="","",A190&amp;"|"&amp;B190&amp;"|"&amp;C190)</f>
        <v/>
      </c>
      <c r="J190">
        <f>IF(A190="","",IF(COUNTIF($G$2:$G$300,G190)&gt;1,"Sí",""))</f>
        <v/>
      </c>
      <c r="K190">
        <f>IF(A190="","",IF(COUNTIF($H$2:$H$300,H190)&gt;1,"Sí",""))</f>
        <v/>
      </c>
      <c r="L190">
        <f>IF(A190="","",IF(COUNTIF($I$2:$I$300,I190)&gt;1,"Sí",""))</f>
        <v/>
      </c>
      <c r="M190">
        <f>IF(A190="","",IF(OR(J190="Sí",K190="Sí",L190="Sí"),"Conflicto","OK"))</f>
        <v/>
      </c>
      <c r="N190">
        <f>IF(J190="Sí",1/COUNTIF($G$2:$G$300,G190),0)</f>
        <v/>
      </c>
      <c r="O190">
        <f>IF(K190="Sí",1/COUNTIF($H$2:$H$300,H190),0)</f>
        <v/>
      </c>
      <c r="P190">
        <f>IF(L190="Sí",1/COUNTIF($I$2:$I$300,I190),0)</f>
        <v/>
      </c>
    </row>
    <row r="191">
      <c r="A191" s="2" t="n"/>
      <c r="B191" s="2" t="n"/>
      <c r="C191" s="2" t="n"/>
      <c r="D191" s="2" t="n"/>
      <c r="E191" s="2" t="n"/>
      <c r="F191" s="2" t="n"/>
      <c r="G191">
        <f>IF(A191="","",A191&amp;"|"&amp;B191&amp;"|"&amp;E191)</f>
        <v/>
      </c>
      <c r="H191">
        <f>IF(A191="","",A191&amp;"|"&amp;B191&amp;"|"&amp;F191)</f>
        <v/>
      </c>
      <c r="I191">
        <f>IF(A191="","",A191&amp;"|"&amp;B191&amp;"|"&amp;C191)</f>
        <v/>
      </c>
      <c r="J191">
        <f>IF(A191="","",IF(COUNTIF($G$2:$G$300,G191)&gt;1,"Sí",""))</f>
        <v/>
      </c>
      <c r="K191">
        <f>IF(A191="","",IF(COUNTIF($H$2:$H$300,H191)&gt;1,"Sí",""))</f>
        <v/>
      </c>
      <c r="L191">
        <f>IF(A191="","",IF(COUNTIF($I$2:$I$300,I191)&gt;1,"Sí",""))</f>
        <v/>
      </c>
      <c r="M191">
        <f>IF(A191="","",IF(OR(J191="Sí",K191="Sí",L191="Sí"),"Conflicto","OK"))</f>
        <v/>
      </c>
      <c r="N191">
        <f>IF(J191="Sí",1/COUNTIF($G$2:$G$300,G191),0)</f>
        <v/>
      </c>
      <c r="O191">
        <f>IF(K191="Sí",1/COUNTIF($H$2:$H$300,H191),0)</f>
        <v/>
      </c>
      <c r="P191">
        <f>IF(L191="Sí",1/COUNTIF($I$2:$I$300,I191),0)</f>
        <v/>
      </c>
    </row>
    <row r="192">
      <c r="A192" s="2" t="n"/>
      <c r="B192" s="2" t="n"/>
      <c r="C192" s="2" t="n"/>
      <c r="D192" s="2" t="n"/>
      <c r="E192" s="2" t="n"/>
      <c r="F192" s="2" t="n"/>
      <c r="G192">
        <f>IF(A192="","",A192&amp;"|"&amp;B192&amp;"|"&amp;E192)</f>
        <v/>
      </c>
      <c r="H192">
        <f>IF(A192="","",A192&amp;"|"&amp;B192&amp;"|"&amp;F192)</f>
        <v/>
      </c>
      <c r="I192">
        <f>IF(A192="","",A192&amp;"|"&amp;B192&amp;"|"&amp;C192)</f>
        <v/>
      </c>
      <c r="J192">
        <f>IF(A192="","",IF(COUNTIF($G$2:$G$300,G192)&gt;1,"Sí",""))</f>
        <v/>
      </c>
      <c r="K192">
        <f>IF(A192="","",IF(COUNTIF($H$2:$H$300,H192)&gt;1,"Sí",""))</f>
        <v/>
      </c>
      <c r="L192">
        <f>IF(A192="","",IF(COUNTIF($I$2:$I$300,I192)&gt;1,"Sí",""))</f>
        <v/>
      </c>
      <c r="M192">
        <f>IF(A192="","",IF(OR(J192="Sí",K192="Sí",L192="Sí"),"Conflicto","OK"))</f>
        <v/>
      </c>
      <c r="N192">
        <f>IF(J192="Sí",1/COUNTIF($G$2:$G$300,G192),0)</f>
        <v/>
      </c>
      <c r="O192">
        <f>IF(K192="Sí",1/COUNTIF($H$2:$H$300,H192),0)</f>
        <v/>
      </c>
      <c r="P192">
        <f>IF(L192="Sí",1/COUNTIF($I$2:$I$300,I192),0)</f>
        <v/>
      </c>
    </row>
    <row r="193">
      <c r="A193" s="2" t="n"/>
      <c r="B193" s="2" t="n"/>
      <c r="C193" s="2" t="n"/>
      <c r="D193" s="2" t="n"/>
      <c r="E193" s="2" t="n"/>
      <c r="F193" s="2" t="n"/>
      <c r="G193">
        <f>IF(A193="","",A193&amp;"|"&amp;B193&amp;"|"&amp;E193)</f>
        <v/>
      </c>
      <c r="H193">
        <f>IF(A193="","",A193&amp;"|"&amp;B193&amp;"|"&amp;F193)</f>
        <v/>
      </c>
      <c r="I193">
        <f>IF(A193="","",A193&amp;"|"&amp;B193&amp;"|"&amp;C193)</f>
        <v/>
      </c>
      <c r="J193">
        <f>IF(A193="","",IF(COUNTIF($G$2:$G$300,G193)&gt;1,"Sí",""))</f>
        <v/>
      </c>
      <c r="K193">
        <f>IF(A193="","",IF(COUNTIF($H$2:$H$300,H193)&gt;1,"Sí",""))</f>
        <v/>
      </c>
      <c r="L193">
        <f>IF(A193="","",IF(COUNTIF($I$2:$I$300,I193)&gt;1,"Sí",""))</f>
        <v/>
      </c>
      <c r="M193">
        <f>IF(A193="","",IF(OR(J193="Sí",K193="Sí",L193="Sí"),"Conflicto","OK"))</f>
        <v/>
      </c>
      <c r="N193">
        <f>IF(J193="Sí",1/COUNTIF($G$2:$G$300,G193),0)</f>
        <v/>
      </c>
      <c r="O193">
        <f>IF(K193="Sí",1/COUNTIF($H$2:$H$300,H193),0)</f>
        <v/>
      </c>
      <c r="P193">
        <f>IF(L193="Sí",1/COUNTIF($I$2:$I$300,I193),0)</f>
        <v/>
      </c>
    </row>
    <row r="194">
      <c r="A194" s="2" t="n"/>
      <c r="B194" s="2" t="n"/>
      <c r="C194" s="2" t="n"/>
      <c r="D194" s="2" t="n"/>
      <c r="E194" s="2" t="n"/>
      <c r="F194" s="2" t="n"/>
      <c r="G194">
        <f>IF(A194="","",A194&amp;"|"&amp;B194&amp;"|"&amp;E194)</f>
        <v/>
      </c>
      <c r="H194">
        <f>IF(A194="","",A194&amp;"|"&amp;B194&amp;"|"&amp;F194)</f>
        <v/>
      </c>
      <c r="I194">
        <f>IF(A194="","",A194&amp;"|"&amp;B194&amp;"|"&amp;C194)</f>
        <v/>
      </c>
      <c r="J194">
        <f>IF(A194="","",IF(COUNTIF($G$2:$G$300,G194)&gt;1,"Sí",""))</f>
        <v/>
      </c>
      <c r="K194">
        <f>IF(A194="","",IF(COUNTIF($H$2:$H$300,H194)&gt;1,"Sí",""))</f>
        <v/>
      </c>
      <c r="L194">
        <f>IF(A194="","",IF(COUNTIF($I$2:$I$300,I194)&gt;1,"Sí",""))</f>
        <v/>
      </c>
      <c r="M194">
        <f>IF(A194="","",IF(OR(J194="Sí",K194="Sí",L194="Sí"),"Conflicto","OK"))</f>
        <v/>
      </c>
      <c r="N194">
        <f>IF(J194="Sí",1/COUNTIF($G$2:$G$300,G194),0)</f>
        <v/>
      </c>
      <c r="O194">
        <f>IF(K194="Sí",1/COUNTIF($H$2:$H$300,H194),0)</f>
        <v/>
      </c>
      <c r="P194">
        <f>IF(L194="Sí",1/COUNTIF($I$2:$I$300,I194),0)</f>
        <v/>
      </c>
    </row>
    <row r="195">
      <c r="A195" s="2" t="n"/>
      <c r="B195" s="2" t="n"/>
      <c r="C195" s="2" t="n"/>
      <c r="D195" s="2" t="n"/>
      <c r="E195" s="2" t="n"/>
      <c r="F195" s="2" t="n"/>
      <c r="G195">
        <f>IF(A195="","",A195&amp;"|"&amp;B195&amp;"|"&amp;E195)</f>
        <v/>
      </c>
      <c r="H195">
        <f>IF(A195="","",A195&amp;"|"&amp;B195&amp;"|"&amp;F195)</f>
        <v/>
      </c>
      <c r="I195">
        <f>IF(A195="","",A195&amp;"|"&amp;B195&amp;"|"&amp;C195)</f>
        <v/>
      </c>
      <c r="J195">
        <f>IF(A195="","",IF(COUNTIF($G$2:$G$300,G195)&gt;1,"Sí",""))</f>
        <v/>
      </c>
      <c r="K195">
        <f>IF(A195="","",IF(COUNTIF($H$2:$H$300,H195)&gt;1,"Sí",""))</f>
        <v/>
      </c>
      <c r="L195">
        <f>IF(A195="","",IF(COUNTIF($I$2:$I$300,I195)&gt;1,"Sí",""))</f>
        <v/>
      </c>
      <c r="M195">
        <f>IF(A195="","",IF(OR(J195="Sí",K195="Sí",L195="Sí"),"Conflicto","OK"))</f>
        <v/>
      </c>
      <c r="N195">
        <f>IF(J195="Sí",1/COUNTIF($G$2:$G$300,G195),0)</f>
        <v/>
      </c>
      <c r="O195">
        <f>IF(K195="Sí",1/COUNTIF($H$2:$H$300,H195),0)</f>
        <v/>
      </c>
      <c r="P195">
        <f>IF(L195="Sí",1/COUNTIF($I$2:$I$300,I195),0)</f>
        <v/>
      </c>
    </row>
    <row r="196">
      <c r="A196" s="2" t="n"/>
      <c r="B196" s="2" t="n"/>
      <c r="C196" s="2" t="n"/>
      <c r="D196" s="2" t="n"/>
      <c r="E196" s="2" t="n"/>
      <c r="F196" s="2" t="n"/>
      <c r="G196">
        <f>IF(A196="","",A196&amp;"|"&amp;B196&amp;"|"&amp;E196)</f>
        <v/>
      </c>
      <c r="H196">
        <f>IF(A196="","",A196&amp;"|"&amp;B196&amp;"|"&amp;F196)</f>
        <v/>
      </c>
      <c r="I196">
        <f>IF(A196="","",A196&amp;"|"&amp;B196&amp;"|"&amp;C196)</f>
        <v/>
      </c>
      <c r="J196">
        <f>IF(A196="","",IF(COUNTIF($G$2:$G$300,G196)&gt;1,"Sí",""))</f>
        <v/>
      </c>
      <c r="K196">
        <f>IF(A196="","",IF(COUNTIF($H$2:$H$300,H196)&gt;1,"Sí",""))</f>
        <v/>
      </c>
      <c r="L196">
        <f>IF(A196="","",IF(COUNTIF($I$2:$I$300,I196)&gt;1,"Sí",""))</f>
        <v/>
      </c>
      <c r="M196">
        <f>IF(A196="","",IF(OR(J196="Sí",K196="Sí",L196="Sí"),"Conflicto","OK"))</f>
        <v/>
      </c>
      <c r="N196">
        <f>IF(J196="Sí",1/COUNTIF($G$2:$G$300,G196),0)</f>
        <v/>
      </c>
      <c r="O196">
        <f>IF(K196="Sí",1/COUNTIF($H$2:$H$300,H196),0)</f>
        <v/>
      </c>
      <c r="P196">
        <f>IF(L196="Sí",1/COUNTIF($I$2:$I$300,I196),0)</f>
        <v/>
      </c>
    </row>
    <row r="197">
      <c r="A197" s="2" t="n"/>
      <c r="B197" s="2" t="n"/>
      <c r="C197" s="2" t="n"/>
      <c r="D197" s="2" t="n"/>
      <c r="E197" s="2" t="n"/>
      <c r="F197" s="2" t="n"/>
      <c r="G197">
        <f>IF(A197="","",A197&amp;"|"&amp;B197&amp;"|"&amp;E197)</f>
        <v/>
      </c>
      <c r="H197">
        <f>IF(A197="","",A197&amp;"|"&amp;B197&amp;"|"&amp;F197)</f>
        <v/>
      </c>
      <c r="I197">
        <f>IF(A197="","",A197&amp;"|"&amp;B197&amp;"|"&amp;C197)</f>
        <v/>
      </c>
      <c r="J197">
        <f>IF(A197="","",IF(COUNTIF($G$2:$G$300,G197)&gt;1,"Sí",""))</f>
        <v/>
      </c>
      <c r="K197">
        <f>IF(A197="","",IF(COUNTIF($H$2:$H$300,H197)&gt;1,"Sí",""))</f>
        <v/>
      </c>
      <c r="L197">
        <f>IF(A197="","",IF(COUNTIF($I$2:$I$300,I197)&gt;1,"Sí",""))</f>
        <v/>
      </c>
      <c r="M197">
        <f>IF(A197="","",IF(OR(J197="Sí",K197="Sí",L197="Sí"),"Conflicto","OK"))</f>
        <v/>
      </c>
      <c r="N197">
        <f>IF(J197="Sí",1/COUNTIF($G$2:$G$300,G197),0)</f>
        <v/>
      </c>
      <c r="O197">
        <f>IF(K197="Sí",1/COUNTIF($H$2:$H$300,H197),0)</f>
        <v/>
      </c>
      <c r="P197">
        <f>IF(L197="Sí",1/COUNTIF($I$2:$I$300,I197),0)</f>
        <v/>
      </c>
    </row>
    <row r="198">
      <c r="A198" s="2" t="n"/>
      <c r="B198" s="2" t="n"/>
      <c r="C198" s="2" t="n"/>
      <c r="D198" s="2" t="n"/>
      <c r="E198" s="2" t="n"/>
      <c r="F198" s="2" t="n"/>
      <c r="G198">
        <f>IF(A198="","",A198&amp;"|"&amp;B198&amp;"|"&amp;E198)</f>
        <v/>
      </c>
      <c r="H198">
        <f>IF(A198="","",A198&amp;"|"&amp;B198&amp;"|"&amp;F198)</f>
        <v/>
      </c>
      <c r="I198">
        <f>IF(A198="","",A198&amp;"|"&amp;B198&amp;"|"&amp;C198)</f>
        <v/>
      </c>
      <c r="J198">
        <f>IF(A198="","",IF(COUNTIF($G$2:$G$300,G198)&gt;1,"Sí",""))</f>
        <v/>
      </c>
      <c r="K198">
        <f>IF(A198="","",IF(COUNTIF($H$2:$H$300,H198)&gt;1,"Sí",""))</f>
        <v/>
      </c>
      <c r="L198">
        <f>IF(A198="","",IF(COUNTIF($I$2:$I$300,I198)&gt;1,"Sí",""))</f>
        <v/>
      </c>
      <c r="M198">
        <f>IF(A198="","",IF(OR(J198="Sí",K198="Sí",L198="Sí"),"Conflicto","OK"))</f>
        <v/>
      </c>
      <c r="N198">
        <f>IF(J198="Sí",1/COUNTIF($G$2:$G$300,G198),0)</f>
        <v/>
      </c>
      <c r="O198">
        <f>IF(K198="Sí",1/COUNTIF($H$2:$H$300,H198),0)</f>
        <v/>
      </c>
      <c r="P198">
        <f>IF(L198="Sí",1/COUNTIF($I$2:$I$300,I198),0)</f>
        <v/>
      </c>
    </row>
    <row r="199">
      <c r="A199" s="2" t="n"/>
      <c r="B199" s="2" t="n"/>
      <c r="C199" s="2" t="n"/>
      <c r="D199" s="2" t="n"/>
      <c r="E199" s="2" t="n"/>
      <c r="F199" s="2" t="n"/>
      <c r="G199">
        <f>IF(A199="","",A199&amp;"|"&amp;B199&amp;"|"&amp;E199)</f>
        <v/>
      </c>
      <c r="H199">
        <f>IF(A199="","",A199&amp;"|"&amp;B199&amp;"|"&amp;F199)</f>
        <v/>
      </c>
      <c r="I199">
        <f>IF(A199="","",A199&amp;"|"&amp;B199&amp;"|"&amp;C199)</f>
        <v/>
      </c>
      <c r="J199">
        <f>IF(A199="","",IF(COUNTIF($G$2:$G$300,G199)&gt;1,"Sí",""))</f>
        <v/>
      </c>
      <c r="K199">
        <f>IF(A199="","",IF(COUNTIF($H$2:$H$300,H199)&gt;1,"Sí",""))</f>
        <v/>
      </c>
      <c r="L199">
        <f>IF(A199="","",IF(COUNTIF($I$2:$I$300,I199)&gt;1,"Sí",""))</f>
        <v/>
      </c>
      <c r="M199">
        <f>IF(A199="","",IF(OR(J199="Sí",K199="Sí",L199="Sí"),"Conflicto","OK"))</f>
        <v/>
      </c>
      <c r="N199">
        <f>IF(J199="Sí",1/COUNTIF($G$2:$G$300,G199),0)</f>
        <v/>
      </c>
      <c r="O199">
        <f>IF(K199="Sí",1/COUNTIF($H$2:$H$300,H199),0)</f>
        <v/>
      </c>
      <c r="P199">
        <f>IF(L199="Sí",1/COUNTIF($I$2:$I$300,I199),0)</f>
        <v/>
      </c>
    </row>
    <row r="200">
      <c r="A200" s="2" t="n"/>
      <c r="B200" s="2" t="n"/>
      <c r="C200" s="2" t="n"/>
      <c r="D200" s="2" t="n"/>
      <c r="E200" s="2" t="n"/>
      <c r="F200" s="2" t="n"/>
      <c r="G200">
        <f>IF(A200="","",A200&amp;"|"&amp;B200&amp;"|"&amp;E200)</f>
        <v/>
      </c>
      <c r="H200">
        <f>IF(A200="","",A200&amp;"|"&amp;B200&amp;"|"&amp;F200)</f>
        <v/>
      </c>
      <c r="I200">
        <f>IF(A200="","",A200&amp;"|"&amp;B200&amp;"|"&amp;C200)</f>
        <v/>
      </c>
      <c r="J200">
        <f>IF(A200="","",IF(COUNTIF($G$2:$G$300,G200)&gt;1,"Sí",""))</f>
        <v/>
      </c>
      <c r="K200">
        <f>IF(A200="","",IF(COUNTIF($H$2:$H$300,H200)&gt;1,"Sí",""))</f>
        <v/>
      </c>
      <c r="L200">
        <f>IF(A200="","",IF(COUNTIF($I$2:$I$300,I200)&gt;1,"Sí",""))</f>
        <v/>
      </c>
      <c r="M200">
        <f>IF(A200="","",IF(OR(J200="Sí",K200="Sí",L200="Sí"),"Conflicto","OK"))</f>
        <v/>
      </c>
      <c r="N200">
        <f>IF(J200="Sí",1/COUNTIF($G$2:$G$300,G200),0)</f>
        <v/>
      </c>
      <c r="O200">
        <f>IF(K200="Sí",1/COUNTIF($H$2:$H$300,H200),0)</f>
        <v/>
      </c>
      <c r="P200">
        <f>IF(L200="Sí",1/COUNTIF($I$2:$I$300,I200),0)</f>
        <v/>
      </c>
    </row>
    <row r="201">
      <c r="A201" s="2" t="n"/>
      <c r="B201" s="2" t="n"/>
      <c r="C201" s="2" t="n"/>
      <c r="D201" s="2" t="n"/>
      <c r="E201" s="2" t="n"/>
      <c r="F201" s="2" t="n"/>
      <c r="G201">
        <f>IF(A201="","",A201&amp;"|"&amp;B201&amp;"|"&amp;E201)</f>
        <v/>
      </c>
      <c r="H201">
        <f>IF(A201="","",A201&amp;"|"&amp;B201&amp;"|"&amp;F201)</f>
        <v/>
      </c>
      <c r="I201">
        <f>IF(A201="","",A201&amp;"|"&amp;B201&amp;"|"&amp;C201)</f>
        <v/>
      </c>
      <c r="J201">
        <f>IF(A201="","",IF(COUNTIF($G$2:$G$300,G201)&gt;1,"Sí",""))</f>
        <v/>
      </c>
      <c r="K201">
        <f>IF(A201="","",IF(COUNTIF($H$2:$H$300,H201)&gt;1,"Sí",""))</f>
        <v/>
      </c>
      <c r="L201">
        <f>IF(A201="","",IF(COUNTIF($I$2:$I$300,I201)&gt;1,"Sí",""))</f>
        <v/>
      </c>
      <c r="M201">
        <f>IF(A201="","",IF(OR(J201="Sí",K201="Sí",L201="Sí"),"Conflicto","OK"))</f>
        <v/>
      </c>
      <c r="N201">
        <f>IF(J201="Sí",1/COUNTIF($G$2:$G$300,G201),0)</f>
        <v/>
      </c>
      <c r="O201">
        <f>IF(K201="Sí",1/COUNTIF($H$2:$H$300,H201),0)</f>
        <v/>
      </c>
      <c r="P201">
        <f>IF(L201="Sí",1/COUNTIF($I$2:$I$300,I201),0)</f>
        <v/>
      </c>
    </row>
    <row r="202">
      <c r="A202" s="2" t="n"/>
      <c r="B202" s="2" t="n"/>
      <c r="C202" s="2" t="n"/>
      <c r="D202" s="2" t="n"/>
      <c r="E202" s="2" t="n"/>
      <c r="F202" s="2" t="n"/>
      <c r="G202">
        <f>IF(A202="","",A202&amp;"|"&amp;B202&amp;"|"&amp;E202)</f>
        <v/>
      </c>
      <c r="H202">
        <f>IF(A202="","",A202&amp;"|"&amp;B202&amp;"|"&amp;F202)</f>
        <v/>
      </c>
      <c r="I202">
        <f>IF(A202="","",A202&amp;"|"&amp;B202&amp;"|"&amp;C202)</f>
        <v/>
      </c>
      <c r="J202">
        <f>IF(A202="","",IF(COUNTIF($G$2:$G$300,G202)&gt;1,"Sí",""))</f>
        <v/>
      </c>
      <c r="K202">
        <f>IF(A202="","",IF(COUNTIF($H$2:$H$300,H202)&gt;1,"Sí",""))</f>
        <v/>
      </c>
      <c r="L202">
        <f>IF(A202="","",IF(COUNTIF($I$2:$I$300,I202)&gt;1,"Sí",""))</f>
        <v/>
      </c>
      <c r="M202">
        <f>IF(A202="","",IF(OR(J202="Sí",K202="Sí",L202="Sí"),"Conflicto","OK"))</f>
        <v/>
      </c>
      <c r="N202">
        <f>IF(J202="Sí",1/COUNTIF($G$2:$G$300,G202),0)</f>
        <v/>
      </c>
      <c r="O202">
        <f>IF(K202="Sí",1/COUNTIF($H$2:$H$300,H202),0)</f>
        <v/>
      </c>
      <c r="P202">
        <f>IF(L202="Sí",1/COUNTIF($I$2:$I$300,I202),0)</f>
        <v/>
      </c>
    </row>
    <row r="203">
      <c r="A203" s="2" t="n"/>
      <c r="B203" s="2" t="n"/>
      <c r="C203" s="2" t="n"/>
      <c r="D203" s="2" t="n"/>
      <c r="E203" s="2" t="n"/>
      <c r="F203" s="2" t="n"/>
      <c r="G203">
        <f>IF(A203="","",A203&amp;"|"&amp;B203&amp;"|"&amp;E203)</f>
        <v/>
      </c>
      <c r="H203">
        <f>IF(A203="","",A203&amp;"|"&amp;B203&amp;"|"&amp;F203)</f>
        <v/>
      </c>
      <c r="I203">
        <f>IF(A203="","",A203&amp;"|"&amp;B203&amp;"|"&amp;C203)</f>
        <v/>
      </c>
      <c r="J203">
        <f>IF(A203="","",IF(COUNTIF($G$2:$G$300,G203)&gt;1,"Sí",""))</f>
        <v/>
      </c>
      <c r="K203">
        <f>IF(A203="","",IF(COUNTIF($H$2:$H$300,H203)&gt;1,"Sí",""))</f>
        <v/>
      </c>
      <c r="L203">
        <f>IF(A203="","",IF(COUNTIF($I$2:$I$300,I203)&gt;1,"Sí",""))</f>
        <v/>
      </c>
      <c r="M203">
        <f>IF(A203="","",IF(OR(J203="Sí",K203="Sí",L203="Sí"),"Conflicto","OK"))</f>
        <v/>
      </c>
      <c r="N203">
        <f>IF(J203="Sí",1/COUNTIF($G$2:$G$300,G203),0)</f>
        <v/>
      </c>
      <c r="O203">
        <f>IF(K203="Sí",1/COUNTIF($H$2:$H$300,H203),0)</f>
        <v/>
      </c>
      <c r="P203">
        <f>IF(L203="Sí",1/COUNTIF($I$2:$I$300,I203),0)</f>
        <v/>
      </c>
    </row>
    <row r="204">
      <c r="A204" s="2" t="n"/>
      <c r="B204" s="2" t="n"/>
      <c r="C204" s="2" t="n"/>
      <c r="D204" s="2" t="n"/>
      <c r="E204" s="2" t="n"/>
      <c r="F204" s="2" t="n"/>
      <c r="G204">
        <f>IF(A204="","",A204&amp;"|"&amp;B204&amp;"|"&amp;E204)</f>
        <v/>
      </c>
      <c r="H204">
        <f>IF(A204="","",A204&amp;"|"&amp;B204&amp;"|"&amp;F204)</f>
        <v/>
      </c>
      <c r="I204">
        <f>IF(A204="","",A204&amp;"|"&amp;B204&amp;"|"&amp;C204)</f>
        <v/>
      </c>
      <c r="J204">
        <f>IF(A204="","",IF(COUNTIF($G$2:$G$300,G204)&gt;1,"Sí",""))</f>
        <v/>
      </c>
      <c r="K204">
        <f>IF(A204="","",IF(COUNTIF($H$2:$H$300,H204)&gt;1,"Sí",""))</f>
        <v/>
      </c>
      <c r="L204">
        <f>IF(A204="","",IF(COUNTIF($I$2:$I$300,I204)&gt;1,"Sí",""))</f>
        <v/>
      </c>
      <c r="M204">
        <f>IF(A204="","",IF(OR(J204="Sí",K204="Sí",L204="Sí"),"Conflicto","OK"))</f>
        <v/>
      </c>
      <c r="N204">
        <f>IF(J204="Sí",1/COUNTIF($G$2:$G$300,G204),0)</f>
        <v/>
      </c>
      <c r="O204">
        <f>IF(K204="Sí",1/COUNTIF($H$2:$H$300,H204),0)</f>
        <v/>
      </c>
      <c r="P204">
        <f>IF(L204="Sí",1/COUNTIF($I$2:$I$300,I204),0)</f>
        <v/>
      </c>
    </row>
    <row r="205">
      <c r="A205" s="2" t="n"/>
      <c r="B205" s="2" t="n"/>
      <c r="C205" s="2" t="n"/>
      <c r="D205" s="2" t="n"/>
      <c r="E205" s="2" t="n"/>
      <c r="F205" s="2" t="n"/>
      <c r="G205">
        <f>IF(A205="","",A205&amp;"|"&amp;B205&amp;"|"&amp;E205)</f>
        <v/>
      </c>
      <c r="H205">
        <f>IF(A205="","",A205&amp;"|"&amp;B205&amp;"|"&amp;F205)</f>
        <v/>
      </c>
      <c r="I205">
        <f>IF(A205="","",A205&amp;"|"&amp;B205&amp;"|"&amp;C205)</f>
        <v/>
      </c>
      <c r="J205">
        <f>IF(A205="","",IF(COUNTIF($G$2:$G$300,G205)&gt;1,"Sí",""))</f>
        <v/>
      </c>
      <c r="K205">
        <f>IF(A205="","",IF(COUNTIF($H$2:$H$300,H205)&gt;1,"Sí",""))</f>
        <v/>
      </c>
      <c r="L205">
        <f>IF(A205="","",IF(COUNTIF($I$2:$I$300,I205)&gt;1,"Sí",""))</f>
        <v/>
      </c>
      <c r="M205">
        <f>IF(A205="","",IF(OR(J205="Sí",K205="Sí",L205="Sí"),"Conflicto","OK"))</f>
        <v/>
      </c>
      <c r="N205">
        <f>IF(J205="Sí",1/COUNTIF($G$2:$G$300,G205),0)</f>
        <v/>
      </c>
      <c r="O205">
        <f>IF(K205="Sí",1/COUNTIF($H$2:$H$300,H205),0)</f>
        <v/>
      </c>
      <c r="P205">
        <f>IF(L205="Sí",1/COUNTIF($I$2:$I$300,I205),0)</f>
        <v/>
      </c>
    </row>
    <row r="206">
      <c r="A206" s="2" t="n"/>
      <c r="B206" s="2" t="n"/>
      <c r="C206" s="2" t="n"/>
      <c r="D206" s="2" t="n"/>
      <c r="E206" s="2" t="n"/>
      <c r="F206" s="2" t="n"/>
      <c r="G206">
        <f>IF(A206="","",A206&amp;"|"&amp;B206&amp;"|"&amp;E206)</f>
        <v/>
      </c>
      <c r="H206">
        <f>IF(A206="","",A206&amp;"|"&amp;B206&amp;"|"&amp;F206)</f>
        <v/>
      </c>
      <c r="I206">
        <f>IF(A206="","",A206&amp;"|"&amp;B206&amp;"|"&amp;C206)</f>
        <v/>
      </c>
      <c r="J206">
        <f>IF(A206="","",IF(COUNTIF($G$2:$G$300,G206)&gt;1,"Sí",""))</f>
        <v/>
      </c>
      <c r="K206">
        <f>IF(A206="","",IF(COUNTIF($H$2:$H$300,H206)&gt;1,"Sí",""))</f>
        <v/>
      </c>
      <c r="L206">
        <f>IF(A206="","",IF(COUNTIF($I$2:$I$300,I206)&gt;1,"Sí",""))</f>
        <v/>
      </c>
      <c r="M206">
        <f>IF(A206="","",IF(OR(J206="Sí",K206="Sí",L206="Sí"),"Conflicto","OK"))</f>
        <v/>
      </c>
      <c r="N206">
        <f>IF(J206="Sí",1/COUNTIF($G$2:$G$300,G206),0)</f>
        <v/>
      </c>
      <c r="O206">
        <f>IF(K206="Sí",1/COUNTIF($H$2:$H$300,H206),0)</f>
        <v/>
      </c>
      <c r="P206">
        <f>IF(L206="Sí",1/COUNTIF($I$2:$I$300,I206),0)</f>
        <v/>
      </c>
    </row>
    <row r="207">
      <c r="A207" s="2" t="n"/>
      <c r="B207" s="2" t="n"/>
      <c r="C207" s="2" t="n"/>
      <c r="D207" s="2" t="n"/>
      <c r="E207" s="2" t="n"/>
      <c r="F207" s="2" t="n"/>
      <c r="G207">
        <f>IF(A207="","",A207&amp;"|"&amp;B207&amp;"|"&amp;E207)</f>
        <v/>
      </c>
      <c r="H207">
        <f>IF(A207="","",A207&amp;"|"&amp;B207&amp;"|"&amp;F207)</f>
        <v/>
      </c>
      <c r="I207">
        <f>IF(A207="","",A207&amp;"|"&amp;B207&amp;"|"&amp;C207)</f>
        <v/>
      </c>
      <c r="J207">
        <f>IF(A207="","",IF(COUNTIF($G$2:$G$300,G207)&gt;1,"Sí",""))</f>
        <v/>
      </c>
      <c r="K207">
        <f>IF(A207="","",IF(COUNTIF($H$2:$H$300,H207)&gt;1,"Sí",""))</f>
        <v/>
      </c>
      <c r="L207">
        <f>IF(A207="","",IF(COUNTIF($I$2:$I$300,I207)&gt;1,"Sí",""))</f>
        <v/>
      </c>
      <c r="M207">
        <f>IF(A207="","",IF(OR(J207="Sí",K207="Sí",L207="Sí"),"Conflicto","OK"))</f>
        <v/>
      </c>
      <c r="N207">
        <f>IF(J207="Sí",1/COUNTIF($G$2:$G$300,G207),0)</f>
        <v/>
      </c>
      <c r="O207">
        <f>IF(K207="Sí",1/COUNTIF($H$2:$H$300,H207),0)</f>
        <v/>
      </c>
      <c r="P207">
        <f>IF(L207="Sí",1/COUNTIF($I$2:$I$300,I207),0)</f>
        <v/>
      </c>
    </row>
    <row r="208">
      <c r="A208" s="2" t="n"/>
      <c r="B208" s="2" t="n"/>
      <c r="C208" s="2" t="n"/>
      <c r="D208" s="2" t="n"/>
      <c r="E208" s="2" t="n"/>
      <c r="F208" s="2" t="n"/>
      <c r="G208">
        <f>IF(A208="","",A208&amp;"|"&amp;B208&amp;"|"&amp;E208)</f>
        <v/>
      </c>
      <c r="H208">
        <f>IF(A208="","",A208&amp;"|"&amp;B208&amp;"|"&amp;F208)</f>
        <v/>
      </c>
      <c r="I208">
        <f>IF(A208="","",A208&amp;"|"&amp;B208&amp;"|"&amp;C208)</f>
        <v/>
      </c>
      <c r="J208">
        <f>IF(A208="","",IF(COUNTIF($G$2:$G$300,G208)&gt;1,"Sí",""))</f>
        <v/>
      </c>
      <c r="K208">
        <f>IF(A208="","",IF(COUNTIF($H$2:$H$300,H208)&gt;1,"Sí",""))</f>
        <v/>
      </c>
      <c r="L208">
        <f>IF(A208="","",IF(COUNTIF($I$2:$I$300,I208)&gt;1,"Sí",""))</f>
        <v/>
      </c>
      <c r="M208">
        <f>IF(A208="","",IF(OR(J208="Sí",K208="Sí",L208="Sí"),"Conflicto","OK"))</f>
        <v/>
      </c>
      <c r="N208">
        <f>IF(J208="Sí",1/COUNTIF($G$2:$G$300,G208),0)</f>
        <v/>
      </c>
      <c r="O208">
        <f>IF(K208="Sí",1/COUNTIF($H$2:$H$300,H208),0)</f>
        <v/>
      </c>
      <c r="P208">
        <f>IF(L208="Sí",1/COUNTIF($I$2:$I$300,I208),0)</f>
        <v/>
      </c>
    </row>
    <row r="209">
      <c r="A209" s="2" t="n"/>
      <c r="B209" s="2" t="n"/>
      <c r="C209" s="2" t="n"/>
      <c r="D209" s="2" t="n"/>
      <c r="E209" s="2" t="n"/>
      <c r="F209" s="2" t="n"/>
      <c r="G209">
        <f>IF(A209="","",A209&amp;"|"&amp;B209&amp;"|"&amp;E209)</f>
        <v/>
      </c>
      <c r="H209">
        <f>IF(A209="","",A209&amp;"|"&amp;B209&amp;"|"&amp;F209)</f>
        <v/>
      </c>
      <c r="I209">
        <f>IF(A209="","",A209&amp;"|"&amp;B209&amp;"|"&amp;C209)</f>
        <v/>
      </c>
      <c r="J209">
        <f>IF(A209="","",IF(COUNTIF($G$2:$G$300,G209)&gt;1,"Sí",""))</f>
        <v/>
      </c>
      <c r="K209">
        <f>IF(A209="","",IF(COUNTIF($H$2:$H$300,H209)&gt;1,"Sí",""))</f>
        <v/>
      </c>
      <c r="L209">
        <f>IF(A209="","",IF(COUNTIF($I$2:$I$300,I209)&gt;1,"Sí",""))</f>
        <v/>
      </c>
      <c r="M209">
        <f>IF(A209="","",IF(OR(J209="Sí",K209="Sí",L209="Sí"),"Conflicto","OK"))</f>
        <v/>
      </c>
      <c r="N209">
        <f>IF(J209="Sí",1/COUNTIF($G$2:$G$300,G209),0)</f>
        <v/>
      </c>
      <c r="O209">
        <f>IF(K209="Sí",1/COUNTIF($H$2:$H$300,H209),0)</f>
        <v/>
      </c>
      <c r="P209">
        <f>IF(L209="Sí",1/COUNTIF($I$2:$I$300,I209),0)</f>
        <v/>
      </c>
    </row>
    <row r="210">
      <c r="A210" s="2" t="n"/>
      <c r="B210" s="2" t="n"/>
      <c r="C210" s="2" t="n"/>
      <c r="D210" s="2" t="n"/>
      <c r="E210" s="2" t="n"/>
      <c r="F210" s="2" t="n"/>
      <c r="G210">
        <f>IF(A210="","",A210&amp;"|"&amp;B210&amp;"|"&amp;E210)</f>
        <v/>
      </c>
      <c r="H210">
        <f>IF(A210="","",A210&amp;"|"&amp;B210&amp;"|"&amp;F210)</f>
        <v/>
      </c>
      <c r="I210">
        <f>IF(A210="","",A210&amp;"|"&amp;B210&amp;"|"&amp;C210)</f>
        <v/>
      </c>
      <c r="J210">
        <f>IF(A210="","",IF(COUNTIF($G$2:$G$300,G210)&gt;1,"Sí",""))</f>
        <v/>
      </c>
      <c r="K210">
        <f>IF(A210="","",IF(COUNTIF($H$2:$H$300,H210)&gt;1,"Sí",""))</f>
        <v/>
      </c>
      <c r="L210">
        <f>IF(A210="","",IF(COUNTIF($I$2:$I$300,I210)&gt;1,"Sí",""))</f>
        <v/>
      </c>
      <c r="M210">
        <f>IF(A210="","",IF(OR(J210="Sí",K210="Sí",L210="Sí"),"Conflicto","OK"))</f>
        <v/>
      </c>
      <c r="N210">
        <f>IF(J210="Sí",1/COUNTIF($G$2:$G$300,G210),0)</f>
        <v/>
      </c>
      <c r="O210">
        <f>IF(K210="Sí",1/COUNTIF($H$2:$H$300,H210),0)</f>
        <v/>
      </c>
      <c r="P210">
        <f>IF(L210="Sí",1/COUNTIF($I$2:$I$300,I210),0)</f>
        <v/>
      </c>
    </row>
    <row r="211">
      <c r="A211" s="2" t="n"/>
      <c r="B211" s="2" t="n"/>
      <c r="C211" s="2" t="n"/>
      <c r="D211" s="2" t="n"/>
      <c r="E211" s="2" t="n"/>
      <c r="F211" s="2" t="n"/>
      <c r="G211">
        <f>IF(A211="","",A211&amp;"|"&amp;B211&amp;"|"&amp;E211)</f>
        <v/>
      </c>
      <c r="H211">
        <f>IF(A211="","",A211&amp;"|"&amp;B211&amp;"|"&amp;F211)</f>
        <v/>
      </c>
      <c r="I211">
        <f>IF(A211="","",A211&amp;"|"&amp;B211&amp;"|"&amp;C211)</f>
        <v/>
      </c>
      <c r="J211">
        <f>IF(A211="","",IF(COUNTIF($G$2:$G$300,G211)&gt;1,"Sí",""))</f>
        <v/>
      </c>
      <c r="K211">
        <f>IF(A211="","",IF(COUNTIF($H$2:$H$300,H211)&gt;1,"Sí",""))</f>
        <v/>
      </c>
      <c r="L211">
        <f>IF(A211="","",IF(COUNTIF($I$2:$I$300,I211)&gt;1,"Sí",""))</f>
        <v/>
      </c>
      <c r="M211">
        <f>IF(A211="","",IF(OR(J211="Sí",K211="Sí",L211="Sí"),"Conflicto","OK"))</f>
        <v/>
      </c>
      <c r="N211">
        <f>IF(J211="Sí",1/COUNTIF($G$2:$G$300,G211),0)</f>
        <v/>
      </c>
      <c r="O211">
        <f>IF(K211="Sí",1/COUNTIF($H$2:$H$300,H211),0)</f>
        <v/>
      </c>
      <c r="P211">
        <f>IF(L211="Sí",1/COUNTIF($I$2:$I$300,I211),0)</f>
        <v/>
      </c>
    </row>
    <row r="212">
      <c r="A212" s="2" t="n"/>
      <c r="B212" s="2" t="n"/>
      <c r="C212" s="2" t="n"/>
      <c r="D212" s="2" t="n"/>
      <c r="E212" s="2" t="n"/>
      <c r="F212" s="2" t="n"/>
      <c r="G212">
        <f>IF(A212="","",A212&amp;"|"&amp;B212&amp;"|"&amp;E212)</f>
        <v/>
      </c>
      <c r="H212">
        <f>IF(A212="","",A212&amp;"|"&amp;B212&amp;"|"&amp;F212)</f>
        <v/>
      </c>
      <c r="I212">
        <f>IF(A212="","",A212&amp;"|"&amp;B212&amp;"|"&amp;C212)</f>
        <v/>
      </c>
      <c r="J212">
        <f>IF(A212="","",IF(COUNTIF($G$2:$G$300,G212)&gt;1,"Sí",""))</f>
        <v/>
      </c>
      <c r="K212">
        <f>IF(A212="","",IF(COUNTIF($H$2:$H$300,H212)&gt;1,"Sí",""))</f>
        <v/>
      </c>
      <c r="L212">
        <f>IF(A212="","",IF(COUNTIF($I$2:$I$300,I212)&gt;1,"Sí",""))</f>
        <v/>
      </c>
      <c r="M212">
        <f>IF(A212="","",IF(OR(J212="Sí",K212="Sí",L212="Sí"),"Conflicto","OK"))</f>
        <v/>
      </c>
      <c r="N212">
        <f>IF(J212="Sí",1/COUNTIF($G$2:$G$300,G212),0)</f>
        <v/>
      </c>
      <c r="O212">
        <f>IF(K212="Sí",1/COUNTIF($H$2:$H$300,H212),0)</f>
        <v/>
      </c>
      <c r="P212">
        <f>IF(L212="Sí",1/COUNTIF($I$2:$I$300,I212),0)</f>
        <v/>
      </c>
    </row>
    <row r="213">
      <c r="A213" s="2" t="n"/>
      <c r="B213" s="2" t="n"/>
      <c r="C213" s="2" t="n"/>
      <c r="D213" s="2" t="n"/>
      <c r="E213" s="2" t="n"/>
      <c r="F213" s="2" t="n"/>
      <c r="G213">
        <f>IF(A213="","",A213&amp;"|"&amp;B213&amp;"|"&amp;E213)</f>
        <v/>
      </c>
      <c r="H213">
        <f>IF(A213="","",A213&amp;"|"&amp;B213&amp;"|"&amp;F213)</f>
        <v/>
      </c>
      <c r="I213">
        <f>IF(A213="","",A213&amp;"|"&amp;B213&amp;"|"&amp;C213)</f>
        <v/>
      </c>
      <c r="J213">
        <f>IF(A213="","",IF(COUNTIF($G$2:$G$300,G213)&gt;1,"Sí",""))</f>
        <v/>
      </c>
      <c r="K213">
        <f>IF(A213="","",IF(COUNTIF($H$2:$H$300,H213)&gt;1,"Sí",""))</f>
        <v/>
      </c>
      <c r="L213">
        <f>IF(A213="","",IF(COUNTIF($I$2:$I$300,I213)&gt;1,"Sí",""))</f>
        <v/>
      </c>
      <c r="M213">
        <f>IF(A213="","",IF(OR(J213="Sí",K213="Sí",L213="Sí"),"Conflicto","OK"))</f>
        <v/>
      </c>
      <c r="N213">
        <f>IF(J213="Sí",1/COUNTIF($G$2:$G$300,G213),0)</f>
        <v/>
      </c>
      <c r="O213">
        <f>IF(K213="Sí",1/COUNTIF($H$2:$H$300,H213),0)</f>
        <v/>
      </c>
      <c r="P213">
        <f>IF(L213="Sí",1/COUNTIF($I$2:$I$300,I213),0)</f>
        <v/>
      </c>
    </row>
    <row r="214">
      <c r="A214" s="2" t="n"/>
      <c r="B214" s="2" t="n"/>
      <c r="C214" s="2" t="n"/>
      <c r="D214" s="2" t="n"/>
      <c r="E214" s="2" t="n"/>
      <c r="F214" s="2" t="n"/>
      <c r="G214">
        <f>IF(A214="","",A214&amp;"|"&amp;B214&amp;"|"&amp;E214)</f>
        <v/>
      </c>
      <c r="H214">
        <f>IF(A214="","",A214&amp;"|"&amp;B214&amp;"|"&amp;F214)</f>
        <v/>
      </c>
      <c r="I214">
        <f>IF(A214="","",A214&amp;"|"&amp;B214&amp;"|"&amp;C214)</f>
        <v/>
      </c>
      <c r="J214">
        <f>IF(A214="","",IF(COUNTIF($G$2:$G$300,G214)&gt;1,"Sí",""))</f>
        <v/>
      </c>
      <c r="K214">
        <f>IF(A214="","",IF(COUNTIF($H$2:$H$300,H214)&gt;1,"Sí",""))</f>
        <v/>
      </c>
      <c r="L214">
        <f>IF(A214="","",IF(COUNTIF($I$2:$I$300,I214)&gt;1,"Sí",""))</f>
        <v/>
      </c>
      <c r="M214">
        <f>IF(A214="","",IF(OR(J214="Sí",K214="Sí",L214="Sí"),"Conflicto","OK"))</f>
        <v/>
      </c>
      <c r="N214">
        <f>IF(J214="Sí",1/COUNTIF($G$2:$G$300,G214),0)</f>
        <v/>
      </c>
      <c r="O214">
        <f>IF(K214="Sí",1/COUNTIF($H$2:$H$300,H214),0)</f>
        <v/>
      </c>
      <c r="P214">
        <f>IF(L214="Sí",1/COUNTIF($I$2:$I$300,I214),0)</f>
        <v/>
      </c>
    </row>
    <row r="215">
      <c r="A215" s="2" t="n"/>
      <c r="B215" s="2" t="n"/>
      <c r="C215" s="2" t="n"/>
      <c r="D215" s="2" t="n"/>
      <c r="E215" s="2" t="n"/>
      <c r="F215" s="2" t="n"/>
      <c r="G215">
        <f>IF(A215="","",A215&amp;"|"&amp;B215&amp;"|"&amp;E215)</f>
        <v/>
      </c>
      <c r="H215">
        <f>IF(A215="","",A215&amp;"|"&amp;B215&amp;"|"&amp;F215)</f>
        <v/>
      </c>
      <c r="I215">
        <f>IF(A215="","",A215&amp;"|"&amp;B215&amp;"|"&amp;C215)</f>
        <v/>
      </c>
      <c r="J215">
        <f>IF(A215="","",IF(COUNTIF($G$2:$G$300,G215)&gt;1,"Sí",""))</f>
        <v/>
      </c>
      <c r="K215">
        <f>IF(A215="","",IF(COUNTIF($H$2:$H$300,H215)&gt;1,"Sí",""))</f>
        <v/>
      </c>
      <c r="L215">
        <f>IF(A215="","",IF(COUNTIF($I$2:$I$300,I215)&gt;1,"Sí",""))</f>
        <v/>
      </c>
      <c r="M215">
        <f>IF(A215="","",IF(OR(J215="Sí",K215="Sí",L215="Sí"),"Conflicto","OK"))</f>
        <v/>
      </c>
      <c r="N215">
        <f>IF(J215="Sí",1/COUNTIF($G$2:$G$300,G215),0)</f>
        <v/>
      </c>
      <c r="O215">
        <f>IF(K215="Sí",1/COUNTIF($H$2:$H$300,H215),0)</f>
        <v/>
      </c>
      <c r="P215">
        <f>IF(L215="Sí",1/COUNTIF($I$2:$I$300,I215),0)</f>
        <v/>
      </c>
    </row>
    <row r="216">
      <c r="A216" s="2" t="n"/>
      <c r="B216" s="2" t="n"/>
      <c r="C216" s="2" t="n"/>
      <c r="D216" s="2" t="n"/>
      <c r="E216" s="2" t="n"/>
      <c r="F216" s="2" t="n"/>
      <c r="G216">
        <f>IF(A216="","",A216&amp;"|"&amp;B216&amp;"|"&amp;E216)</f>
        <v/>
      </c>
      <c r="H216">
        <f>IF(A216="","",A216&amp;"|"&amp;B216&amp;"|"&amp;F216)</f>
        <v/>
      </c>
      <c r="I216">
        <f>IF(A216="","",A216&amp;"|"&amp;B216&amp;"|"&amp;C216)</f>
        <v/>
      </c>
      <c r="J216">
        <f>IF(A216="","",IF(COUNTIF($G$2:$G$300,G216)&gt;1,"Sí",""))</f>
        <v/>
      </c>
      <c r="K216">
        <f>IF(A216="","",IF(COUNTIF($H$2:$H$300,H216)&gt;1,"Sí",""))</f>
        <v/>
      </c>
      <c r="L216">
        <f>IF(A216="","",IF(COUNTIF($I$2:$I$300,I216)&gt;1,"Sí",""))</f>
        <v/>
      </c>
      <c r="M216">
        <f>IF(A216="","",IF(OR(J216="Sí",K216="Sí",L216="Sí"),"Conflicto","OK"))</f>
        <v/>
      </c>
      <c r="N216">
        <f>IF(J216="Sí",1/COUNTIF($G$2:$G$300,G216),0)</f>
        <v/>
      </c>
      <c r="O216">
        <f>IF(K216="Sí",1/COUNTIF($H$2:$H$300,H216),0)</f>
        <v/>
      </c>
      <c r="P216">
        <f>IF(L216="Sí",1/COUNTIF($I$2:$I$300,I216),0)</f>
        <v/>
      </c>
    </row>
    <row r="217">
      <c r="A217" s="2" t="n"/>
      <c r="B217" s="2" t="n"/>
      <c r="C217" s="2" t="n"/>
      <c r="D217" s="2" t="n"/>
      <c r="E217" s="2" t="n"/>
      <c r="F217" s="2" t="n"/>
      <c r="G217">
        <f>IF(A217="","",A217&amp;"|"&amp;B217&amp;"|"&amp;E217)</f>
        <v/>
      </c>
      <c r="H217">
        <f>IF(A217="","",A217&amp;"|"&amp;B217&amp;"|"&amp;F217)</f>
        <v/>
      </c>
      <c r="I217">
        <f>IF(A217="","",A217&amp;"|"&amp;B217&amp;"|"&amp;C217)</f>
        <v/>
      </c>
      <c r="J217">
        <f>IF(A217="","",IF(COUNTIF($G$2:$G$300,G217)&gt;1,"Sí",""))</f>
        <v/>
      </c>
      <c r="K217">
        <f>IF(A217="","",IF(COUNTIF($H$2:$H$300,H217)&gt;1,"Sí",""))</f>
        <v/>
      </c>
      <c r="L217">
        <f>IF(A217="","",IF(COUNTIF($I$2:$I$300,I217)&gt;1,"Sí",""))</f>
        <v/>
      </c>
      <c r="M217">
        <f>IF(A217="","",IF(OR(J217="Sí",K217="Sí",L217="Sí"),"Conflicto","OK"))</f>
        <v/>
      </c>
      <c r="N217">
        <f>IF(J217="Sí",1/COUNTIF($G$2:$G$300,G217),0)</f>
        <v/>
      </c>
      <c r="O217">
        <f>IF(K217="Sí",1/COUNTIF($H$2:$H$300,H217),0)</f>
        <v/>
      </c>
      <c r="P217">
        <f>IF(L217="Sí",1/COUNTIF($I$2:$I$300,I217),0)</f>
        <v/>
      </c>
    </row>
    <row r="218">
      <c r="A218" s="2" t="n"/>
      <c r="B218" s="2" t="n"/>
      <c r="C218" s="2" t="n"/>
      <c r="D218" s="2" t="n"/>
      <c r="E218" s="2" t="n"/>
      <c r="F218" s="2" t="n"/>
      <c r="G218">
        <f>IF(A218="","",A218&amp;"|"&amp;B218&amp;"|"&amp;E218)</f>
        <v/>
      </c>
      <c r="H218">
        <f>IF(A218="","",A218&amp;"|"&amp;B218&amp;"|"&amp;F218)</f>
        <v/>
      </c>
      <c r="I218">
        <f>IF(A218="","",A218&amp;"|"&amp;B218&amp;"|"&amp;C218)</f>
        <v/>
      </c>
      <c r="J218">
        <f>IF(A218="","",IF(COUNTIF($G$2:$G$300,G218)&gt;1,"Sí",""))</f>
        <v/>
      </c>
      <c r="K218">
        <f>IF(A218="","",IF(COUNTIF($H$2:$H$300,H218)&gt;1,"Sí",""))</f>
        <v/>
      </c>
      <c r="L218">
        <f>IF(A218="","",IF(COUNTIF($I$2:$I$300,I218)&gt;1,"Sí",""))</f>
        <v/>
      </c>
      <c r="M218">
        <f>IF(A218="","",IF(OR(J218="Sí",K218="Sí",L218="Sí"),"Conflicto","OK"))</f>
        <v/>
      </c>
      <c r="N218">
        <f>IF(J218="Sí",1/COUNTIF($G$2:$G$300,G218),0)</f>
        <v/>
      </c>
      <c r="O218">
        <f>IF(K218="Sí",1/COUNTIF($H$2:$H$300,H218),0)</f>
        <v/>
      </c>
      <c r="P218">
        <f>IF(L218="Sí",1/COUNTIF($I$2:$I$300,I218),0)</f>
        <v/>
      </c>
    </row>
    <row r="219">
      <c r="A219" s="2" t="n"/>
      <c r="B219" s="2" t="n"/>
      <c r="C219" s="2" t="n"/>
      <c r="D219" s="2" t="n"/>
      <c r="E219" s="2" t="n"/>
      <c r="F219" s="2" t="n"/>
      <c r="G219">
        <f>IF(A219="","",A219&amp;"|"&amp;B219&amp;"|"&amp;E219)</f>
        <v/>
      </c>
      <c r="H219">
        <f>IF(A219="","",A219&amp;"|"&amp;B219&amp;"|"&amp;F219)</f>
        <v/>
      </c>
      <c r="I219">
        <f>IF(A219="","",A219&amp;"|"&amp;B219&amp;"|"&amp;C219)</f>
        <v/>
      </c>
      <c r="J219">
        <f>IF(A219="","",IF(COUNTIF($G$2:$G$300,G219)&gt;1,"Sí",""))</f>
        <v/>
      </c>
      <c r="K219">
        <f>IF(A219="","",IF(COUNTIF($H$2:$H$300,H219)&gt;1,"Sí",""))</f>
        <v/>
      </c>
      <c r="L219">
        <f>IF(A219="","",IF(COUNTIF($I$2:$I$300,I219)&gt;1,"Sí",""))</f>
        <v/>
      </c>
      <c r="M219">
        <f>IF(A219="","",IF(OR(J219="Sí",K219="Sí",L219="Sí"),"Conflicto","OK"))</f>
        <v/>
      </c>
      <c r="N219">
        <f>IF(J219="Sí",1/COUNTIF($G$2:$G$300,G219),0)</f>
        <v/>
      </c>
      <c r="O219">
        <f>IF(K219="Sí",1/COUNTIF($H$2:$H$300,H219),0)</f>
        <v/>
      </c>
      <c r="P219">
        <f>IF(L219="Sí",1/COUNTIF($I$2:$I$300,I219),0)</f>
        <v/>
      </c>
    </row>
    <row r="220">
      <c r="A220" s="2" t="n"/>
      <c r="B220" s="2" t="n"/>
      <c r="C220" s="2" t="n"/>
      <c r="D220" s="2" t="n"/>
      <c r="E220" s="2" t="n"/>
      <c r="F220" s="2" t="n"/>
      <c r="G220">
        <f>IF(A220="","",A220&amp;"|"&amp;B220&amp;"|"&amp;E220)</f>
        <v/>
      </c>
      <c r="H220">
        <f>IF(A220="","",A220&amp;"|"&amp;B220&amp;"|"&amp;F220)</f>
        <v/>
      </c>
      <c r="I220">
        <f>IF(A220="","",A220&amp;"|"&amp;B220&amp;"|"&amp;C220)</f>
        <v/>
      </c>
      <c r="J220">
        <f>IF(A220="","",IF(COUNTIF($G$2:$G$300,G220)&gt;1,"Sí",""))</f>
        <v/>
      </c>
      <c r="K220">
        <f>IF(A220="","",IF(COUNTIF($H$2:$H$300,H220)&gt;1,"Sí",""))</f>
        <v/>
      </c>
      <c r="L220">
        <f>IF(A220="","",IF(COUNTIF($I$2:$I$300,I220)&gt;1,"Sí",""))</f>
        <v/>
      </c>
      <c r="M220">
        <f>IF(A220="","",IF(OR(J220="Sí",K220="Sí",L220="Sí"),"Conflicto","OK"))</f>
        <v/>
      </c>
      <c r="N220">
        <f>IF(J220="Sí",1/COUNTIF($G$2:$G$300,G220),0)</f>
        <v/>
      </c>
      <c r="O220">
        <f>IF(K220="Sí",1/COUNTIF($H$2:$H$300,H220),0)</f>
        <v/>
      </c>
      <c r="P220">
        <f>IF(L220="Sí",1/COUNTIF($I$2:$I$300,I220),0)</f>
        <v/>
      </c>
    </row>
    <row r="221">
      <c r="A221" s="2" t="n"/>
      <c r="B221" s="2" t="n"/>
      <c r="C221" s="2" t="n"/>
      <c r="D221" s="2" t="n"/>
      <c r="E221" s="2" t="n"/>
      <c r="F221" s="2" t="n"/>
      <c r="G221">
        <f>IF(A221="","",A221&amp;"|"&amp;B221&amp;"|"&amp;E221)</f>
        <v/>
      </c>
      <c r="H221">
        <f>IF(A221="","",A221&amp;"|"&amp;B221&amp;"|"&amp;F221)</f>
        <v/>
      </c>
      <c r="I221">
        <f>IF(A221="","",A221&amp;"|"&amp;B221&amp;"|"&amp;C221)</f>
        <v/>
      </c>
      <c r="J221">
        <f>IF(A221="","",IF(COUNTIF($G$2:$G$300,G221)&gt;1,"Sí",""))</f>
        <v/>
      </c>
      <c r="K221">
        <f>IF(A221="","",IF(COUNTIF($H$2:$H$300,H221)&gt;1,"Sí",""))</f>
        <v/>
      </c>
      <c r="L221">
        <f>IF(A221="","",IF(COUNTIF($I$2:$I$300,I221)&gt;1,"Sí",""))</f>
        <v/>
      </c>
      <c r="M221">
        <f>IF(A221="","",IF(OR(J221="Sí",K221="Sí",L221="Sí"),"Conflicto","OK"))</f>
        <v/>
      </c>
      <c r="N221">
        <f>IF(J221="Sí",1/COUNTIF($G$2:$G$300,G221),0)</f>
        <v/>
      </c>
      <c r="O221">
        <f>IF(K221="Sí",1/COUNTIF($H$2:$H$300,H221),0)</f>
        <v/>
      </c>
      <c r="P221">
        <f>IF(L221="Sí",1/COUNTIF($I$2:$I$300,I221),0)</f>
        <v/>
      </c>
    </row>
    <row r="222">
      <c r="A222" s="2" t="n"/>
      <c r="B222" s="2" t="n"/>
      <c r="C222" s="2" t="n"/>
      <c r="D222" s="2" t="n"/>
      <c r="E222" s="2" t="n"/>
      <c r="F222" s="2" t="n"/>
      <c r="G222">
        <f>IF(A222="","",A222&amp;"|"&amp;B222&amp;"|"&amp;E222)</f>
        <v/>
      </c>
      <c r="H222">
        <f>IF(A222="","",A222&amp;"|"&amp;B222&amp;"|"&amp;F222)</f>
        <v/>
      </c>
      <c r="I222">
        <f>IF(A222="","",A222&amp;"|"&amp;B222&amp;"|"&amp;C222)</f>
        <v/>
      </c>
      <c r="J222">
        <f>IF(A222="","",IF(COUNTIF($G$2:$G$300,G222)&gt;1,"Sí",""))</f>
        <v/>
      </c>
      <c r="K222">
        <f>IF(A222="","",IF(COUNTIF($H$2:$H$300,H222)&gt;1,"Sí",""))</f>
        <v/>
      </c>
      <c r="L222">
        <f>IF(A222="","",IF(COUNTIF($I$2:$I$300,I222)&gt;1,"Sí",""))</f>
        <v/>
      </c>
      <c r="M222">
        <f>IF(A222="","",IF(OR(J222="Sí",K222="Sí",L222="Sí"),"Conflicto","OK"))</f>
        <v/>
      </c>
      <c r="N222">
        <f>IF(J222="Sí",1/COUNTIF($G$2:$G$300,G222),0)</f>
        <v/>
      </c>
      <c r="O222">
        <f>IF(K222="Sí",1/COUNTIF($H$2:$H$300,H222),0)</f>
        <v/>
      </c>
      <c r="P222">
        <f>IF(L222="Sí",1/COUNTIF($I$2:$I$300,I222),0)</f>
        <v/>
      </c>
    </row>
    <row r="223">
      <c r="A223" s="2" t="n"/>
      <c r="B223" s="2" t="n"/>
      <c r="C223" s="2" t="n"/>
      <c r="D223" s="2" t="n"/>
      <c r="E223" s="2" t="n"/>
      <c r="F223" s="2" t="n"/>
      <c r="G223">
        <f>IF(A223="","",A223&amp;"|"&amp;B223&amp;"|"&amp;E223)</f>
        <v/>
      </c>
      <c r="H223">
        <f>IF(A223="","",A223&amp;"|"&amp;B223&amp;"|"&amp;F223)</f>
        <v/>
      </c>
      <c r="I223">
        <f>IF(A223="","",A223&amp;"|"&amp;B223&amp;"|"&amp;C223)</f>
        <v/>
      </c>
      <c r="J223">
        <f>IF(A223="","",IF(COUNTIF($G$2:$G$300,G223)&gt;1,"Sí",""))</f>
        <v/>
      </c>
      <c r="K223">
        <f>IF(A223="","",IF(COUNTIF($H$2:$H$300,H223)&gt;1,"Sí",""))</f>
        <v/>
      </c>
      <c r="L223">
        <f>IF(A223="","",IF(COUNTIF($I$2:$I$300,I223)&gt;1,"Sí",""))</f>
        <v/>
      </c>
      <c r="M223">
        <f>IF(A223="","",IF(OR(J223="Sí",K223="Sí",L223="Sí"),"Conflicto","OK"))</f>
        <v/>
      </c>
      <c r="N223">
        <f>IF(J223="Sí",1/COUNTIF($G$2:$G$300,G223),0)</f>
        <v/>
      </c>
      <c r="O223">
        <f>IF(K223="Sí",1/COUNTIF($H$2:$H$300,H223),0)</f>
        <v/>
      </c>
      <c r="P223">
        <f>IF(L223="Sí",1/COUNTIF($I$2:$I$300,I223),0)</f>
        <v/>
      </c>
    </row>
    <row r="224">
      <c r="A224" s="2" t="n"/>
      <c r="B224" s="2" t="n"/>
      <c r="C224" s="2" t="n"/>
      <c r="D224" s="2" t="n"/>
      <c r="E224" s="2" t="n"/>
      <c r="F224" s="2" t="n"/>
      <c r="G224">
        <f>IF(A224="","",A224&amp;"|"&amp;B224&amp;"|"&amp;E224)</f>
        <v/>
      </c>
      <c r="H224">
        <f>IF(A224="","",A224&amp;"|"&amp;B224&amp;"|"&amp;F224)</f>
        <v/>
      </c>
      <c r="I224">
        <f>IF(A224="","",A224&amp;"|"&amp;B224&amp;"|"&amp;C224)</f>
        <v/>
      </c>
      <c r="J224">
        <f>IF(A224="","",IF(COUNTIF($G$2:$G$300,G224)&gt;1,"Sí",""))</f>
        <v/>
      </c>
      <c r="K224">
        <f>IF(A224="","",IF(COUNTIF($H$2:$H$300,H224)&gt;1,"Sí",""))</f>
        <v/>
      </c>
      <c r="L224">
        <f>IF(A224="","",IF(COUNTIF($I$2:$I$300,I224)&gt;1,"Sí",""))</f>
        <v/>
      </c>
      <c r="M224">
        <f>IF(A224="","",IF(OR(J224="Sí",K224="Sí",L224="Sí"),"Conflicto","OK"))</f>
        <v/>
      </c>
      <c r="N224">
        <f>IF(J224="Sí",1/COUNTIF($G$2:$G$300,G224),0)</f>
        <v/>
      </c>
      <c r="O224">
        <f>IF(K224="Sí",1/COUNTIF($H$2:$H$300,H224),0)</f>
        <v/>
      </c>
      <c r="P224">
        <f>IF(L224="Sí",1/COUNTIF($I$2:$I$300,I224),0)</f>
        <v/>
      </c>
    </row>
    <row r="225">
      <c r="A225" s="2" t="n"/>
      <c r="B225" s="2" t="n"/>
      <c r="C225" s="2" t="n"/>
      <c r="D225" s="2" t="n"/>
      <c r="E225" s="2" t="n"/>
      <c r="F225" s="2" t="n"/>
      <c r="G225">
        <f>IF(A225="","",A225&amp;"|"&amp;B225&amp;"|"&amp;E225)</f>
        <v/>
      </c>
      <c r="H225">
        <f>IF(A225="","",A225&amp;"|"&amp;B225&amp;"|"&amp;F225)</f>
        <v/>
      </c>
      <c r="I225">
        <f>IF(A225="","",A225&amp;"|"&amp;B225&amp;"|"&amp;C225)</f>
        <v/>
      </c>
      <c r="J225">
        <f>IF(A225="","",IF(COUNTIF($G$2:$G$300,G225)&gt;1,"Sí",""))</f>
        <v/>
      </c>
      <c r="K225">
        <f>IF(A225="","",IF(COUNTIF($H$2:$H$300,H225)&gt;1,"Sí",""))</f>
        <v/>
      </c>
      <c r="L225">
        <f>IF(A225="","",IF(COUNTIF($I$2:$I$300,I225)&gt;1,"Sí",""))</f>
        <v/>
      </c>
      <c r="M225">
        <f>IF(A225="","",IF(OR(J225="Sí",K225="Sí",L225="Sí"),"Conflicto","OK"))</f>
        <v/>
      </c>
      <c r="N225">
        <f>IF(J225="Sí",1/COUNTIF($G$2:$G$300,G225),0)</f>
        <v/>
      </c>
      <c r="O225">
        <f>IF(K225="Sí",1/COUNTIF($H$2:$H$300,H225),0)</f>
        <v/>
      </c>
      <c r="P225">
        <f>IF(L225="Sí",1/COUNTIF($I$2:$I$300,I225),0)</f>
        <v/>
      </c>
    </row>
    <row r="226">
      <c r="A226" s="2" t="n"/>
      <c r="B226" s="2" t="n"/>
      <c r="C226" s="2" t="n"/>
      <c r="D226" s="2" t="n"/>
      <c r="E226" s="2" t="n"/>
      <c r="F226" s="2" t="n"/>
      <c r="G226">
        <f>IF(A226="","",A226&amp;"|"&amp;B226&amp;"|"&amp;E226)</f>
        <v/>
      </c>
      <c r="H226">
        <f>IF(A226="","",A226&amp;"|"&amp;B226&amp;"|"&amp;F226)</f>
        <v/>
      </c>
      <c r="I226">
        <f>IF(A226="","",A226&amp;"|"&amp;B226&amp;"|"&amp;C226)</f>
        <v/>
      </c>
      <c r="J226">
        <f>IF(A226="","",IF(COUNTIF($G$2:$G$300,G226)&gt;1,"Sí",""))</f>
        <v/>
      </c>
      <c r="K226">
        <f>IF(A226="","",IF(COUNTIF($H$2:$H$300,H226)&gt;1,"Sí",""))</f>
        <v/>
      </c>
      <c r="L226">
        <f>IF(A226="","",IF(COUNTIF($I$2:$I$300,I226)&gt;1,"Sí",""))</f>
        <v/>
      </c>
      <c r="M226">
        <f>IF(A226="","",IF(OR(J226="Sí",K226="Sí",L226="Sí"),"Conflicto","OK"))</f>
        <v/>
      </c>
      <c r="N226">
        <f>IF(J226="Sí",1/COUNTIF($G$2:$G$300,G226),0)</f>
        <v/>
      </c>
      <c r="O226">
        <f>IF(K226="Sí",1/COUNTIF($H$2:$H$300,H226),0)</f>
        <v/>
      </c>
      <c r="P226">
        <f>IF(L226="Sí",1/COUNTIF($I$2:$I$300,I226),0)</f>
        <v/>
      </c>
    </row>
    <row r="227">
      <c r="A227" s="2" t="n"/>
      <c r="B227" s="2" t="n"/>
      <c r="C227" s="2" t="n"/>
      <c r="D227" s="2" t="n"/>
      <c r="E227" s="2" t="n"/>
      <c r="F227" s="2" t="n"/>
      <c r="G227">
        <f>IF(A227="","",A227&amp;"|"&amp;B227&amp;"|"&amp;E227)</f>
        <v/>
      </c>
      <c r="H227">
        <f>IF(A227="","",A227&amp;"|"&amp;B227&amp;"|"&amp;F227)</f>
        <v/>
      </c>
      <c r="I227">
        <f>IF(A227="","",A227&amp;"|"&amp;B227&amp;"|"&amp;C227)</f>
        <v/>
      </c>
      <c r="J227">
        <f>IF(A227="","",IF(COUNTIF($G$2:$G$300,G227)&gt;1,"Sí",""))</f>
        <v/>
      </c>
      <c r="K227">
        <f>IF(A227="","",IF(COUNTIF($H$2:$H$300,H227)&gt;1,"Sí",""))</f>
        <v/>
      </c>
      <c r="L227">
        <f>IF(A227="","",IF(COUNTIF($I$2:$I$300,I227)&gt;1,"Sí",""))</f>
        <v/>
      </c>
      <c r="M227">
        <f>IF(A227="","",IF(OR(J227="Sí",K227="Sí",L227="Sí"),"Conflicto","OK"))</f>
        <v/>
      </c>
      <c r="N227">
        <f>IF(J227="Sí",1/COUNTIF($G$2:$G$300,G227),0)</f>
        <v/>
      </c>
      <c r="O227">
        <f>IF(K227="Sí",1/COUNTIF($H$2:$H$300,H227),0)</f>
        <v/>
      </c>
      <c r="P227">
        <f>IF(L227="Sí",1/COUNTIF($I$2:$I$300,I227),0)</f>
        <v/>
      </c>
    </row>
    <row r="228">
      <c r="A228" s="2" t="n"/>
      <c r="B228" s="2" t="n"/>
      <c r="C228" s="2" t="n"/>
      <c r="D228" s="2" t="n"/>
      <c r="E228" s="2" t="n"/>
      <c r="F228" s="2" t="n"/>
      <c r="G228">
        <f>IF(A228="","",A228&amp;"|"&amp;B228&amp;"|"&amp;E228)</f>
        <v/>
      </c>
      <c r="H228">
        <f>IF(A228="","",A228&amp;"|"&amp;B228&amp;"|"&amp;F228)</f>
        <v/>
      </c>
      <c r="I228">
        <f>IF(A228="","",A228&amp;"|"&amp;B228&amp;"|"&amp;C228)</f>
        <v/>
      </c>
      <c r="J228">
        <f>IF(A228="","",IF(COUNTIF($G$2:$G$300,G228)&gt;1,"Sí",""))</f>
        <v/>
      </c>
      <c r="K228">
        <f>IF(A228="","",IF(COUNTIF($H$2:$H$300,H228)&gt;1,"Sí",""))</f>
        <v/>
      </c>
      <c r="L228">
        <f>IF(A228="","",IF(COUNTIF($I$2:$I$300,I228)&gt;1,"Sí",""))</f>
        <v/>
      </c>
      <c r="M228">
        <f>IF(A228="","",IF(OR(J228="Sí",K228="Sí",L228="Sí"),"Conflicto","OK"))</f>
        <v/>
      </c>
      <c r="N228">
        <f>IF(J228="Sí",1/COUNTIF($G$2:$G$300,G228),0)</f>
        <v/>
      </c>
      <c r="O228">
        <f>IF(K228="Sí",1/COUNTIF($H$2:$H$300,H228),0)</f>
        <v/>
      </c>
      <c r="P228">
        <f>IF(L228="Sí",1/COUNTIF($I$2:$I$300,I228),0)</f>
        <v/>
      </c>
    </row>
    <row r="229">
      <c r="A229" s="2" t="n"/>
      <c r="B229" s="2" t="n"/>
      <c r="C229" s="2" t="n"/>
      <c r="D229" s="2" t="n"/>
      <c r="E229" s="2" t="n"/>
      <c r="F229" s="2" t="n"/>
      <c r="G229">
        <f>IF(A229="","",A229&amp;"|"&amp;B229&amp;"|"&amp;E229)</f>
        <v/>
      </c>
      <c r="H229">
        <f>IF(A229="","",A229&amp;"|"&amp;B229&amp;"|"&amp;F229)</f>
        <v/>
      </c>
      <c r="I229">
        <f>IF(A229="","",A229&amp;"|"&amp;B229&amp;"|"&amp;C229)</f>
        <v/>
      </c>
      <c r="J229">
        <f>IF(A229="","",IF(COUNTIF($G$2:$G$300,G229)&gt;1,"Sí",""))</f>
        <v/>
      </c>
      <c r="K229">
        <f>IF(A229="","",IF(COUNTIF($H$2:$H$300,H229)&gt;1,"Sí",""))</f>
        <v/>
      </c>
      <c r="L229">
        <f>IF(A229="","",IF(COUNTIF($I$2:$I$300,I229)&gt;1,"Sí",""))</f>
        <v/>
      </c>
      <c r="M229">
        <f>IF(A229="","",IF(OR(J229="Sí",K229="Sí",L229="Sí"),"Conflicto","OK"))</f>
        <v/>
      </c>
      <c r="N229">
        <f>IF(J229="Sí",1/COUNTIF($G$2:$G$300,G229),0)</f>
        <v/>
      </c>
      <c r="O229">
        <f>IF(K229="Sí",1/COUNTIF($H$2:$H$300,H229),0)</f>
        <v/>
      </c>
      <c r="P229">
        <f>IF(L229="Sí",1/COUNTIF($I$2:$I$300,I229),0)</f>
        <v/>
      </c>
    </row>
    <row r="230">
      <c r="A230" s="2" t="n"/>
      <c r="B230" s="2" t="n"/>
      <c r="C230" s="2" t="n"/>
      <c r="D230" s="2" t="n"/>
      <c r="E230" s="2" t="n"/>
      <c r="F230" s="2" t="n"/>
      <c r="G230">
        <f>IF(A230="","",A230&amp;"|"&amp;B230&amp;"|"&amp;E230)</f>
        <v/>
      </c>
      <c r="H230">
        <f>IF(A230="","",A230&amp;"|"&amp;B230&amp;"|"&amp;F230)</f>
        <v/>
      </c>
      <c r="I230">
        <f>IF(A230="","",A230&amp;"|"&amp;B230&amp;"|"&amp;C230)</f>
        <v/>
      </c>
      <c r="J230">
        <f>IF(A230="","",IF(COUNTIF($G$2:$G$300,G230)&gt;1,"Sí",""))</f>
        <v/>
      </c>
      <c r="K230">
        <f>IF(A230="","",IF(COUNTIF($H$2:$H$300,H230)&gt;1,"Sí",""))</f>
        <v/>
      </c>
      <c r="L230">
        <f>IF(A230="","",IF(COUNTIF($I$2:$I$300,I230)&gt;1,"Sí",""))</f>
        <v/>
      </c>
      <c r="M230">
        <f>IF(A230="","",IF(OR(J230="Sí",K230="Sí",L230="Sí"),"Conflicto","OK"))</f>
        <v/>
      </c>
      <c r="N230">
        <f>IF(J230="Sí",1/COUNTIF($G$2:$G$300,G230),0)</f>
        <v/>
      </c>
      <c r="O230">
        <f>IF(K230="Sí",1/COUNTIF($H$2:$H$300,H230),0)</f>
        <v/>
      </c>
      <c r="P230">
        <f>IF(L230="Sí",1/COUNTIF($I$2:$I$300,I230),0)</f>
        <v/>
      </c>
    </row>
    <row r="231">
      <c r="A231" s="2" t="n"/>
      <c r="B231" s="2" t="n"/>
      <c r="C231" s="2" t="n"/>
      <c r="D231" s="2" t="n"/>
      <c r="E231" s="2" t="n"/>
      <c r="F231" s="2" t="n"/>
      <c r="G231">
        <f>IF(A231="","",A231&amp;"|"&amp;B231&amp;"|"&amp;E231)</f>
        <v/>
      </c>
      <c r="H231">
        <f>IF(A231="","",A231&amp;"|"&amp;B231&amp;"|"&amp;F231)</f>
        <v/>
      </c>
      <c r="I231">
        <f>IF(A231="","",A231&amp;"|"&amp;B231&amp;"|"&amp;C231)</f>
        <v/>
      </c>
      <c r="J231">
        <f>IF(A231="","",IF(COUNTIF($G$2:$G$300,G231)&gt;1,"Sí",""))</f>
        <v/>
      </c>
      <c r="K231">
        <f>IF(A231="","",IF(COUNTIF($H$2:$H$300,H231)&gt;1,"Sí",""))</f>
        <v/>
      </c>
      <c r="L231">
        <f>IF(A231="","",IF(COUNTIF($I$2:$I$300,I231)&gt;1,"Sí",""))</f>
        <v/>
      </c>
      <c r="M231">
        <f>IF(A231="","",IF(OR(J231="Sí",K231="Sí",L231="Sí"),"Conflicto","OK"))</f>
        <v/>
      </c>
      <c r="N231">
        <f>IF(J231="Sí",1/COUNTIF($G$2:$G$300,G231),0)</f>
        <v/>
      </c>
      <c r="O231">
        <f>IF(K231="Sí",1/COUNTIF($H$2:$H$300,H231),0)</f>
        <v/>
      </c>
      <c r="P231">
        <f>IF(L231="Sí",1/COUNTIF($I$2:$I$300,I231),0)</f>
        <v/>
      </c>
    </row>
    <row r="232">
      <c r="A232" s="2" t="n"/>
      <c r="B232" s="2" t="n"/>
      <c r="C232" s="2" t="n"/>
      <c r="D232" s="2" t="n"/>
      <c r="E232" s="2" t="n"/>
      <c r="F232" s="2" t="n"/>
      <c r="G232">
        <f>IF(A232="","",A232&amp;"|"&amp;B232&amp;"|"&amp;E232)</f>
        <v/>
      </c>
      <c r="H232">
        <f>IF(A232="","",A232&amp;"|"&amp;B232&amp;"|"&amp;F232)</f>
        <v/>
      </c>
      <c r="I232">
        <f>IF(A232="","",A232&amp;"|"&amp;B232&amp;"|"&amp;C232)</f>
        <v/>
      </c>
      <c r="J232">
        <f>IF(A232="","",IF(COUNTIF($G$2:$G$300,G232)&gt;1,"Sí",""))</f>
        <v/>
      </c>
      <c r="K232">
        <f>IF(A232="","",IF(COUNTIF($H$2:$H$300,H232)&gt;1,"Sí",""))</f>
        <v/>
      </c>
      <c r="L232">
        <f>IF(A232="","",IF(COUNTIF($I$2:$I$300,I232)&gt;1,"Sí",""))</f>
        <v/>
      </c>
      <c r="M232">
        <f>IF(A232="","",IF(OR(J232="Sí",K232="Sí",L232="Sí"),"Conflicto","OK"))</f>
        <v/>
      </c>
      <c r="N232">
        <f>IF(J232="Sí",1/COUNTIF($G$2:$G$300,G232),0)</f>
        <v/>
      </c>
      <c r="O232">
        <f>IF(K232="Sí",1/COUNTIF($H$2:$H$300,H232),0)</f>
        <v/>
      </c>
      <c r="P232">
        <f>IF(L232="Sí",1/COUNTIF($I$2:$I$300,I232),0)</f>
        <v/>
      </c>
    </row>
    <row r="233">
      <c r="A233" s="2" t="n"/>
      <c r="B233" s="2" t="n"/>
      <c r="C233" s="2" t="n"/>
      <c r="D233" s="2" t="n"/>
      <c r="E233" s="2" t="n"/>
      <c r="F233" s="2" t="n"/>
      <c r="G233">
        <f>IF(A233="","",A233&amp;"|"&amp;B233&amp;"|"&amp;E233)</f>
        <v/>
      </c>
      <c r="H233">
        <f>IF(A233="","",A233&amp;"|"&amp;B233&amp;"|"&amp;F233)</f>
        <v/>
      </c>
      <c r="I233">
        <f>IF(A233="","",A233&amp;"|"&amp;B233&amp;"|"&amp;C233)</f>
        <v/>
      </c>
      <c r="J233">
        <f>IF(A233="","",IF(COUNTIF($G$2:$G$300,G233)&gt;1,"Sí",""))</f>
        <v/>
      </c>
      <c r="K233">
        <f>IF(A233="","",IF(COUNTIF($H$2:$H$300,H233)&gt;1,"Sí",""))</f>
        <v/>
      </c>
      <c r="L233">
        <f>IF(A233="","",IF(COUNTIF($I$2:$I$300,I233)&gt;1,"Sí",""))</f>
        <v/>
      </c>
      <c r="M233">
        <f>IF(A233="","",IF(OR(J233="Sí",K233="Sí",L233="Sí"),"Conflicto","OK"))</f>
        <v/>
      </c>
      <c r="N233">
        <f>IF(J233="Sí",1/COUNTIF($G$2:$G$300,G233),0)</f>
        <v/>
      </c>
      <c r="O233">
        <f>IF(K233="Sí",1/COUNTIF($H$2:$H$300,H233),0)</f>
        <v/>
      </c>
      <c r="P233">
        <f>IF(L233="Sí",1/COUNTIF($I$2:$I$300,I233),0)</f>
        <v/>
      </c>
    </row>
    <row r="234">
      <c r="A234" s="2" t="n"/>
      <c r="B234" s="2" t="n"/>
      <c r="C234" s="2" t="n"/>
      <c r="D234" s="2" t="n"/>
      <c r="E234" s="2" t="n"/>
      <c r="F234" s="2" t="n"/>
      <c r="G234">
        <f>IF(A234="","",A234&amp;"|"&amp;B234&amp;"|"&amp;E234)</f>
        <v/>
      </c>
      <c r="H234">
        <f>IF(A234="","",A234&amp;"|"&amp;B234&amp;"|"&amp;F234)</f>
        <v/>
      </c>
      <c r="I234">
        <f>IF(A234="","",A234&amp;"|"&amp;B234&amp;"|"&amp;C234)</f>
        <v/>
      </c>
      <c r="J234">
        <f>IF(A234="","",IF(COUNTIF($G$2:$G$300,G234)&gt;1,"Sí",""))</f>
        <v/>
      </c>
      <c r="K234">
        <f>IF(A234="","",IF(COUNTIF($H$2:$H$300,H234)&gt;1,"Sí",""))</f>
        <v/>
      </c>
      <c r="L234">
        <f>IF(A234="","",IF(COUNTIF($I$2:$I$300,I234)&gt;1,"Sí",""))</f>
        <v/>
      </c>
      <c r="M234">
        <f>IF(A234="","",IF(OR(J234="Sí",K234="Sí",L234="Sí"),"Conflicto","OK"))</f>
        <v/>
      </c>
      <c r="N234">
        <f>IF(J234="Sí",1/COUNTIF($G$2:$G$300,G234),0)</f>
        <v/>
      </c>
      <c r="O234">
        <f>IF(K234="Sí",1/COUNTIF($H$2:$H$300,H234),0)</f>
        <v/>
      </c>
      <c r="P234">
        <f>IF(L234="Sí",1/COUNTIF($I$2:$I$300,I234),0)</f>
        <v/>
      </c>
    </row>
    <row r="235">
      <c r="A235" s="2" t="n"/>
      <c r="B235" s="2" t="n"/>
      <c r="C235" s="2" t="n"/>
      <c r="D235" s="2" t="n"/>
      <c r="E235" s="2" t="n"/>
      <c r="F235" s="2" t="n"/>
      <c r="G235">
        <f>IF(A235="","",A235&amp;"|"&amp;B235&amp;"|"&amp;E235)</f>
        <v/>
      </c>
      <c r="H235">
        <f>IF(A235="","",A235&amp;"|"&amp;B235&amp;"|"&amp;F235)</f>
        <v/>
      </c>
      <c r="I235">
        <f>IF(A235="","",A235&amp;"|"&amp;B235&amp;"|"&amp;C235)</f>
        <v/>
      </c>
      <c r="J235">
        <f>IF(A235="","",IF(COUNTIF($G$2:$G$300,G235)&gt;1,"Sí",""))</f>
        <v/>
      </c>
      <c r="K235">
        <f>IF(A235="","",IF(COUNTIF($H$2:$H$300,H235)&gt;1,"Sí",""))</f>
        <v/>
      </c>
      <c r="L235">
        <f>IF(A235="","",IF(COUNTIF($I$2:$I$300,I235)&gt;1,"Sí",""))</f>
        <v/>
      </c>
      <c r="M235">
        <f>IF(A235="","",IF(OR(J235="Sí",K235="Sí",L235="Sí"),"Conflicto","OK"))</f>
        <v/>
      </c>
      <c r="N235">
        <f>IF(J235="Sí",1/COUNTIF($G$2:$G$300,G235),0)</f>
        <v/>
      </c>
      <c r="O235">
        <f>IF(K235="Sí",1/COUNTIF($H$2:$H$300,H235),0)</f>
        <v/>
      </c>
      <c r="P235">
        <f>IF(L235="Sí",1/COUNTIF($I$2:$I$300,I235),0)</f>
        <v/>
      </c>
    </row>
    <row r="236">
      <c r="A236" s="2" t="n"/>
      <c r="B236" s="2" t="n"/>
      <c r="C236" s="2" t="n"/>
      <c r="D236" s="2" t="n"/>
      <c r="E236" s="2" t="n"/>
      <c r="F236" s="2" t="n"/>
      <c r="G236">
        <f>IF(A236="","",A236&amp;"|"&amp;B236&amp;"|"&amp;E236)</f>
        <v/>
      </c>
      <c r="H236">
        <f>IF(A236="","",A236&amp;"|"&amp;B236&amp;"|"&amp;F236)</f>
        <v/>
      </c>
      <c r="I236">
        <f>IF(A236="","",A236&amp;"|"&amp;B236&amp;"|"&amp;C236)</f>
        <v/>
      </c>
      <c r="J236">
        <f>IF(A236="","",IF(COUNTIF($G$2:$G$300,G236)&gt;1,"Sí",""))</f>
        <v/>
      </c>
      <c r="K236">
        <f>IF(A236="","",IF(COUNTIF($H$2:$H$300,H236)&gt;1,"Sí",""))</f>
        <v/>
      </c>
      <c r="L236">
        <f>IF(A236="","",IF(COUNTIF($I$2:$I$300,I236)&gt;1,"Sí",""))</f>
        <v/>
      </c>
      <c r="M236">
        <f>IF(A236="","",IF(OR(J236="Sí",K236="Sí",L236="Sí"),"Conflicto","OK"))</f>
        <v/>
      </c>
      <c r="N236">
        <f>IF(J236="Sí",1/COUNTIF($G$2:$G$300,G236),0)</f>
        <v/>
      </c>
      <c r="O236">
        <f>IF(K236="Sí",1/COUNTIF($H$2:$H$300,H236),0)</f>
        <v/>
      </c>
      <c r="P236">
        <f>IF(L236="Sí",1/COUNTIF($I$2:$I$300,I236),0)</f>
        <v/>
      </c>
    </row>
    <row r="237">
      <c r="A237" s="2" t="n"/>
      <c r="B237" s="2" t="n"/>
      <c r="C237" s="2" t="n"/>
      <c r="D237" s="2" t="n"/>
      <c r="E237" s="2" t="n"/>
      <c r="F237" s="2" t="n"/>
      <c r="G237">
        <f>IF(A237="","",A237&amp;"|"&amp;B237&amp;"|"&amp;E237)</f>
        <v/>
      </c>
      <c r="H237">
        <f>IF(A237="","",A237&amp;"|"&amp;B237&amp;"|"&amp;F237)</f>
        <v/>
      </c>
      <c r="I237">
        <f>IF(A237="","",A237&amp;"|"&amp;B237&amp;"|"&amp;C237)</f>
        <v/>
      </c>
      <c r="J237">
        <f>IF(A237="","",IF(COUNTIF($G$2:$G$300,G237)&gt;1,"Sí",""))</f>
        <v/>
      </c>
      <c r="K237">
        <f>IF(A237="","",IF(COUNTIF($H$2:$H$300,H237)&gt;1,"Sí",""))</f>
        <v/>
      </c>
      <c r="L237">
        <f>IF(A237="","",IF(COUNTIF($I$2:$I$300,I237)&gt;1,"Sí",""))</f>
        <v/>
      </c>
      <c r="M237">
        <f>IF(A237="","",IF(OR(J237="Sí",K237="Sí",L237="Sí"),"Conflicto","OK"))</f>
        <v/>
      </c>
      <c r="N237">
        <f>IF(J237="Sí",1/COUNTIF($G$2:$G$300,G237),0)</f>
        <v/>
      </c>
      <c r="O237">
        <f>IF(K237="Sí",1/COUNTIF($H$2:$H$300,H237),0)</f>
        <v/>
      </c>
      <c r="P237">
        <f>IF(L237="Sí",1/COUNTIF($I$2:$I$300,I237),0)</f>
        <v/>
      </c>
    </row>
    <row r="238">
      <c r="A238" s="2" t="n"/>
      <c r="B238" s="2" t="n"/>
      <c r="C238" s="2" t="n"/>
      <c r="D238" s="2" t="n"/>
      <c r="E238" s="2" t="n"/>
      <c r="F238" s="2" t="n"/>
      <c r="G238">
        <f>IF(A238="","",A238&amp;"|"&amp;B238&amp;"|"&amp;E238)</f>
        <v/>
      </c>
      <c r="H238">
        <f>IF(A238="","",A238&amp;"|"&amp;B238&amp;"|"&amp;F238)</f>
        <v/>
      </c>
      <c r="I238">
        <f>IF(A238="","",A238&amp;"|"&amp;B238&amp;"|"&amp;C238)</f>
        <v/>
      </c>
      <c r="J238">
        <f>IF(A238="","",IF(COUNTIF($G$2:$G$300,G238)&gt;1,"Sí",""))</f>
        <v/>
      </c>
      <c r="K238">
        <f>IF(A238="","",IF(COUNTIF($H$2:$H$300,H238)&gt;1,"Sí",""))</f>
        <v/>
      </c>
      <c r="L238">
        <f>IF(A238="","",IF(COUNTIF($I$2:$I$300,I238)&gt;1,"Sí",""))</f>
        <v/>
      </c>
      <c r="M238">
        <f>IF(A238="","",IF(OR(J238="Sí",K238="Sí",L238="Sí"),"Conflicto","OK"))</f>
        <v/>
      </c>
      <c r="N238">
        <f>IF(J238="Sí",1/COUNTIF($G$2:$G$300,G238),0)</f>
        <v/>
      </c>
      <c r="O238">
        <f>IF(K238="Sí",1/COUNTIF($H$2:$H$300,H238),0)</f>
        <v/>
      </c>
      <c r="P238">
        <f>IF(L238="Sí",1/COUNTIF($I$2:$I$300,I238),0)</f>
        <v/>
      </c>
    </row>
    <row r="239">
      <c r="A239" s="2" t="n"/>
      <c r="B239" s="2" t="n"/>
      <c r="C239" s="2" t="n"/>
      <c r="D239" s="2" t="n"/>
      <c r="E239" s="2" t="n"/>
      <c r="F239" s="2" t="n"/>
      <c r="G239">
        <f>IF(A239="","",A239&amp;"|"&amp;B239&amp;"|"&amp;E239)</f>
        <v/>
      </c>
      <c r="H239">
        <f>IF(A239="","",A239&amp;"|"&amp;B239&amp;"|"&amp;F239)</f>
        <v/>
      </c>
      <c r="I239">
        <f>IF(A239="","",A239&amp;"|"&amp;B239&amp;"|"&amp;C239)</f>
        <v/>
      </c>
      <c r="J239">
        <f>IF(A239="","",IF(COUNTIF($G$2:$G$300,G239)&gt;1,"Sí",""))</f>
        <v/>
      </c>
      <c r="K239">
        <f>IF(A239="","",IF(COUNTIF($H$2:$H$300,H239)&gt;1,"Sí",""))</f>
        <v/>
      </c>
      <c r="L239">
        <f>IF(A239="","",IF(COUNTIF($I$2:$I$300,I239)&gt;1,"Sí",""))</f>
        <v/>
      </c>
      <c r="M239">
        <f>IF(A239="","",IF(OR(J239="Sí",K239="Sí",L239="Sí"),"Conflicto","OK"))</f>
        <v/>
      </c>
      <c r="N239">
        <f>IF(J239="Sí",1/COUNTIF($G$2:$G$300,G239),0)</f>
        <v/>
      </c>
      <c r="O239">
        <f>IF(K239="Sí",1/COUNTIF($H$2:$H$300,H239),0)</f>
        <v/>
      </c>
      <c r="P239">
        <f>IF(L239="Sí",1/COUNTIF($I$2:$I$300,I239),0)</f>
        <v/>
      </c>
    </row>
    <row r="240">
      <c r="A240" s="2" t="n"/>
      <c r="B240" s="2" t="n"/>
      <c r="C240" s="2" t="n"/>
      <c r="D240" s="2" t="n"/>
      <c r="E240" s="2" t="n"/>
      <c r="F240" s="2" t="n"/>
      <c r="G240">
        <f>IF(A240="","",A240&amp;"|"&amp;B240&amp;"|"&amp;E240)</f>
        <v/>
      </c>
      <c r="H240">
        <f>IF(A240="","",A240&amp;"|"&amp;B240&amp;"|"&amp;F240)</f>
        <v/>
      </c>
      <c r="I240">
        <f>IF(A240="","",A240&amp;"|"&amp;B240&amp;"|"&amp;C240)</f>
        <v/>
      </c>
      <c r="J240">
        <f>IF(A240="","",IF(COUNTIF($G$2:$G$300,G240)&gt;1,"Sí",""))</f>
        <v/>
      </c>
      <c r="K240">
        <f>IF(A240="","",IF(COUNTIF($H$2:$H$300,H240)&gt;1,"Sí",""))</f>
        <v/>
      </c>
      <c r="L240">
        <f>IF(A240="","",IF(COUNTIF($I$2:$I$300,I240)&gt;1,"Sí",""))</f>
        <v/>
      </c>
      <c r="M240">
        <f>IF(A240="","",IF(OR(J240="Sí",K240="Sí",L240="Sí"),"Conflicto","OK"))</f>
        <v/>
      </c>
      <c r="N240">
        <f>IF(J240="Sí",1/COUNTIF($G$2:$G$300,G240),0)</f>
        <v/>
      </c>
      <c r="O240">
        <f>IF(K240="Sí",1/COUNTIF($H$2:$H$300,H240),0)</f>
        <v/>
      </c>
      <c r="P240">
        <f>IF(L240="Sí",1/COUNTIF($I$2:$I$300,I240),0)</f>
        <v/>
      </c>
    </row>
    <row r="241">
      <c r="A241" s="2" t="n"/>
      <c r="B241" s="2" t="n"/>
      <c r="C241" s="2" t="n"/>
      <c r="D241" s="2" t="n"/>
      <c r="E241" s="2" t="n"/>
      <c r="F241" s="2" t="n"/>
      <c r="G241">
        <f>IF(A241="","",A241&amp;"|"&amp;B241&amp;"|"&amp;E241)</f>
        <v/>
      </c>
      <c r="H241">
        <f>IF(A241="","",A241&amp;"|"&amp;B241&amp;"|"&amp;F241)</f>
        <v/>
      </c>
      <c r="I241">
        <f>IF(A241="","",A241&amp;"|"&amp;B241&amp;"|"&amp;C241)</f>
        <v/>
      </c>
      <c r="J241">
        <f>IF(A241="","",IF(COUNTIF($G$2:$G$300,G241)&gt;1,"Sí",""))</f>
        <v/>
      </c>
      <c r="K241">
        <f>IF(A241="","",IF(COUNTIF($H$2:$H$300,H241)&gt;1,"Sí",""))</f>
        <v/>
      </c>
      <c r="L241">
        <f>IF(A241="","",IF(COUNTIF($I$2:$I$300,I241)&gt;1,"Sí",""))</f>
        <v/>
      </c>
      <c r="M241">
        <f>IF(A241="","",IF(OR(J241="Sí",K241="Sí",L241="Sí"),"Conflicto","OK"))</f>
        <v/>
      </c>
      <c r="N241">
        <f>IF(J241="Sí",1/COUNTIF($G$2:$G$300,G241),0)</f>
        <v/>
      </c>
      <c r="O241">
        <f>IF(K241="Sí",1/COUNTIF($H$2:$H$300,H241),0)</f>
        <v/>
      </c>
      <c r="P241">
        <f>IF(L241="Sí",1/COUNTIF($I$2:$I$300,I241),0)</f>
        <v/>
      </c>
    </row>
    <row r="242">
      <c r="A242" s="2" t="n"/>
      <c r="B242" s="2" t="n"/>
      <c r="C242" s="2" t="n"/>
      <c r="D242" s="2" t="n"/>
      <c r="E242" s="2" t="n"/>
      <c r="F242" s="2" t="n"/>
      <c r="G242">
        <f>IF(A242="","",A242&amp;"|"&amp;B242&amp;"|"&amp;E242)</f>
        <v/>
      </c>
      <c r="H242">
        <f>IF(A242="","",A242&amp;"|"&amp;B242&amp;"|"&amp;F242)</f>
        <v/>
      </c>
      <c r="I242">
        <f>IF(A242="","",A242&amp;"|"&amp;B242&amp;"|"&amp;C242)</f>
        <v/>
      </c>
      <c r="J242">
        <f>IF(A242="","",IF(COUNTIF($G$2:$G$300,G242)&gt;1,"Sí",""))</f>
        <v/>
      </c>
      <c r="K242">
        <f>IF(A242="","",IF(COUNTIF($H$2:$H$300,H242)&gt;1,"Sí",""))</f>
        <v/>
      </c>
      <c r="L242">
        <f>IF(A242="","",IF(COUNTIF($I$2:$I$300,I242)&gt;1,"Sí",""))</f>
        <v/>
      </c>
      <c r="M242">
        <f>IF(A242="","",IF(OR(J242="Sí",K242="Sí",L242="Sí"),"Conflicto","OK"))</f>
        <v/>
      </c>
      <c r="N242">
        <f>IF(J242="Sí",1/COUNTIF($G$2:$G$300,G242),0)</f>
        <v/>
      </c>
      <c r="O242">
        <f>IF(K242="Sí",1/COUNTIF($H$2:$H$300,H242),0)</f>
        <v/>
      </c>
      <c r="P242">
        <f>IF(L242="Sí",1/COUNTIF($I$2:$I$300,I242),0)</f>
        <v/>
      </c>
    </row>
    <row r="243">
      <c r="A243" s="2" t="n"/>
      <c r="B243" s="2" t="n"/>
      <c r="C243" s="2" t="n"/>
      <c r="D243" s="2" t="n"/>
      <c r="E243" s="2" t="n"/>
      <c r="F243" s="2" t="n"/>
      <c r="G243">
        <f>IF(A243="","",A243&amp;"|"&amp;B243&amp;"|"&amp;E243)</f>
        <v/>
      </c>
      <c r="H243">
        <f>IF(A243="","",A243&amp;"|"&amp;B243&amp;"|"&amp;F243)</f>
        <v/>
      </c>
      <c r="I243">
        <f>IF(A243="","",A243&amp;"|"&amp;B243&amp;"|"&amp;C243)</f>
        <v/>
      </c>
      <c r="J243">
        <f>IF(A243="","",IF(COUNTIF($G$2:$G$300,G243)&gt;1,"Sí",""))</f>
        <v/>
      </c>
      <c r="K243">
        <f>IF(A243="","",IF(COUNTIF($H$2:$H$300,H243)&gt;1,"Sí",""))</f>
        <v/>
      </c>
      <c r="L243">
        <f>IF(A243="","",IF(COUNTIF($I$2:$I$300,I243)&gt;1,"Sí",""))</f>
        <v/>
      </c>
      <c r="M243">
        <f>IF(A243="","",IF(OR(J243="Sí",K243="Sí",L243="Sí"),"Conflicto","OK"))</f>
        <v/>
      </c>
      <c r="N243">
        <f>IF(J243="Sí",1/COUNTIF($G$2:$G$300,G243),0)</f>
        <v/>
      </c>
      <c r="O243">
        <f>IF(K243="Sí",1/COUNTIF($H$2:$H$300,H243),0)</f>
        <v/>
      </c>
      <c r="P243">
        <f>IF(L243="Sí",1/COUNTIF($I$2:$I$300,I243),0)</f>
        <v/>
      </c>
    </row>
    <row r="244">
      <c r="A244" s="2" t="n"/>
      <c r="B244" s="2" t="n"/>
      <c r="C244" s="2" t="n"/>
      <c r="D244" s="2" t="n"/>
      <c r="E244" s="2" t="n"/>
      <c r="F244" s="2" t="n"/>
      <c r="G244">
        <f>IF(A244="","",A244&amp;"|"&amp;B244&amp;"|"&amp;E244)</f>
        <v/>
      </c>
      <c r="H244">
        <f>IF(A244="","",A244&amp;"|"&amp;B244&amp;"|"&amp;F244)</f>
        <v/>
      </c>
      <c r="I244">
        <f>IF(A244="","",A244&amp;"|"&amp;B244&amp;"|"&amp;C244)</f>
        <v/>
      </c>
      <c r="J244">
        <f>IF(A244="","",IF(COUNTIF($G$2:$G$300,G244)&gt;1,"Sí",""))</f>
        <v/>
      </c>
      <c r="K244">
        <f>IF(A244="","",IF(COUNTIF($H$2:$H$300,H244)&gt;1,"Sí",""))</f>
        <v/>
      </c>
      <c r="L244">
        <f>IF(A244="","",IF(COUNTIF($I$2:$I$300,I244)&gt;1,"Sí",""))</f>
        <v/>
      </c>
      <c r="M244">
        <f>IF(A244="","",IF(OR(J244="Sí",K244="Sí",L244="Sí"),"Conflicto","OK"))</f>
        <v/>
      </c>
      <c r="N244">
        <f>IF(J244="Sí",1/COUNTIF($G$2:$G$300,G244),0)</f>
        <v/>
      </c>
      <c r="O244">
        <f>IF(K244="Sí",1/COUNTIF($H$2:$H$300,H244),0)</f>
        <v/>
      </c>
      <c r="P244">
        <f>IF(L244="Sí",1/COUNTIF($I$2:$I$300,I244),0)</f>
        <v/>
      </c>
    </row>
    <row r="245">
      <c r="A245" s="2" t="n"/>
      <c r="B245" s="2" t="n"/>
      <c r="C245" s="2" t="n"/>
      <c r="D245" s="2" t="n"/>
      <c r="E245" s="2" t="n"/>
      <c r="F245" s="2" t="n"/>
      <c r="G245">
        <f>IF(A245="","",A245&amp;"|"&amp;B245&amp;"|"&amp;E245)</f>
        <v/>
      </c>
      <c r="H245">
        <f>IF(A245="","",A245&amp;"|"&amp;B245&amp;"|"&amp;F245)</f>
        <v/>
      </c>
      <c r="I245">
        <f>IF(A245="","",A245&amp;"|"&amp;B245&amp;"|"&amp;C245)</f>
        <v/>
      </c>
      <c r="J245">
        <f>IF(A245="","",IF(COUNTIF($G$2:$G$300,G245)&gt;1,"Sí",""))</f>
        <v/>
      </c>
      <c r="K245">
        <f>IF(A245="","",IF(COUNTIF($H$2:$H$300,H245)&gt;1,"Sí",""))</f>
        <v/>
      </c>
      <c r="L245">
        <f>IF(A245="","",IF(COUNTIF($I$2:$I$300,I245)&gt;1,"Sí",""))</f>
        <v/>
      </c>
      <c r="M245">
        <f>IF(A245="","",IF(OR(J245="Sí",K245="Sí",L245="Sí"),"Conflicto","OK"))</f>
        <v/>
      </c>
      <c r="N245">
        <f>IF(J245="Sí",1/COUNTIF($G$2:$G$300,G245),0)</f>
        <v/>
      </c>
      <c r="O245">
        <f>IF(K245="Sí",1/COUNTIF($H$2:$H$300,H245),0)</f>
        <v/>
      </c>
      <c r="P245">
        <f>IF(L245="Sí",1/COUNTIF($I$2:$I$300,I245),0)</f>
        <v/>
      </c>
    </row>
    <row r="246">
      <c r="A246" s="2" t="n"/>
      <c r="B246" s="2" t="n"/>
      <c r="C246" s="2" t="n"/>
      <c r="D246" s="2" t="n"/>
      <c r="E246" s="2" t="n"/>
      <c r="F246" s="2" t="n"/>
      <c r="G246">
        <f>IF(A246="","",A246&amp;"|"&amp;B246&amp;"|"&amp;E246)</f>
        <v/>
      </c>
      <c r="H246">
        <f>IF(A246="","",A246&amp;"|"&amp;B246&amp;"|"&amp;F246)</f>
        <v/>
      </c>
      <c r="I246">
        <f>IF(A246="","",A246&amp;"|"&amp;B246&amp;"|"&amp;C246)</f>
        <v/>
      </c>
      <c r="J246">
        <f>IF(A246="","",IF(COUNTIF($G$2:$G$300,G246)&gt;1,"Sí",""))</f>
        <v/>
      </c>
      <c r="K246">
        <f>IF(A246="","",IF(COUNTIF($H$2:$H$300,H246)&gt;1,"Sí",""))</f>
        <v/>
      </c>
      <c r="L246">
        <f>IF(A246="","",IF(COUNTIF($I$2:$I$300,I246)&gt;1,"Sí",""))</f>
        <v/>
      </c>
      <c r="M246">
        <f>IF(A246="","",IF(OR(J246="Sí",K246="Sí",L246="Sí"),"Conflicto","OK"))</f>
        <v/>
      </c>
      <c r="N246">
        <f>IF(J246="Sí",1/COUNTIF($G$2:$G$300,G246),0)</f>
        <v/>
      </c>
      <c r="O246">
        <f>IF(K246="Sí",1/COUNTIF($H$2:$H$300,H246),0)</f>
        <v/>
      </c>
      <c r="P246">
        <f>IF(L246="Sí",1/COUNTIF($I$2:$I$300,I246),0)</f>
        <v/>
      </c>
    </row>
    <row r="247">
      <c r="A247" s="2" t="n"/>
      <c r="B247" s="2" t="n"/>
      <c r="C247" s="2" t="n"/>
      <c r="D247" s="2" t="n"/>
      <c r="E247" s="2" t="n"/>
      <c r="F247" s="2" t="n"/>
      <c r="G247">
        <f>IF(A247="","",A247&amp;"|"&amp;B247&amp;"|"&amp;E247)</f>
        <v/>
      </c>
      <c r="H247">
        <f>IF(A247="","",A247&amp;"|"&amp;B247&amp;"|"&amp;F247)</f>
        <v/>
      </c>
      <c r="I247">
        <f>IF(A247="","",A247&amp;"|"&amp;B247&amp;"|"&amp;C247)</f>
        <v/>
      </c>
      <c r="J247">
        <f>IF(A247="","",IF(COUNTIF($G$2:$G$300,G247)&gt;1,"Sí",""))</f>
        <v/>
      </c>
      <c r="K247">
        <f>IF(A247="","",IF(COUNTIF($H$2:$H$300,H247)&gt;1,"Sí",""))</f>
        <v/>
      </c>
      <c r="L247">
        <f>IF(A247="","",IF(COUNTIF($I$2:$I$300,I247)&gt;1,"Sí",""))</f>
        <v/>
      </c>
      <c r="M247">
        <f>IF(A247="","",IF(OR(J247="Sí",K247="Sí",L247="Sí"),"Conflicto","OK"))</f>
        <v/>
      </c>
      <c r="N247">
        <f>IF(J247="Sí",1/COUNTIF($G$2:$G$300,G247),0)</f>
        <v/>
      </c>
      <c r="O247">
        <f>IF(K247="Sí",1/COUNTIF($H$2:$H$300,H247),0)</f>
        <v/>
      </c>
      <c r="P247">
        <f>IF(L247="Sí",1/COUNTIF($I$2:$I$300,I247),0)</f>
        <v/>
      </c>
    </row>
    <row r="248">
      <c r="A248" s="2" t="n"/>
      <c r="B248" s="2" t="n"/>
      <c r="C248" s="2" t="n"/>
      <c r="D248" s="2" t="n"/>
      <c r="E248" s="2" t="n"/>
      <c r="F248" s="2" t="n"/>
      <c r="G248">
        <f>IF(A248="","",A248&amp;"|"&amp;B248&amp;"|"&amp;E248)</f>
        <v/>
      </c>
      <c r="H248">
        <f>IF(A248="","",A248&amp;"|"&amp;B248&amp;"|"&amp;F248)</f>
        <v/>
      </c>
      <c r="I248">
        <f>IF(A248="","",A248&amp;"|"&amp;B248&amp;"|"&amp;C248)</f>
        <v/>
      </c>
      <c r="J248">
        <f>IF(A248="","",IF(COUNTIF($G$2:$G$300,G248)&gt;1,"Sí",""))</f>
        <v/>
      </c>
      <c r="K248">
        <f>IF(A248="","",IF(COUNTIF($H$2:$H$300,H248)&gt;1,"Sí",""))</f>
        <v/>
      </c>
      <c r="L248">
        <f>IF(A248="","",IF(COUNTIF($I$2:$I$300,I248)&gt;1,"Sí",""))</f>
        <v/>
      </c>
      <c r="M248">
        <f>IF(A248="","",IF(OR(J248="Sí",K248="Sí",L248="Sí"),"Conflicto","OK"))</f>
        <v/>
      </c>
      <c r="N248">
        <f>IF(J248="Sí",1/COUNTIF($G$2:$G$300,G248),0)</f>
        <v/>
      </c>
      <c r="O248">
        <f>IF(K248="Sí",1/COUNTIF($H$2:$H$300,H248),0)</f>
        <v/>
      </c>
      <c r="P248">
        <f>IF(L248="Sí",1/COUNTIF($I$2:$I$300,I248),0)</f>
        <v/>
      </c>
    </row>
    <row r="249">
      <c r="A249" s="2" t="n"/>
      <c r="B249" s="2" t="n"/>
      <c r="C249" s="2" t="n"/>
      <c r="D249" s="2" t="n"/>
      <c r="E249" s="2" t="n"/>
      <c r="F249" s="2" t="n"/>
      <c r="G249">
        <f>IF(A249="","",A249&amp;"|"&amp;B249&amp;"|"&amp;E249)</f>
        <v/>
      </c>
      <c r="H249">
        <f>IF(A249="","",A249&amp;"|"&amp;B249&amp;"|"&amp;F249)</f>
        <v/>
      </c>
      <c r="I249">
        <f>IF(A249="","",A249&amp;"|"&amp;B249&amp;"|"&amp;C249)</f>
        <v/>
      </c>
      <c r="J249">
        <f>IF(A249="","",IF(COUNTIF($G$2:$G$300,G249)&gt;1,"Sí",""))</f>
        <v/>
      </c>
      <c r="K249">
        <f>IF(A249="","",IF(COUNTIF($H$2:$H$300,H249)&gt;1,"Sí",""))</f>
        <v/>
      </c>
      <c r="L249">
        <f>IF(A249="","",IF(COUNTIF($I$2:$I$300,I249)&gt;1,"Sí",""))</f>
        <v/>
      </c>
      <c r="M249">
        <f>IF(A249="","",IF(OR(J249="Sí",K249="Sí",L249="Sí"),"Conflicto","OK"))</f>
        <v/>
      </c>
      <c r="N249">
        <f>IF(J249="Sí",1/COUNTIF($G$2:$G$300,G249),0)</f>
        <v/>
      </c>
      <c r="O249">
        <f>IF(K249="Sí",1/COUNTIF($H$2:$H$300,H249),0)</f>
        <v/>
      </c>
      <c r="P249">
        <f>IF(L249="Sí",1/COUNTIF($I$2:$I$300,I249),0)</f>
        <v/>
      </c>
    </row>
    <row r="250">
      <c r="A250" s="2" t="n"/>
      <c r="B250" s="2" t="n"/>
      <c r="C250" s="2" t="n"/>
      <c r="D250" s="2" t="n"/>
      <c r="E250" s="2" t="n"/>
      <c r="F250" s="2" t="n"/>
      <c r="G250">
        <f>IF(A250="","",A250&amp;"|"&amp;B250&amp;"|"&amp;E250)</f>
        <v/>
      </c>
      <c r="H250">
        <f>IF(A250="","",A250&amp;"|"&amp;B250&amp;"|"&amp;F250)</f>
        <v/>
      </c>
      <c r="I250">
        <f>IF(A250="","",A250&amp;"|"&amp;B250&amp;"|"&amp;C250)</f>
        <v/>
      </c>
      <c r="J250">
        <f>IF(A250="","",IF(COUNTIF($G$2:$G$300,G250)&gt;1,"Sí",""))</f>
        <v/>
      </c>
      <c r="K250">
        <f>IF(A250="","",IF(COUNTIF($H$2:$H$300,H250)&gt;1,"Sí",""))</f>
        <v/>
      </c>
      <c r="L250">
        <f>IF(A250="","",IF(COUNTIF($I$2:$I$300,I250)&gt;1,"Sí",""))</f>
        <v/>
      </c>
      <c r="M250">
        <f>IF(A250="","",IF(OR(J250="Sí",K250="Sí",L250="Sí"),"Conflicto","OK"))</f>
        <v/>
      </c>
      <c r="N250">
        <f>IF(J250="Sí",1/COUNTIF($G$2:$G$300,G250),0)</f>
        <v/>
      </c>
      <c r="O250">
        <f>IF(K250="Sí",1/COUNTIF($H$2:$H$300,H250),0)</f>
        <v/>
      </c>
      <c r="P250">
        <f>IF(L250="Sí",1/COUNTIF($I$2:$I$300,I250),0)</f>
        <v/>
      </c>
    </row>
    <row r="251">
      <c r="A251" s="2" t="n"/>
      <c r="B251" s="2" t="n"/>
      <c r="C251" s="2" t="n"/>
      <c r="D251" s="2" t="n"/>
      <c r="E251" s="2" t="n"/>
      <c r="F251" s="2" t="n"/>
      <c r="G251">
        <f>IF(A251="","",A251&amp;"|"&amp;B251&amp;"|"&amp;E251)</f>
        <v/>
      </c>
      <c r="H251">
        <f>IF(A251="","",A251&amp;"|"&amp;B251&amp;"|"&amp;F251)</f>
        <v/>
      </c>
      <c r="I251">
        <f>IF(A251="","",A251&amp;"|"&amp;B251&amp;"|"&amp;C251)</f>
        <v/>
      </c>
      <c r="J251">
        <f>IF(A251="","",IF(COUNTIF($G$2:$G$300,G251)&gt;1,"Sí",""))</f>
        <v/>
      </c>
      <c r="K251">
        <f>IF(A251="","",IF(COUNTIF($H$2:$H$300,H251)&gt;1,"Sí",""))</f>
        <v/>
      </c>
      <c r="L251">
        <f>IF(A251="","",IF(COUNTIF($I$2:$I$300,I251)&gt;1,"Sí",""))</f>
        <v/>
      </c>
      <c r="M251">
        <f>IF(A251="","",IF(OR(J251="Sí",K251="Sí",L251="Sí"),"Conflicto","OK"))</f>
        <v/>
      </c>
      <c r="N251">
        <f>IF(J251="Sí",1/COUNTIF($G$2:$G$300,G251),0)</f>
        <v/>
      </c>
      <c r="O251">
        <f>IF(K251="Sí",1/COUNTIF($H$2:$H$300,H251),0)</f>
        <v/>
      </c>
      <c r="P251">
        <f>IF(L251="Sí",1/COUNTIF($I$2:$I$300,I251),0)</f>
        <v/>
      </c>
    </row>
    <row r="252">
      <c r="A252" s="2" t="n"/>
      <c r="B252" s="2" t="n"/>
      <c r="C252" s="2" t="n"/>
      <c r="D252" s="2" t="n"/>
      <c r="E252" s="2" t="n"/>
      <c r="F252" s="2" t="n"/>
      <c r="G252">
        <f>IF(A252="","",A252&amp;"|"&amp;B252&amp;"|"&amp;E252)</f>
        <v/>
      </c>
      <c r="H252">
        <f>IF(A252="","",A252&amp;"|"&amp;B252&amp;"|"&amp;F252)</f>
        <v/>
      </c>
      <c r="I252">
        <f>IF(A252="","",A252&amp;"|"&amp;B252&amp;"|"&amp;C252)</f>
        <v/>
      </c>
      <c r="J252">
        <f>IF(A252="","",IF(COUNTIF($G$2:$G$300,G252)&gt;1,"Sí",""))</f>
        <v/>
      </c>
      <c r="K252">
        <f>IF(A252="","",IF(COUNTIF($H$2:$H$300,H252)&gt;1,"Sí",""))</f>
        <v/>
      </c>
      <c r="L252">
        <f>IF(A252="","",IF(COUNTIF($I$2:$I$300,I252)&gt;1,"Sí",""))</f>
        <v/>
      </c>
      <c r="M252">
        <f>IF(A252="","",IF(OR(J252="Sí",K252="Sí",L252="Sí"),"Conflicto","OK"))</f>
        <v/>
      </c>
      <c r="N252">
        <f>IF(J252="Sí",1/COUNTIF($G$2:$G$300,G252),0)</f>
        <v/>
      </c>
      <c r="O252">
        <f>IF(K252="Sí",1/COUNTIF($H$2:$H$300,H252),0)</f>
        <v/>
      </c>
      <c r="P252">
        <f>IF(L252="Sí",1/COUNTIF($I$2:$I$300,I252),0)</f>
        <v/>
      </c>
    </row>
    <row r="253">
      <c r="A253" s="2" t="n"/>
      <c r="B253" s="2" t="n"/>
      <c r="C253" s="2" t="n"/>
      <c r="D253" s="2" t="n"/>
      <c r="E253" s="2" t="n"/>
      <c r="F253" s="2" t="n"/>
      <c r="G253">
        <f>IF(A253="","",A253&amp;"|"&amp;B253&amp;"|"&amp;E253)</f>
        <v/>
      </c>
      <c r="H253">
        <f>IF(A253="","",A253&amp;"|"&amp;B253&amp;"|"&amp;F253)</f>
        <v/>
      </c>
      <c r="I253">
        <f>IF(A253="","",A253&amp;"|"&amp;B253&amp;"|"&amp;C253)</f>
        <v/>
      </c>
      <c r="J253">
        <f>IF(A253="","",IF(COUNTIF($G$2:$G$300,G253)&gt;1,"Sí",""))</f>
        <v/>
      </c>
      <c r="K253">
        <f>IF(A253="","",IF(COUNTIF($H$2:$H$300,H253)&gt;1,"Sí",""))</f>
        <v/>
      </c>
      <c r="L253">
        <f>IF(A253="","",IF(COUNTIF($I$2:$I$300,I253)&gt;1,"Sí",""))</f>
        <v/>
      </c>
      <c r="M253">
        <f>IF(A253="","",IF(OR(J253="Sí",K253="Sí",L253="Sí"),"Conflicto","OK"))</f>
        <v/>
      </c>
      <c r="N253">
        <f>IF(J253="Sí",1/COUNTIF($G$2:$G$300,G253),0)</f>
        <v/>
      </c>
      <c r="O253">
        <f>IF(K253="Sí",1/COUNTIF($H$2:$H$300,H253),0)</f>
        <v/>
      </c>
      <c r="P253">
        <f>IF(L253="Sí",1/COUNTIF($I$2:$I$300,I253),0)</f>
        <v/>
      </c>
    </row>
    <row r="254">
      <c r="A254" s="2" t="n"/>
      <c r="B254" s="2" t="n"/>
      <c r="C254" s="2" t="n"/>
      <c r="D254" s="2" t="n"/>
      <c r="E254" s="2" t="n"/>
      <c r="F254" s="2" t="n"/>
      <c r="G254">
        <f>IF(A254="","",A254&amp;"|"&amp;B254&amp;"|"&amp;E254)</f>
        <v/>
      </c>
      <c r="H254">
        <f>IF(A254="","",A254&amp;"|"&amp;B254&amp;"|"&amp;F254)</f>
        <v/>
      </c>
      <c r="I254">
        <f>IF(A254="","",A254&amp;"|"&amp;B254&amp;"|"&amp;C254)</f>
        <v/>
      </c>
      <c r="J254">
        <f>IF(A254="","",IF(COUNTIF($G$2:$G$300,G254)&gt;1,"Sí",""))</f>
        <v/>
      </c>
      <c r="K254">
        <f>IF(A254="","",IF(COUNTIF($H$2:$H$300,H254)&gt;1,"Sí",""))</f>
        <v/>
      </c>
      <c r="L254">
        <f>IF(A254="","",IF(COUNTIF($I$2:$I$300,I254)&gt;1,"Sí",""))</f>
        <v/>
      </c>
      <c r="M254">
        <f>IF(A254="","",IF(OR(J254="Sí",K254="Sí",L254="Sí"),"Conflicto","OK"))</f>
        <v/>
      </c>
      <c r="N254">
        <f>IF(J254="Sí",1/COUNTIF($G$2:$G$300,G254),0)</f>
        <v/>
      </c>
      <c r="O254">
        <f>IF(K254="Sí",1/COUNTIF($H$2:$H$300,H254),0)</f>
        <v/>
      </c>
      <c r="P254">
        <f>IF(L254="Sí",1/COUNTIF($I$2:$I$300,I254),0)</f>
        <v/>
      </c>
    </row>
    <row r="255">
      <c r="A255" s="2" t="n"/>
      <c r="B255" s="2" t="n"/>
      <c r="C255" s="2" t="n"/>
      <c r="D255" s="2" t="n"/>
      <c r="E255" s="2" t="n"/>
      <c r="F255" s="2" t="n"/>
      <c r="G255">
        <f>IF(A255="","",A255&amp;"|"&amp;B255&amp;"|"&amp;E255)</f>
        <v/>
      </c>
      <c r="H255">
        <f>IF(A255="","",A255&amp;"|"&amp;B255&amp;"|"&amp;F255)</f>
        <v/>
      </c>
      <c r="I255">
        <f>IF(A255="","",A255&amp;"|"&amp;B255&amp;"|"&amp;C255)</f>
        <v/>
      </c>
      <c r="J255">
        <f>IF(A255="","",IF(COUNTIF($G$2:$G$300,G255)&gt;1,"Sí",""))</f>
        <v/>
      </c>
      <c r="K255">
        <f>IF(A255="","",IF(COUNTIF($H$2:$H$300,H255)&gt;1,"Sí",""))</f>
        <v/>
      </c>
      <c r="L255">
        <f>IF(A255="","",IF(COUNTIF($I$2:$I$300,I255)&gt;1,"Sí",""))</f>
        <v/>
      </c>
      <c r="M255">
        <f>IF(A255="","",IF(OR(J255="Sí",K255="Sí",L255="Sí"),"Conflicto","OK"))</f>
        <v/>
      </c>
      <c r="N255">
        <f>IF(J255="Sí",1/COUNTIF($G$2:$G$300,G255),0)</f>
        <v/>
      </c>
      <c r="O255">
        <f>IF(K255="Sí",1/COUNTIF($H$2:$H$300,H255),0)</f>
        <v/>
      </c>
      <c r="P255">
        <f>IF(L255="Sí",1/COUNTIF($I$2:$I$300,I255),0)</f>
        <v/>
      </c>
    </row>
    <row r="256">
      <c r="A256" s="2" t="n"/>
      <c r="B256" s="2" t="n"/>
      <c r="C256" s="2" t="n"/>
      <c r="D256" s="2" t="n"/>
      <c r="E256" s="2" t="n"/>
      <c r="F256" s="2" t="n"/>
      <c r="G256">
        <f>IF(A256="","",A256&amp;"|"&amp;B256&amp;"|"&amp;E256)</f>
        <v/>
      </c>
      <c r="H256">
        <f>IF(A256="","",A256&amp;"|"&amp;B256&amp;"|"&amp;F256)</f>
        <v/>
      </c>
      <c r="I256">
        <f>IF(A256="","",A256&amp;"|"&amp;B256&amp;"|"&amp;C256)</f>
        <v/>
      </c>
      <c r="J256">
        <f>IF(A256="","",IF(COUNTIF($G$2:$G$300,G256)&gt;1,"Sí",""))</f>
        <v/>
      </c>
      <c r="K256">
        <f>IF(A256="","",IF(COUNTIF($H$2:$H$300,H256)&gt;1,"Sí",""))</f>
        <v/>
      </c>
      <c r="L256">
        <f>IF(A256="","",IF(COUNTIF($I$2:$I$300,I256)&gt;1,"Sí",""))</f>
        <v/>
      </c>
      <c r="M256">
        <f>IF(A256="","",IF(OR(J256="Sí",K256="Sí",L256="Sí"),"Conflicto","OK"))</f>
        <v/>
      </c>
      <c r="N256">
        <f>IF(J256="Sí",1/COUNTIF($G$2:$G$300,G256),0)</f>
        <v/>
      </c>
      <c r="O256">
        <f>IF(K256="Sí",1/COUNTIF($H$2:$H$300,H256),0)</f>
        <v/>
      </c>
      <c r="P256">
        <f>IF(L256="Sí",1/COUNTIF($I$2:$I$300,I256),0)</f>
        <v/>
      </c>
    </row>
    <row r="257">
      <c r="A257" s="2" t="n"/>
      <c r="B257" s="2" t="n"/>
      <c r="C257" s="2" t="n"/>
      <c r="D257" s="2" t="n"/>
      <c r="E257" s="2" t="n"/>
      <c r="F257" s="2" t="n"/>
      <c r="G257">
        <f>IF(A257="","",A257&amp;"|"&amp;B257&amp;"|"&amp;E257)</f>
        <v/>
      </c>
      <c r="H257">
        <f>IF(A257="","",A257&amp;"|"&amp;B257&amp;"|"&amp;F257)</f>
        <v/>
      </c>
      <c r="I257">
        <f>IF(A257="","",A257&amp;"|"&amp;B257&amp;"|"&amp;C257)</f>
        <v/>
      </c>
      <c r="J257">
        <f>IF(A257="","",IF(COUNTIF($G$2:$G$300,G257)&gt;1,"Sí",""))</f>
        <v/>
      </c>
      <c r="K257">
        <f>IF(A257="","",IF(COUNTIF($H$2:$H$300,H257)&gt;1,"Sí",""))</f>
        <v/>
      </c>
      <c r="L257">
        <f>IF(A257="","",IF(COUNTIF($I$2:$I$300,I257)&gt;1,"Sí",""))</f>
        <v/>
      </c>
      <c r="M257">
        <f>IF(A257="","",IF(OR(J257="Sí",K257="Sí",L257="Sí"),"Conflicto","OK"))</f>
        <v/>
      </c>
      <c r="N257">
        <f>IF(J257="Sí",1/COUNTIF($G$2:$G$300,G257),0)</f>
        <v/>
      </c>
      <c r="O257">
        <f>IF(K257="Sí",1/COUNTIF($H$2:$H$300,H257),0)</f>
        <v/>
      </c>
      <c r="P257">
        <f>IF(L257="Sí",1/COUNTIF($I$2:$I$300,I257),0)</f>
        <v/>
      </c>
    </row>
    <row r="258">
      <c r="A258" s="2" t="n"/>
      <c r="B258" s="2" t="n"/>
      <c r="C258" s="2" t="n"/>
      <c r="D258" s="2" t="n"/>
      <c r="E258" s="2" t="n"/>
      <c r="F258" s="2" t="n"/>
      <c r="G258">
        <f>IF(A258="","",A258&amp;"|"&amp;B258&amp;"|"&amp;E258)</f>
        <v/>
      </c>
      <c r="H258">
        <f>IF(A258="","",A258&amp;"|"&amp;B258&amp;"|"&amp;F258)</f>
        <v/>
      </c>
      <c r="I258">
        <f>IF(A258="","",A258&amp;"|"&amp;B258&amp;"|"&amp;C258)</f>
        <v/>
      </c>
      <c r="J258">
        <f>IF(A258="","",IF(COUNTIF($G$2:$G$300,G258)&gt;1,"Sí",""))</f>
        <v/>
      </c>
      <c r="K258">
        <f>IF(A258="","",IF(COUNTIF($H$2:$H$300,H258)&gt;1,"Sí",""))</f>
        <v/>
      </c>
      <c r="L258">
        <f>IF(A258="","",IF(COUNTIF($I$2:$I$300,I258)&gt;1,"Sí",""))</f>
        <v/>
      </c>
      <c r="M258">
        <f>IF(A258="","",IF(OR(J258="Sí",K258="Sí",L258="Sí"),"Conflicto","OK"))</f>
        <v/>
      </c>
      <c r="N258">
        <f>IF(J258="Sí",1/COUNTIF($G$2:$G$300,G258),0)</f>
        <v/>
      </c>
      <c r="O258">
        <f>IF(K258="Sí",1/COUNTIF($H$2:$H$300,H258),0)</f>
        <v/>
      </c>
      <c r="P258">
        <f>IF(L258="Sí",1/COUNTIF($I$2:$I$300,I258),0)</f>
        <v/>
      </c>
    </row>
    <row r="259">
      <c r="A259" s="2" t="n"/>
      <c r="B259" s="2" t="n"/>
      <c r="C259" s="2" t="n"/>
      <c r="D259" s="2" t="n"/>
      <c r="E259" s="2" t="n"/>
      <c r="F259" s="2" t="n"/>
      <c r="G259">
        <f>IF(A259="","",A259&amp;"|"&amp;B259&amp;"|"&amp;E259)</f>
        <v/>
      </c>
      <c r="H259">
        <f>IF(A259="","",A259&amp;"|"&amp;B259&amp;"|"&amp;F259)</f>
        <v/>
      </c>
      <c r="I259">
        <f>IF(A259="","",A259&amp;"|"&amp;B259&amp;"|"&amp;C259)</f>
        <v/>
      </c>
      <c r="J259">
        <f>IF(A259="","",IF(COUNTIF($G$2:$G$300,G259)&gt;1,"Sí",""))</f>
        <v/>
      </c>
      <c r="K259">
        <f>IF(A259="","",IF(COUNTIF($H$2:$H$300,H259)&gt;1,"Sí",""))</f>
        <v/>
      </c>
      <c r="L259">
        <f>IF(A259="","",IF(COUNTIF($I$2:$I$300,I259)&gt;1,"Sí",""))</f>
        <v/>
      </c>
      <c r="M259">
        <f>IF(A259="","",IF(OR(J259="Sí",K259="Sí",L259="Sí"),"Conflicto","OK"))</f>
        <v/>
      </c>
      <c r="N259">
        <f>IF(J259="Sí",1/COUNTIF($G$2:$G$300,G259),0)</f>
        <v/>
      </c>
      <c r="O259">
        <f>IF(K259="Sí",1/COUNTIF($H$2:$H$300,H259),0)</f>
        <v/>
      </c>
      <c r="P259">
        <f>IF(L259="Sí",1/COUNTIF($I$2:$I$300,I259),0)</f>
        <v/>
      </c>
    </row>
    <row r="260">
      <c r="A260" s="2" t="n"/>
      <c r="B260" s="2" t="n"/>
      <c r="C260" s="2" t="n"/>
      <c r="D260" s="2" t="n"/>
      <c r="E260" s="2" t="n"/>
      <c r="F260" s="2" t="n"/>
      <c r="G260">
        <f>IF(A260="","",A260&amp;"|"&amp;B260&amp;"|"&amp;E260)</f>
        <v/>
      </c>
      <c r="H260">
        <f>IF(A260="","",A260&amp;"|"&amp;B260&amp;"|"&amp;F260)</f>
        <v/>
      </c>
      <c r="I260">
        <f>IF(A260="","",A260&amp;"|"&amp;B260&amp;"|"&amp;C260)</f>
        <v/>
      </c>
      <c r="J260">
        <f>IF(A260="","",IF(COUNTIF($G$2:$G$300,G260)&gt;1,"Sí",""))</f>
        <v/>
      </c>
      <c r="K260">
        <f>IF(A260="","",IF(COUNTIF($H$2:$H$300,H260)&gt;1,"Sí",""))</f>
        <v/>
      </c>
      <c r="L260">
        <f>IF(A260="","",IF(COUNTIF($I$2:$I$300,I260)&gt;1,"Sí",""))</f>
        <v/>
      </c>
      <c r="M260">
        <f>IF(A260="","",IF(OR(J260="Sí",K260="Sí",L260="Sí"),"Conflicto","OK"))</f>
        <v/>
      </c>
      <c r="N260">
        <f>IF(J260="Sí",1/COUNTIF($G$2:$G$300,G260),0)</f>
        <v/>
      </c>
      <c r="O260">
        <f>IF(K260="Sí",1/COUNTIF($H$2:$H$300,H260),0)</f>
        <v/>
      </c>
      <c r="P260">
        <f>IF(L260="Sí",1/COUNTIF($I$2:$I$300,I260),0)</f>
        <v/>
      </c>
    </row>
    <row r="261">
      <c r="A261" s="2" t="n"/>
      <c r="B261" s="2" t="n"/>
      <c r="C261" s="2" t="n"/>
      <c r="D261" s="2" t="n"/>
      <c r="E261" s="2" t="n"/>
      <c r="F261" s="2" t="n"/>
      <c r="G261">
        <f>IF(A261="","",A261&amp;"|"&amp;B261&amp;"|"&amp;E261)</f>
        <v/>
      </c>
      <c r="H261">
        <f>IF(A261="","",A261&amp;"|"&amp;B261&amp;"|"&amp;F261)</f>
        <v/>
      </c>
      <c r="I261">
        <f>IF(A261="","",A261&amp;"|"&amp;B261&amp;"|"&amp;C261)</f>
        <v/>
      </c>
      <c r="J261">
        <f>IF(A261="","",IF(COUNTIF($G$2:$G$300,G261)&gt;1,"Sí",""))</f>
        <v/>
      </c>
      <c r="K261">
        <f>IF(A261="","",IF(COUNTIF($H$2:$H$300,H261)&gt;1,"Sí",""))</f>
        <v/>
      </c>
      <c r="L261">
        <f>IF(A261="","",IF(COUNTIF($I$2:$I$300,I261)&gt;1,"Sí",""))</f>
        <v/>
      </c>
      <c r="M261">
        <f>IF(A261="","",IF(OR(J261="Sí",K261="Sí",L261="Sí"),"Conflicto","OK"))</f>
        <v/>
      </c>
      <c r="N261">
        <f>IF(J261="Sí",1/COUNTIF($G$2:$G$300,G261),0)</f>
        <v/>
      </c>
      <c r="O261">
        <f>IF(K261="Sí",1/COUNTIF($H$2:$H$300,H261),0)</f>
        <v/>
      </c>
      <c r="P261">
        <f>IF(L261="Sí",1/COUNTIF($I$2:$I$300,I261),0)</f>
        <v/>
      </c>
    </row>
    <row r="262">
      <c r="A262" s="2" t="n"/>
      <c r="B262" s="2" t="n"/>
      <c r="C262" s="2" t="n"/>
      <c r="D262" s="2" t="n"/>
      <c r="E262" s="2" t="n"/>
      <c r="F262" s="2" t="n"/>
      <c r="G262">
        <f>IF(A262="","",A262&amp;"|"&amp;B262&amp;"|"&amp;E262)</f>
        <v/>
      </c>
      <c r="H262">
        <f>IF(A262="","",A262&amp;"|"&amp;B262&amp;"|"&amp;F262)</f>
        <v/>
      </c>
      <c r="I262">
        <f>IF(A262="","",A262&amp;"|"&amp;B262&amp;"|"&amp;C262)</f>
        <v/>
      </c>
      <c r="J262">
        <f>IF(A262="","",IF(COUNTIF($G$2:$G$300,G262)&gt;1,"Sí",""))</f>
        <v/>
      </c>
      <c r="K262">
        <f>IF(A262="","",IF(COUNTIF($H$2:$H$300,H262)&gt;1,"Sí",""))</f>
        <v/>
      </c>
      <c r="L262">
        <f>IF(A262="","",IF(COUNTIF($I$2:$I$300,I262)&gt;1,"Sí",""))</f>
        <v/>
      </c>
      <c r="M262">
        <f>IF(A262="","",IF(OR(J262="Sí",K262="Sí",L262="Sí"),"Conflicto","OK"))</f>
        <v/>
      </c>
      <c r="N262">
        <f>IF(J262="Sí",1/COUNTIF($G$2:$G$300,G262),0)</f>
        <v/>
      </c>
      <c r="O262">
        <f>IF(K262="Sí",1/COUNTIF($H$2:$H$300,H262),0)</f>
        <v/>
      </c>
      <c r="P262">
        <f>IF(L262="Sí",1/COUNTIF($I$2:$I$300,I262),0)</f>
        <v/>
      </c>
    </row>
    <row r="263">
      <c r="A263" s="2" t="n"/>
      <c r="B263" s="2" t="n"/>
      <c r="C263" s="2" t="n"/>
      <c r="D263" s="2" t="n"/>
      <c r="E263" s="2" t="n"/>
      <c r="F263" s="2" t="n"/>
      <c r="G263">
        <f>IF(A263="","",A263&amp;"|"&amp;B263&amp;"|"&amp;E263)</f>
        <v/>
      </c>
      <c r="H263">
        <f>IF(A263="","",A263&amp;"|"&amp;B263&amp;"|"&amp;F263)</f>
        <v/>
      </c>
      <c r="I263">
        <f>IF(A263="","",A263&amp;"|"&amp;B263&amp;"|"&amp;C263)</f>
        <v/>
      </c>
      <c r="J263">
        <f>IF(A263="","",IF(COUNTIF($G$2:$G$300,G263)&gt;1,"Sí",""))</f>
        <v/>
      </c>
      <c r="K263">
        <f>IF(A263="","",IF(COUNTIF($H$2:$H$300,H263)&gt;1,"Sí",""))</f>
        <v/>
      </c>
      <c r="L263">
        <f>IF(A263="","",IF(COUNTIF($I$2:$I$300,I263)&gt;1,"Sí",""))</f>
        <v/>
      </c>
      <c r="M263">
        <f>IF(A263="","",IF(OR(J263="Sí",K263="Sí",L263="Sí"),"Conflicto","OK"))</f>
        <v/>
      </c>
      <c r="N263">
        <f>IF(J263="Sí",1/COUNTIF($G$2:$G$300,G263),0)</f>
        <v/>
      </c>
      <c r="O263">
        <f>IF(K263="Sí",1/COUNTIF($H$2:$H$300,H263),0)</f>
        <v/>
      </c>
      <c r="P263">
        <f>IF(L263="Sí",1/COUNTIF($I$2:$I$300,I263),0)</f>
        <v/>
      </c>
    </row>
    <row r="264">
      <c r="A264" s="2" t="n"/>
      <c r="B264" s="2" t="n"/>
      <c r="C264" s="2" t="n"/>
      <c r="D264" s="2" t="n"/>
      <c r="E264" s="2" t="n"/>
      <c r="F264" s="2" t="n"/>
      <c r="G264">
        <f>IF(A264="","",A264&amp;"|"&amp;B264&amp;"|"&amp;E264)</f>
        <v/>
      </c>
      <c r="H264">
        <f>IF(A264="","",A264&amp;"|"&amp;B264&amp;"|"&amp;F264)</f>
        <v/>
      </c>
      <c r="I264">
        <f>IF(A264="","",A264&amp;"|"&amp;B264&amp;"|"&amp;C264)</f>
        <v/>
      </c>
      <c r="J264">
        <f>IF(A264="","",IF(COUNTIF($G$2:$G$300,G264)&gt;1,"Sí",""))</f>
        <v/>
      </c>
      <c r="K264">
        <f>IF(A264="","",IF(COUNTIF($H$2:$H$300,H264)&gt;1,"Sí",""))</f>
        <v/>
      </c>
      <c r="L264">
        <f>IF(A264="","",IF(COUNTIF($I$2:$I$300,I264)&gt;1,"Sí",""))</f>
        <v/>
      </c>
      <c r="M264">
        <f>IF(A264="","",IF(OR(J264="Sí",K264="Sí",L264="Sí"),"Conflicto","OK"))</f>
        <v/>
      </c>
      <c r="N264">
        <f>IF(J264="Sí",1/COUNTIF($G$2:$G$300,G264),0)</f>
        <v/>
      </c>
      <c r="O264">
        <f>IF(K264="Sí",1/COUNTIF($H$2:$H$300,H264),0)</f>
        <v/>
      </c>
      <c r="P264">
        <f>IF(L264="Sí",1/COUNTIF($I$2:$I$300,I264),0)</f>
        <v/>
      </c>
    </row>
    <row r="265">
      <c r="A265" s="2" t="n"/>
      <c r="B265" s="2" t="n"/>
      <c r="C265" s="2" t="n"/>
      <c r="D265" s="2" t="n"/>
      <c r="E265" s="2" t="n"/>
      <c r="F265" s="2" t="n"/>
      <c r="G265">
        <f>IF(A265="","",A265&amp;"|"&amp;B265&amp;"|"&amp;E265)</f>
        <v/>
      </c>
      <c r="H265">
        <f>IF(A265="","",A265&amp;"|"&amp;B265&amp;"|"&amp;F265)</f>
        <v/>
      </c>
      <c r="I265">
        <f>IF(A265="","",A265&amp;"|"&amp;B265&amp;"|"&amp;C265)</f>
        <v/>
      </c>
      <c r="J265">
        <f>IF(A265="","",IF(COUNTIF($G$2:$G$300,G265)&gt;1,"Sí",""))</f>
        <v/>
      </c>
      <c r="K265">
        <f>IF(A265="","",IF(COUNTIF($H$2:$H$300,H265)&gt;1,"Sí",""))</f>
        <v/>
      </c>
      <c r="L265">
        <f>IF(A265="","",IF(COUNTIF($I$2:$I$300,I265)&gt;1,"Sí",""))</f>
        <v/>
      </c>
      <c r="M265">
        <f>IF(A265="","",IF(OR(J265="Sí",K265="Sí",L265="Sí"),"Conflicto","OK"))</f>
        <v/>
      </c>
      <c r="N265">
        <f>IF(J265="Sí",1/COUNTIF($G$2:$G$300,G265),0)</f>
        <v/>
      </c>
      <c r="O265">
        <f>IF(K265="Sí",1/COUNTIF($H$2:$H$300,H265),0)</f>
        <v/>
      </c>
      <c r="P265">
        <f>IF(L265="Sí",1/COUNTIF($I$2:$I$300,I265),0)</f>
        <v/>
      </c>
    </row>
    <row r="266">
      <c r="A266" s="2" t="n"/>
      <c r="B266" s="2" t="n"/>
      <c r="C266" s="2" t="n"/>
      <c r="D266" s="2" t="n"/>
      <c r="E266" s="2" t="n"/>
      <c r="F266" s="2" t="n"/>
      <c r="G266">
        <f>IF(A266="","",A266&amp;"|"&amp;B266&amp;"|"&amp;E266)</f>
        <v/>
      </c>
      <c r="H266">
        <f>IF(A266="","",A266&amp;"|"&amp;B266&amp;"|"&amp;F266)</f>
        <v/>
      </c>
      <c r="I266">
        <f>IF(A266="","",A266&amp;"|"&amp;B266&amp;"|"&amp;C266)</f>
        <v/>
      </c>
      <c r="J266">
        <f>IF(A266="","",IF(COUNTIF($G$2:$G$300,G266)&gt;1,"Sí",""))</f>
        <v/>
      </c>
      <c r="K266">
        <f>IF(A266="","",IF(COUNTIF($H$2:$H$300,H266)&gt;1,"Sí",""))</f>
        <v/>
      </c>
      <c r="L266">
        <f>IF(A266="","",IF(COUNTIF($I$2:$I$300,I266)&gt;1,"Sí",""))</f>
        <v/>
      </c>
      <c r="M266">
        <f>IF(A266="","",IF(OR(J266="Sí",K266="Sí",L266="Sí"),"Conflicto","OK"))</f>
        <v/>
      </c>
      <c r="N266">
        <f>IF(J266="Sí",1/COUNTIF($G$2:$G$300,G266),0)</f>
        <v/>
      </c>
      <c r="O266">
        <f>IF(K266="Sí",1/COUNTIF($H$2:$H$300,H266),0)</f>
        <v/>
      </c>
      <c r="P266">
        <f>IF(L266="Sí",1/COUNTIF($I$2:$I$300,I266),0)</f>
        <v/>
      </c>
    </row>
    <row r="267">
      <c r="A267" s="2" t="n"/>
      <c r="B267" s="2" t="n"/>
      <c r="C267" s="2" t="n"/>
      <c r="D267" s="2" t="n"/>
      <c r="E267" s="2" t="n"/>
      <c r="F267" s="2" t="n"/>
      <c r="G267">
        <f>IF(A267="","",A267&amp;"|"&amp;B267&amp;"|"&amp;E267)</f>
        <v/>
      </c>
      <c r="H267">
        <f>IF(A267="","",A267&amp;"|"&amp;B267&amp;"|"&amp;F267)</f>
        <v/>
      </c>
      <c r="I267">
        <f>IF(A267="","",A267&amp;"|"&amp;B267&amp;"|"&amp;C267)</f>
        <v/>
      </c>
      <c r="J267">
        <f>IF(A267="","",IF(COUNTIF($G$2:$G$300,G267)&gt;1,"Sí",""))</f>
        <v/>
      </c>
      <c r="K267">
        <f>IF(A267="","",IF(COUNTIF($H$2:$H$300,H267)&gt;1,"Sí",""))</f>
        <v/>
      </c>
      <c r="L267">
        <f>IF(A267="","",IF(COUNTIF($I$2:$I$300,I267)&gt;1,"Sí",""))</f>
        <v/>
      </c>
      <c r="M267">
        <f>IF(A267="","",IF(OR(J267="Sí",K267="Sí",L267="Sí"),"Conflicto","OK"))</f>
        <v/>
      </c>
      <c r="N267">
        <f>IF(J267="Sí",1/COUNTIF($G$2:$G$300,G267),0)</f>
        <v/>
      </c>
      <c r="O267">
        <f>IF(K267="Sí",1/COUNTIF($H$2:$H$300,H267),0)</f>
        <v/>
      </c>
      <c r="P267">
        <f>IF(L267="Sí",1/COUNTIF($I$2:$I$300,I267),0)</f>
        <v/>
      </c>
    </row>
    <row r="268">
      <c r="A268" s="2" t="n"/>
      <c r="B268" s="2" t="n"/>
      <c r="C268" s="2" t="n"/>
      <c r="D268" s="2" t="n"/>
      <c r="E268" s="2" t="n"/>
      <c r="F268" s="2" t="n"/>
      <c r="G268">
        <f>IF(A268="","",A268&amp;"|"&amp;B268&amp;"|"&amp;E268)</f>
        <v/>
      </c>
      <c r="H268">
        <f>IF(A268="","",A268&amp;"|"&amp;B268&amp;"|"&amp;F268)</f>
        <v/>
      </c>
      <c r="I268">
        <f>IF(A268="","",A268&amp;"|"&amp;B268&amp;"|"&amp;C268)</f>
        <v/>
      </c>
      <c r="J268">
        <f>IF(A268="","",IF(COUNTIF($G$2:$G$300,G268)&gt;1,"Sí",""))</f>
        <v/>
      </c>
      <c r="K268">
        <f>IF(A268="","",IF(COUNTIF($H$2:$H$300,H268)&gt;1,"Sí",""))</f>
        <v/>
      </c>
      <c r="L268">
        <f>IF(A268="","",IF(COUNTIF($I$2:$I$300,I268)&gt;1,"Sí",""))</f>
        <v/>
      </c>
      <c r="M268">
        <f>IF(A268="","",IF(OR(J268="Sí",K268="Sí",L268="Sí"),"Conflicto","OK"))</f>
        <v/>
      </c>
      <c r="N268">
        <f>IF(J268="Sí",1/COUNTIF($G$2:$G$300,G268),0)</f>
        <v/>
      </c>
      <c r="O268">
        <f>IF(K268="Sí",1/COUNTIF($H$2:$H$300,H268),0)</f>
        <v/>
      </c>
      <c r="P268">
        <f>IF(L268="Sí",1/COUNTIF($I$2:$I$300,I268),0)</f>
        <v/>
      </c>
    </row>
    <row r="269">
      <c r="A269" s="2" t="n"/>
      <c r="B269" s="2" t="n"/>
      <c r="C269" s="2" t="n"/>
      <c r="D269" s="2" t="n"/>
      <c r="E269" s="2" t="n"/>
      <c r="F269" s="2" t="n"/>
      <c r="G269">
        <f>IF(A269="","",A269&amp;"|"&amp;B269&amp;"|"&amp;E269)</f>
        <v/>
      </c>
      <c r="H269">
        <f>IF(A269="","",A269&amp;"|"&amp;B269&amp;"|"&amp;F269)</f>
        <v/>
      </c>
      <c r="I269">
        <f>IF(A269="","",A269&amp;"|"&amp;B269&amp;"|"&amp;C269)</f>
        <v/>
      </c>
      <c r="J269">
        <f>IF(A269="","",IF(COUNTIF($G$2:$G$300,G269)&gt;1,"Sí",""))</f>
        <v/>
      </c>
      <c r="K269">
        <f>IF(A269="","",IF(COUNTIF($H$2:$H$300,H269)&gt;1,"Sí",""))</f>
        <v/>
      </c>
      <c r="L269">
        <f>IF(A269="","",IF(COUNTIF($I$2:$I$300,I269)&gt;1,"Sí",""))</f>
        <v/>
      </c>
      <c r="M269">
        <f>IF(A269="","",IF(OR(J269="Sí",K269="Sí",L269="Sí"),"Conflicto","OK"))</f>
        <v/>
      </c>
      <c r="N269">
        <f>IF(J269="Sí",1/COUNTIF($G$2:$G$300,G269),0)</f>
        <v/>
      </c>
      <c r="O269">
        <f>IF(K269="Sí",1/COUNTIF($H$2:$H$300,H269),0)</f>
        <v/>
      </c>
      <c r="P269">
        <f>IF(L269="Sí",1/COUNTIF($I$2:$I$300,I269),0)</f>
        <v/>
      </c>
    </row>
    <row r="270">
      <c r="A270" s="2" t="n"/>
      <c r="B270" s="2" t="n"/>
      <c r="C270" s="2" t="n"/>
      <c r="D270" s="2" t="n"/>
      <c r="E270" s="2" t="n"/>
      <c r="F270" s="2" t="n"/>
      <c r="G270">
        <f>IF(A270="","",A270&amp;"|"&amp;B270&amp;"|"&amp;E270)</f>
        <v/>
      </c>
      <c r="H270">
        <f>IF(A270="","",A270&amp;"|"&amp;B270&amp;"|"&amp;F270)</f>
        <v/>
      </c>
      <c r="I270">
        <f>IF(A270="","",A270&amp;"|"&amp;B270&amp;"|"&amp;C270)</f>
        <v/>
      </c>
      <c r="J270">
        <f>IF(A270="","",IF(COUNTIF($G$2:$G$300,G270)&gt;1,"Sí",""))</f>
        <v/>
      </c>
      <c r="K270">
        <f>IF(A270="","",IF(COUNTIF($H$2:$H$300,H270)&gt;1,"Sí",""))</f>
        <v/>
      </c>
      <c r="L270">
        <f>IF(A270="","",IF(COUNTIF($I$2:$I$300,I270)&gt;1,"Sí",""))</f>
        <v/>
      </c>
      <c r="M270">
        <f>IF(A270="","",IF(OR(J270="Sí",K270="Sí",L270="Sí"),"Conflicto","OK"))</f>
        <v/>
      </c>
      <c r="N270">
        <f>IF(J270="Sí",1/COUNTIF($G$2:$G$300,G270),0)</f>
        <v/>
      </c>
      <c r="O270">
        <f>IF(K270="Sí",1/COUNTIF($H$2:$H$300,H270),0)</f>
        <v/>
      </c>
      <c r="P270">
        <f>IF(L270="Sí",1/COUNTIF($I$2:$I$300,I270),0)</f>
        <v/>
      </c>
    </row>
    <row r="271">
      <c r="A271" s="2" t="n"/>
      <c r="B271" s="2" t="n"/>
      <c r="C271" s="2" t="n"/>
      <c r="D271" s="2" t="n"/>
      <c r="E271" s="2" t="n"/>
      <c r="F271" s="2" t="n"/>
      <c r="G271">
        <f>IF(A271="","",A271&amp;"|"&amp;B271&amp;"|"&amp;E271)</f>
        <v/>
      </c>
      <c r="H271">
        <f>IF(A271="","",A271&amp;"|"&amp;B271&amp;"|"&amp;F271)</f>
        <v/>
      </c>
      <c r="I271">
        <f>IF(A271="","",A271&amp;"|"&amp;B271&amp;"|"&amp;C271)</f>
        <v/>
      </c>
      <c r="J271">
        <f>IF(A271="","",IF(COUNTIF($G$2:$G$300,G271)&gt;1,"Sí",""))</f>
        <v/>
      </c>
      <c r="K271">
        <f>IF(A271="","",IF(COUNTIF($H$2:$H$300,H271)&gt;1,"Sí",""))</f>
        <v/>
      </c>
      <c r="L271">
        <f>IF(A271="","",IF(COUNTIF($I$2:$I$300,I271)&gt;1,"Sí",""))</f>
        <v/>
      </c>
      <c r="M271">
        <f>IF(A271="","",IF(OR(J271="Sí",K271="Sí",L271="Sí"),"Conflicto","OK"))</f>
        <v/>
      </c>
      <c r="N271">
        <f>IF(J271="Sí",1/COUNTIF($G$2:$G$300,G271),0)</f>
        <v/>
      </c>
      <c r="O271">
        <f>IF(K271="Sí",1/COUNTIF($H$2:$H$300,H271),0)</f>
        <v/>
      </c>
      <c r="P271">
        <f>IF(L271="Sí",1/COUNTIF($I$2:$I$300,I271),0)</f>
        <v/>
      </c>
    </row>
    <row r="272">
      <c r="A272" s="2" t="n"/>
      <c r="B272" s="2" t="n"/>
      <c r="C272" s="2" t="n"/>
      <c r="D272" s="2" t="n"/>
      <c r="E272" s="2" t="n"/>
      <c r="F272" s="2" t="n"/>
      <c r="G272">
        <f>IF(A272="","",A272&amp;"|"&amp;B272&amp;"|"&amp;E272)</f>
        <v/>
      </c>
      <c r="H272">
        <f>IF(A272="","",A272&amp;"|"&amp;B272&amp;"|"&amp;F272)</f>
        <v/>
      </c>
      <c r="I272">
        <f>IF(A272="","",A272&amp;"|"&amp;B272&amp;"|"&amp;C272)</f>
        <v/>
      </c>
      <c r="J272">
        <f>IF(A272="","",IF(COUNTIF($G$2:$G$300,G272)&gt;1,"Sí",""))</f>
        <v/>
      </c>
      <c r="K272">
        <f>IF(A272="","",IF(COUNTIF($H$2:$H$300,H272)&gt;1,"Sí",""))</f>
        <v/>
      </c>
      <c r="L272">
        <f>IF(A272="","",IF(COUNTIF($I$2:$I$300,I272)&gt;1,"Sí",""))</f>
        <v/>
      </c>
      <c r="M272">
        <f>IF(A272="","",IF(OR(J272="Sí",K272="Sí",L272="Sí"),"Conflicto","OK"))</f>
        <v/>
      </c>
      <c r="N272">
        <f>IF(J272="Sí",1/COUNTIF($G$2:$G$300,G272),0)</f>
        <v/>
      </c>
      <c r="O272">
        <f>IF(K272="Sí",1/COUNTIF($H$2:$H$300,H272),0)</f>
        <v/>
      </c>
      <c r="P272">
        <f>IF(L272="Sí",1/COUNTIF($I$2:$I$300,I272),0)</f>
        <v/>
      </c>
    </row>
    <row r="273">
      <c r="A273" s="2" t="n"/>
      <c r="B273" s="2" t="n"/>
      <c r="C273" s="2" t="n"/>
      <c r="D273" s="2" t="n"/>
      <c r="E273" s="2" t="n"/>
      <c r="F273" s="2" t="n"/>
      <c r="G273">
        <f>IF(A273="","",A273&amp;"|"&amp;B273&amp;"|"&amp;E273)</f>
        <v/>
      </c>
      <c r="H273">
        <f>IF(A273="","",A273&amp;"|"&amp;B273&amp;"|"&amp;F273)</f>
        <v/>
      </c>
      <c r="I273">
        <f>IF(A273="","",A273&amp;"|"&amp;B273&amp;"|"&amp;C273)</f>
        <v/>
      </c>
      <c r="J273">
        <f>IF(A273="","",IF(COUNTIF($G$2:$G$300,G273)&gt;1,"Sí",""))</f>
        <v/>
      </c>
      <c r="K273">
        <f>IF(A273="","",IF(COUNTIF($H$2:$H$300,H273)&gt;1,"Sí",""))</f>
        <v/>
      </c>
      <c r="L273">
        <f>IF(A273="","",IF(COUNTIF($I$2:$I$300,I273)&gt;1,"Sí",""))</f>
        <v/>
      </c>
      <c r="M273">
        <f>IF(A273="","",IF(OR(J273="Sí",K273="Sí",L273="Sí"),"Conflicto","OK"))</f>
        <v/>
      </c>
      <c r="N273">
        <f>IF(J273="Sí",1/COUNTIF($G$2:$G$300,G273),0)</f>
        <v/>
      </c>
      <c r="O273">
        <f>IF(K273="Sí",1/COUNTIF($H$2:$H$300,H273),0)</f>
        <v/>
      </c>
      <c r="P273">
        <f>IF(L273="Sí",1/COUNTIF($I$2:$I$300,I273),0)</f>
        <v/>
      </c>
    </row>
    <row r="274">
      <c r="A274" s="2" t="n"/>
      <c r="B274" s="2" t="n"/>
      <c r="C274" s="2" t="n"/>
      <c r="D274" s="2" t="n"/>
      <c r="E274" s="2" t="n"/>
      <c r="F274" s="2" t="n"/>
      <c r="G274">
        <f>IF(A274="","",A274&amp;"|"&amp;B274&amp;"|"&amp;E274)</f>
        <v/>
      </c>
      <c r="H274">
        <f>IF(A274="","",A274&amp;"|"&amp;B274&amp;"|"&amp;F274)</f>
        <v/>
      </c>
      <c r="I274">
        <f>IF(A274="","",A274&amp;"|"&amp;B274&amp;"|"&amp;C274)</f>
        <v/>
      </c>
      <c r="J274">
        <f>IF(A274="","",IF(COUNTIF($G$2:$G$300,G274)&gt;1,"Sí",""))</f>
        <v/>
      </c>
      <c r="K274">
        <f>IF(A274="","",IF(COUNTIF($H$2:$H$300,H274)&gt;1,"Sí",""))</f>
        <v/>
      </c>
      <c r="L274">
        <f>IF(A274="","",IF(COUNTIF($I$2:$I$300,I274)&gt;1,"Sí",""))</f>
        <v/>
      </c>
      <c r="M274">
        <f>IF(A274="","",IF(OR(J274="Sí",K274="Sí",L274="Sí"),"Conflicto","OK"))</f>
        <v/>
      </c>
      <c r="N274">
        <f>IF(J274="Sí",1/COUNTIF($G$2:$G$300,G274),0)</f>
        <v/>
      </c>
      <c r="O274">
        <f>IF(K274="Sí",1/COUNTIF($H$2:$H$300,H274),0)</f>
        <v/>
      </c>
      <c r="P274">
        <f>IF(L274="Sí",1/COUNTIF($I$2:$I$300,I274),0)</f>
        <v/>
      </c>
    </row>
    <row r="275">
      <c r="A275" s="2" t="n"/>
      <c r="B275" s="2" t="n"/>
      <c r="C275" s="2" t="n"/>
      <c r="D275" s="2" t="n"/>
      <c r="E275" s="2" t="n"/>
      <c r="F275" s="2" t="n"/>
      <c r="G275">
        <f>IF(A275="","",A275&amp;"|"&amp;B275&amp;"|"&amp;E275)</f>
        <v/>
      </c>
      <c r="H275">
        <f>IF(A275="","",A275&amp;"|"&amp;B275&amp;"|"&amp;F275)</f>
        <v/>
      </c>
      <c r="I275">
        <f>IF(A275="","",A275&amp;"|"&amp;B275&amp;"|"&amp;C275)</f>
        <v/>
      </c>
      <c r="J275">
        <f>IF(A275="","",IF(COUNTIF($G$2:$G$300,G275)&gt;1,"Sí",""))</f>
        <v/>
      </c>
      <c r="K275">
        <f>IF(A275="","",IF(COUNTIF($H$2:$H$300,H275)&gt;1,"Sí",""))</f>
        <v/>
      </c>
      <c r="L275">
        <f>IF(A275="","",IF(COUNTIF($I$2:$I$300,I275)&gt;1,"Sí",""))</f>
        <v/>
      </c>
      <c r="M275">
        <f>IF(A275="","",IF(OR(J275="Sí",K275="Sí",L275="Sí"),"Conflicto","OK"))</f>
        <v/>
      </c>
      <c r="N275">
        <f>IF(J275="Sí",1/COUNTIF($G$2:$G$300,G275),0)</f>
        <v/>
      </c>
      <c r="O275">
        <f>IF(K275="Sí",1/COUNTIF($H$2:$H$300,H275),0)</f>
        <v/>
      </c>
      <c r="P275">
        <f>IF(L275="Sí",1/COUNTIF($I$2:$I$300,I275),0)</f>
        <v/>
      </c>
    </row>
    <row r="276">
      <c r="A276" s="2" t="n"/>
      <c r="B276" s="2" t="n"/>
      <c r="C276" s="2" t="n"/>
      <c r="D276" s="2" t="n"/>
      <c r="E276" s="2" t="n"/>
      <c r="F276" s="2" t="n"/>
      <c r="G276">
        <f>IF(A276="","",A276&amp;"|"&amp;B276&amp;"|"&amp;E276)</f>
        <v/>
      </c>
      <c r="H276">
        <f>IF(A276="","",A276&amp;"|"&amp;B276&amp;"|"&amp;F276)</f>
        <v/>
      </c>
      <c r="I276">
        <f>IF(A276="","",A276&amp;"|"&amp;B276&amp;"|"&amp;C276)</f>
        <v/>
      </c>
      <c r="J276">
        <f>IF(A276="","",IF(COUNTIF($G$2:$G$300,G276)&gt;1,"Sí",""))</f>
        <v/>
      </c>
      <c r="K276">
        <f>IF(A276="","",IF(COUNTIF($H$2:$H$300,H276)&gt;1,"Sí",""))</f>
        <v/>
      </c>
      <c r="L276">
        <f>IF(A276="","",IF(COUNTIF($I$2:$I$300,I276)&gt;1,"Sí",""))</f>
        <v/>
      </c>
      <c r="M276">
        <f>IF(A276="","",IF(OR(J276="Sí",K276="Sí",L276="Sí"),"Conflicto","OK"))</f>
        <v/>
      </c>
      <c r="N276">
        <f>IF(J276="Sí",1/COUNTIF($G$2:$G$300,G276),0)</f>
        <v/>
      </c>
      <c r="O276">
        <f>IF(K276="Sí",1/COUNTIF($H$2:$H$300,H276),0)</f>
        <v/>
      </c>
      <c r="P276">
        <f>IF(L276="Sí",1/COUNTIF($I$2:$I$300,I276),0)</f>
        <v/>
      </c>
    </row>
    <row r="277">
      <c r="A277" s="2" t="n"/>
      <c r="B277" s="2" t="n"/>
      <c r="C277" s="2" t="n"/>
      <c r="D277" s="2" t="n"/>
      <c r="E277" s="2" t="n"/>
      <c r="F277" s="2" t="n"/>
      <c r="G277">
        <f>IF(A277="","",A277&amp;"|"&amp;B277&amp;"|"&amp;E277)</f>
        <v/>
      </c>
      <c r="H277">
        <f>IF(A277="","",A277&amp;"|"&amp;B277&amp;"|"&amp;F277)</f>
        <v/>
      </c>
      <c r="I277">
        <f>IF(A277="","",A277&amp;"|"&amp;B277&amp;"|"&amp;C277)</f>
        <v/>
      </c>
      <c r="J277">
        <f>IF(A277="","",IF(COUNTIF($G$2:$G$300,G277)&gt;1,"Sí",""))</f>
        <v/>
      </c>
      <c r="K277">
        <f>IF(A277="","",IF(COUNTIF($H$2:$H$300,H277)&gt;1,"Sí",""))</f>
        <v/>
      </c>
      <c r="L277">
        <f>IF(A277="","",IF(COUNTIF($I$2:$I$300,I277)&gt;1,"Sí",""))</f>
        <v/>
      </c>
      <c r="M277">
        <f>IF(A277="","",IF(OR(J277="Sí",K277="Sí",L277="Sí"),"Conflicto","OK"))</f>
        <v/>
      </c>
      <c r="N277">
        <f>IF(J277="Sí",1/COUNTIF($G$2:$G$300,G277),0)</f>
        <v/>
      </c>
      <c r="O277">
        <f>IF(K277="Sí",1/COUNTIF($H$2:$H$300,H277),0)</f>
        <v/>
      </c>
      <c r="P277">
        <f>IF(L277="Sí",1/COUNTIF($I$2:$I$300,I277),0)</f>
        <v/>
      </c>
    </row>
    <row r="278">
      <c r="A278" s="2" t="n"/>
      <c r="B278" s="2" t="n"/>
      <c r="C278" s="2" t="n"/>
      <c r="D278" s="2" t="n"/>
      <c r="E278" s="2" t="n"/>
      <c r="F278" s="2" t="n"/>
      <c r="G278">
        <f>IF(A278="","",A278&amp;"|"&amp;B278&amp;"|"&amp;E278)</f>
        <v/>
      </c>
      <c r="H278">
        <f>IF(A278="","",A278&amp;"|"&amp;B278&amp;"|"&amp;F278)</f>
        <v/>
      </c>
      <c r="I278">
        <f>IF(A278="","",A278&amp;"|"&amp;B278&amp;"|"&amp;C278)</f>
        <v/>
      </c>
      <c r="J278">
        <f>IF(A278="","",IF(COUNTIF($G$2:$G$300,G278)&gt;1,"Sí",""))</f>
        <v/>
      </c>
      <c r="K278">
        <f>IF(A278="","",IF(COUNTIF($H$2:$H$300,H278)&gt;1,"Sí",""))</f>
        <v/>
      </c>
      <c r="L278">
        <f>IF(A278="","",IF(COUNTIF($I$2:$I$300,I278)&gt;1,"Sí",""))</f>
        <v/>
      </c>
      <c r="M278">
        <f>IF(A278="","",IF(OR(J278="Sí",K278="Sí",L278="Sí"),"Conflicto","OK"))</f>
        <v/>
      </c>
      <c r="N278">
        <f>IF(J278="Sí",1/COUNTIF($G$2:$G$300,G278),0)</f>
        <v/>
      </c>
      <c r="O278">
        <f>IF(K278="Sí",1/COUNTIF($H$2:$H$300,H278),0)</f>
        <v/>
      </c>
      <c r="P278">
        <f>IF(L278="Sí",1/COUNTIF($I$2:$I$300,I278),0)</f>
        <v/>
      </c>
    </row>
    <row r="279">
      <c r="A279" s="2" t="n"/>
      <c r="B279" s="2" t="n"/>
      <c r="C279" s="2" t="n"/>
      <c r="D279" s="2" t="n"/>
      <c r="E279" s="2" t="n"/>
      <c r="F279" s="2" t="n"/>
      <c r="G279">
        <f>IF(A279="","",A279&amp;"|"&amp;B279&amp;"|"&amp;E279)</f>
        <v/>
      </c>
      <c r="H279">
        <f>IF(A279="","",A279&amp;"|"&amp;B279&amp;"|"&amp;F279)</f>
        <v/>
      </c>
      <c r="I279">
        <f>IF(A279="","",A279&amp;"|"&amp;B279&amp;"|"&amp;C279)</f>
        <v/>
      </c>
      <c r="J279">
        <f>IF(A279="","",IF(COUNTIF($G$2:$G$300,G279)&gt;1,"Sí",""))</f>
        <v/>
      </c>
      <c r="K279">
        <f>IF(A279="","",IF(COUNTIF($H$2:$H$300,H279)&gt;1,"Sí",""))</f>
        <v/>
      </c>
      <c r="L279">
        <f>IF(A279="","",IF(COUNTIF($I$2:$I$300,I279)&gt;1,"Sí",""))</f>
        <v/>
      </c>
      <c r="M279">
        <f>IF(A279="","",IF(OR(J279="Sí",K279="Sí",L279="Sí"),"Conflicto","OK"))</f>
        <v/>
      </c>
      <c r="N279">
        <f>IF(J279="Sí",1/COUNTIF($G$2:$G$300,G279),0)</f>
        <v/>
      </c>
      <c r="O279">
        <f>IF(K279="Sí",1/COUNTIF($H$2:$H$300,H279),0)</f>
        <v/>
      </c>
      <c r="P279">
        <f>IF(L279="Sí",1/COUNTIF($I$2:$I$300,I279),0)</f>
        <v/>
      </c>
    </row>
    <row r="280">
      <c r="A280" s="2" t="n"/>
      <c r="B280" s="2" t="n"/>
      <c r="C280" s="2" t="n"/>
      <c r="D280" s="2" t="n"/>
      <c r="E280" s="2" t="n"/>
      <c r="F280" s="2" t="n"/>
      <c r="G280">
        <f>IF(A280="","",A280&amp;"|"&amp;B280&amp;"|"&amp;E280)</f>
        <v/>
      </c>
      <c r="H280">
        <f>IF(A280="","",A280&amp;"|"&amp;B280&amp;"|"&amp;F280)</f>
        <v/>
      </c>
      <c r="I280">
        <f>IF(A280="","",A280&amp;"|"&amp;B280&amp;"|"&amp;C280)</f>
        <v/>
      </c>
      <c r="J280">
        <f>IF(A280="","",IF(COUNTIF($G$2:$G$300,G280)&gt;1,"Sí",""))</f>
        <v/>
      </c>
      <c r="K280">
        <f>IF(A280="","",IF(COUNTIF($H$2:$H$300,H280)&gt;1,"Sí",""))</f>
        <v/>
      </c>
      <c r="L280">
        <f>IF(A280="","",IF(COUNTIF($I$2:$I$300,I280)&gt;1,"Sí",""))</f>
        <v/>
      </c>
      <c r="M280">
        <f>IF(A280="","",IF(OR(J280="Sí",K280="Sí",L280="Sí"),"Conflicto","OK"))</f>
        <v/>
      </c>
      <c r="N280">
        <f>IF(J280="Sí",1/COUNTIF($G$2:$G$300,G280),0)</f>
        <v/>
      </c>
      <c r="O280">
        <f>IF(K280="Sí",1/COUNTIF($H$2:$H$300,H280),0)</f>
        <v/>
      </c>
      <c r="P280">
        <f>IF(L280="Sí",1/COUNTIF($I$2:$I$300,I280),0)</f>
        <v/>
      </c>
    </row>
    <row r="281">
      <c r="A281" s="2" t="n"/>
      <c r="B281" s="2" t="n"/>
      <c r="C281" s="2" t="n"/>
      <c r="D281" s="2" t="n"/>
      <c r="E281" s="2" t="n"/>
      <c r="F281" s="2" t="n"/>
      <c r="G281">
        <f>IF(A281="","",A281&amp;"|"&amp;B281&amp;"|"&amp;E281)</f>
        <v/>
      </c>
      <c r="H281">
        <f>IF(A281="","",A281&amp;"|"&amp;B281&amp;"|"&amp;F281)</f>
        <v/>
      </c>
      <c r="I281">
        <f>IF(A281="","",A281&amp;"|"&amp;B281&amp;"|"&amp;C281)</f>
        <v/>
      </c>
      <c r="J281">
        <f>IF(A281="","",IF(COUNTIF($G$2:$G$300,G281)&gt;1,"Sí",""))</f>
        <v/>
      </c>
      <c r="K281">
        <f>IF(A281="","",IF(COUNTIF($H$2:$H$300,H281)&gt;1,"Sí",""))</f>
        <v/>
      </c>
      <c r="L281">
        <f>IF(A281="","",IF(COUNTIF($I$2:$I$300,I281)&gt;1,"Sí",""))</f>
        <v/>
      </c>
      <c r="M281">
        <f>IF(A281="","",IF(OR(J281="Sí",K281="Sí",L281="Sí"),"Conflicto","OK"))</f>
        <v/>
      </c>
      <c r="N281">
        <f>IF(J281="Sí",1/COUNTIF($G$2:$G$300,G281),0)</f>
        <v/>
      </c>
      <c r="O281">
        <f>IF(K281="Sí",1/COUNTIF($H$2:$H$300,H281),0)</f>
        <v/>
      </c>
      <c r="P281">
        <f>IF(L281="Sí",1/COUNTIF($I$2:$I$300,I281),0)</f>
        <v/>
      </c>
    </row>
    <row r="282">
      <c r="A282" s="2" t="n"/>
      <c r="B282" s="2" t="n"/>
      <c r="C282" s="2" t="n"/>
      <c r="D282" s="2" t="n"/>
      <c r="E282" s="2" t="n"/>
      <c r="F282" s="2" t="n"/>
      <c r="G282">
        <f>IF(A282="","",A282&amp;"|"&amp;B282&amp;"|"&amp;E282)</f>
        <v/>
      </c>
      <c r="H282">
        <f>IF(A282="","",A282&amp;"|"&amp;B282&amp;"|"&amp;F282)</f>
        <v/>
      </c>
      <c r="I282">
        <f>IF(A282="","",A282&amp;"|"&amp;B282&amp;"|"&amp;C282)</f>
        <v/>
      </c>
      <c r="J282">
        <f>IF(A282="","",IF(COUNTIF($G$2:$G$300,G282)&gt;1,"Sí",""))</f>
        <v/>
      </c>
      <c r="K282">
        <f>IF(A282="","",IF(COUNTIF($H$2:$H$300,H282)&gt;1,"Sí",""))</f>
        <v/>
      </c>
      <c r="L282">
        <f>IF(A282="","",IF(COUNTIF($I$2:$I$300,I282)&gt;1,"Sí",""))</f>
        <v/>
      </c>
      <c r="M282">
        <f>IF(A282="","",IF(OR(J282="Sí",K282="Sí",L282="Sí"),"Conflicto","OK"))</f>
        <v/>
      </c>
      <c r="N282">
        <f>IF(J282="Sí",1/COUNTIF($G$2:$G$300,G282),0)</f>
        <v/>
      </c>
      <c r="O282">
        <f>IF(K282="Sí",1/COUNTIF($H$2:$H$300,H282),0)</f>
        <v/>
      </c>
      <c r="P282">
        <f>IF(L282="Sí",1/COUNTIF($I$2:$I$300,I282),0)</f>
        <v/>
      </c>
    </row>
    <row r="283">
      <c r="A283" s="2" t="n"/>
      <c r="B283" s="2" t="n"/>
      <c r="C283" s="2" t="n"/>
      <c r="D283" s="2" t="n"/>
      <c r="E283" s="2" t="n"/>
      <c r="F283" s="2" t="n"/>
      <c r="G283">
        <f>IF(A283="","",A283&amp;"|"&amp;B283&amp;"|"&amp;E283)</f>
        <v/>
      </c>
      <c r="H283">
        <f>IF(A283="","",A283&amp;"|"&amp;B283&amp;"|"&amp;F283)</f>
        <v/>
      </c>
      <c r="I283">
        <f>IF(A283="","",A283&amp;"|"&amp;B283&amp;"|"&amp;C283)</f>
        <v/>
      </c>
      <c r="J283">
        <f>IF(A283="","",IF(COUNTIF($G$2:$G$300,G283)&gt;1,"Sí",""))</f>
        <v/>
      </c>
      <c r="K283">
        <f>IF(A283="","",IF(COUNTIF($H$2:$H$300,H283)&gt;1,"Sí",""))</f>
        <v/>
      </c>
      <c r="L283">
        <f>IF(A283="","",IF(COUNTIF($I$2:$I$300,I283)&gt;1,"Sí",""))</f>
        <v/>
      </c>
      <c r="M283">
        <f>IF(A283="","",IF(OR(J283="Sí",K283="Sí",L283="Sí"),"Conflicto","OK"))</f>
        <v/>
      </c>
      <c r="N283">
        <f>IF(J283="Sí",1/COUNTIF($G$2:$G$300,G283),0)</f>
        <v/>
      </c>
      <c r="O283">
        <f>IF(K283="Sí",1/COUNTIF($H$2:$H$300,H283),0)</f>
        <v/>
      </c>
      <c r="P283">
        <f>IF(L283="Sí",1/COUNTIF($I$2:$I$300,I283),0)</f>
        <v/>
      </c>
    </row>
    <row r="284">
      <c r="A284" s="2" t="n"/>
      <c r="B284" s="2" t="n"/>
      <c r="C284" s="2" t="n"/>
      <c r="D284" s="2" t="n"/>
      <c r="E284" s="2" t="n"/>
      <c r="F284" s="2" t="n"/>
      <c r="G284">
        <f>IF(A284="","",A284&amp;"|"&amp;B284&amp;"|"&amp;E284)</f>
        <v/>
      </c>
      <c r="H284">
        <f>IF(A284="","",A284&amp;"|"&amp;B284&amp;"|"&amp;F284)</f>
        <v/>
      </c>
      <c r="I284">
        <f>IF(A284="","",A284&amp;"|"&amp;B284&amp;"|"&amp;C284)</f>
        <v/>
      </c>
      <c r="J284">
        <f>IF(A284="","",IF(COUNTIF($G$2:$G$300,G284)&gt;1,"Sí",""))</f>
        <v/>
      </c>
      <c r="K284">
        <f>IF(A284="","",IF(COUNTIF($H$2:$H$300,H284)&gt;1,"Sí",""))</f>
        <v/>
      </c>
      <c r="L284">
        <f>IF(A284="","",IF(COUNTIF($I$2:$I$300,I284)&gt;1,"Sí",""))</f>
        <v/>
      </c>
      <c r="M284">
        <f>IF(A284="","",IF(OR(J284="Sí",K284="Sí",L284="Sí"),"Conflicto","OK"))</f>
        <v/>
      </c>
      <c r="N284">
        <f>IF(J284="Sí",1/COUNTIF($G$2:$G$300,G284),0)</f>
        <v/>
      </c>
      <c r="O284">
        <f>IF(K284="Sí",1/COUNTIF($H$2:$H$300,H284),0)</f>
        <v/>
      </c>
      <c r="P284">
        <f>IF(L284="Sí",1/COUNTIF($I$2:$I$300,I284),0)</f>
        <v/>
      </c>
    </row>
    <row r="285">
      <c r="A285" s="2" t="n"/>
      <c r="B285" s="2" t="n"/>
      <c r="C285" s="2" t="n"/>
      <c r="D285" s="2" t="n"/>
      <c r="E285" s="2" t="n"/>
      <c r="F285" s="2" t="n"/>
      <c r="G285">
        <f>IF(A285="","",A285&amp;"|"&amp;B285&amp;"|"&amp;E285)</f>
        <v/>
      </c>
      <c r="H285">
        <f>IF(A285="","",A285&amp;"|"&amp;B285&amp;"|"&amp;F285)</f>
        <v/>
      </c>
      <c r="I285">
        <f>IF(A285="","",A285&amp;"|"&amp;B285&amp;"|"&amp;C285)</f>
        <v/>
      </c>
      <c r="J285">
        <f>IF(A285="","",IF(COUNTIF($G$2:$G$300,G285)&gt;1,"Sí",""))</f>
        <v/>
      </c>
      <c r="K285">
        <f>IF(A285="","",IF(COUNTIF($H$2:$H$300,H285)&gt;1,"Sí",""))</f>
        <v/>
      </c>
      <c r="L285">
        <f>IF(A285="","",IF(COUNTIF($I$2:$I$300,I285)&gt;1,"Sí",""))</f>
        <v/>
      </c>
      <c r="M285">
        <f>IF(A285="","",IF(OR(J285="Sí",K285="Sí",L285="Sí"),"Conflicto","OK"))</f>
        <v/>
      </c>
      <c r="N285">
        <f>IF(J285="Sí",1/COUNTIF($G$2:$G$300,G285),0)</f>
        <v/>
      </c>
      <c r="O285">
        <f>IF(K285="Sí",1/COUNTIF($H$2:$H$300,H285),0)</f>
        <v/>
      </c>
      <c r="P285">
        <f>IF(L285="Sí",1/COUNTIF($I$2:$I$300,I285),0)</f>
        <v/>
      </c>
    </row>
    <row r="286">
      <c r="A286" s="2" t="n"/>
      <c r="B286" s="2" t="n"/>
      <c r="C286" s="2" t="n"/>
      <c r="D286" s="2" t="n"/>
      <c r="E286" s="2" t="n"/>
      <c r="F286" s="2" t="n"/>
      <c r="G286">
        <f>IF(A286="","",A286&amp;"|"&amp;B286&amp;"|"&amp;E286)</f>
        <v/>
      </c>
      <c r="H286">
        <f>IF(A286="","",A286&amp;"|"&amp;B286&amp;"|"&amp;F286)</f>
        <v/>
      </c>
      <c r="I286">
        <f>IF(A286="","",A286&amp;"|"&amp;B286&amp;"|"&amp;C286)</f>
        <v/>
      </c>
      <c r="J286">
        <f>IF(A286="","",IF(COUNTIF($G$2:$G$300,G286)&gt;1,"Sí",""))</f>
        <v/>
      </c>
      <c r="K286">
        <f>IF(A286="","",IF(COUNTIF($H$2:$H$300,H286)&gt;1,"Sí",""))</f>
        <v/>
      </c>
      <c r="L286">
        <f>IF(A286="","",IF(COUNTIF($I$2:$I$300,I286)&gt;1,"Sí",""))</f>
        <v/>
      </c>
      <c r="M286">
        <f>IF(A286="","",IF(OR(J286="Sí",K286="Sí",L286="Sí"),"Conflicto","OK"))</f>
        <v/>
      </c>
      <c r="N286">
        <f>IF(J286="Sí",1/COUNTIF($G$2:$G$300,G286),0)</f>
        <v/>
      </c>
      <c r="O286">
        <f>IF(K286="Sí",1/COUNTIF($H$2:$H$300,H286),0)</f>
        <v/>
      </c>
      <c r="P286">
        <f>IF(L286="Sí",1/COUNTIF($I$2:$I$300,I286),0)</f>
        <v/>
      </c>
    </row>
    <row r="287">
      <c r="A287" s="2" t="n"/>
      <c r="B287" s="2" t="n"/>
      <c r="C287" s="2" t="n"/>
      <c r="D287" s="2" t="n"/>
      <c r="E287" s="2" t="n"/>
      <c r="F287" s="2" t="n"/>
      <c r="G287">
        <f>IF(A287="","",A287&amp;"|"&amp;B287&amp;"|"&amp;E287)</f>
        <v/>
      </c>
      <c r="H287">
        <f>IF(A287="","",A287&amp;"|"&amp;B287&amp;"|"&amp;F287)</f>
        <v/>
      </c>
      <c r="I287">
        <f>IF(A287="","",A287&amp;"|"&amp;B287&amp;"|"&amp;C287)</f>
        <v/>
      </c>
      <c r="J287">
        <f>IF(A287="","",IF(COUNTIF($G$2:$G$300,G287)&gt;1,"Sí",""))</f>
        <v/>
      </c>
      <c r="K287">
        <f>IF(A287="","",IF(COUNTIF($H$2:$H$300,H287)&gt;1,"Sí",""))</f>
        <v/>
      </c>
      <c r="L287">
        <f>IF(A287="","",IF(COUNTIF($I$2:$I$300,I287)&gt;1,"Sí",""))</f>
        <v/>
      </c>
      <c r="M287">
        <f>IF(A287="","",IF(OR(J287="Sí",K287="Sí",L287="Sí"),"Conflicto","OK"))</f>
        <v/>
      </c>
      <c r="N287">
        <f>IF(J287="Sí",1/COUNTIF($G$2:$G$300,G287),0)</f>
        <v/>
      </c>
      <c r="O287">
        <f>IF(K287="Sí",1/COUNTIF($H$2:$H$300,H287),0)</f>
        <v/>
      </c>
      <c r="P287">
        <f>IF(L287="Sí",1/COUNTIF($I$2:$I$300,I287),0)</f>
        <v/>
      </c>
    </row>
    <row r="288">
      <c r="A288" s="2" t="n"/>
      <c r="B288" s="2" t="n"/>
      <c r="C288" s="2" t="n"/>
      <c r="D288" s="2" t="n"/>
      <c r="E288" s="2" t="n"/>
      <c r="F288" s="2" t="n"/>
      <c r="G288">
        <f>IF(A288="","",A288&amp;"|"&amp;B288&amp;"|"&amp;E288)</f>
        <v/>
      </c>
      <c r="H288">
        <f>IF(A288="","",A288&amp;"|"&amp;B288&amp;"|"&amp;F288)</f>
        <v/>
      </c>
      <c r="I288">
        <f>IF(A288="","",A288&amp;"|"&amp;B288&amp;"|"&amp;C288)</f>
        <v/>
      </c>
      <c r="J288">
        <f>IF(A288="","",IF(COUNTIF($G$2:$G$300,G288)&gt;1,"Sí",""))</f>
        <v/>
      </c>
      <c r="K288">
        <f>IF(A288="","",IF(COUNTIF($H$2:$H$300,H288)&gt;1,"Sí",""))</f>
        <v/>
      </c>
      <c r="L288">
        <f>IF(A288="","",IF(COUNTIF($I$2:$I$300,I288)&gt;1,"Sí",""))</f>
        <v/>
      </c>
      <c r="M288">
        <f>IF(A288="","",IF(OR(J288="Sí",K288="Sí",L288="Sí"),"Conflicto","OK"))</f>
        <v/>
      </c>
      <c r="N288">
        <f>IF(J288="Sí",1/COUNTIF($G$2:$G$300,G288),0)</f>
        <v/>
      </c>
      <c r="O288">
        <f>IF(K288="Sí",1/COUNTIF($H$2:$H$300,H288),0)</f>
        <v/>
      </c>
      <c r="P288">
        <f>IF(L288="Sí",1/COUNTIF($I$2:$I$300,I288),0)</f>
        <v/>
      </c>
    </row>
    <row r="289">
      <c r="A289" s="2" t="n"/>
      <c r="B289" s="2" t="n"/>
      <c r="C289" s="2" t="n"/>
      <c r="D289" s="2" t="n"/>
      <c r="E289" s="2" t="n"/>
      <c r="F289" s="2" t="n"/>
      <c r="G289">
        <f>IF(A289="","",A289&amp;"|"&amp;B289&amp;"|"&amp;E289)</f>
        <v/>
      </c>
      <c r="H289">
        <f>IF(A289="","",A289&amp;"|"&amp;B289&amp;"|"&amp;F289)</f>
        <v/>
      </c>
      <c r="I289">
        <f>IF(A289="","",A289&amp;"|"&amp;B289&amp;"|"&amp;C289)</f>
        <v/>
      </c>
      <c r="J289">
        <f>IF(A289="","",IF(COUNTIF($G$2:$G$300,G289)&gt;1,"Sí",""))</f>
        <v/>
      </c>
      <c r="K289">
        <f>IF(A289="","",IF(COUNTIF($H$2:$H$300,H289)&gt;1,"Sí",""))</f>
        <v/>
      </c>
      <c r="L289">
        <f>IF(A289="","",IF(COUNTIF($I$2:$I$300,I289)&gt;1,"Sí",""))</f>
        <v/>
      </c>
      <c r="M289">
        <f>IF(A289="","",IF(OR(J289="Sí",K289="Sí",L289="Sí"),"Conflicto","OK"))</f>
        <v/>
      </c>
      <c r="N289">
        <f>IF(J289="Sí",1/COUNTIF($G$2:$G$300,G289),0)</f>
        <v/>
      </c>
      <c r="O289">
        <f>IF(K289="Sí",1/COUNTIF($H$2:$H$300,H289),0)</f>
        <v/>
      </c>
      <c r="P289">
        <f>IF(L289="Sí",1/COUNTIF($I$2:$I$300,I289),0)</f>
        <v/>
      </c>
    </row>
    <row r="290">
      <c r="A290" s="2" t="n"/>
      <c r="B290" s="2" t="n"/>
      <c r="C290" s="2" t="n"/>
      <c r="D290" s="2" t="n"/>
      <c r="E290" s="2" t="n"/>
      <c r="F290" s="2" t="n"/>
      <c r="G290">
        <f>IF(A290="","",A290&amp;"|"&amp;B290&amp;"|"&amp;E290)</f>
        <v/>
      </c>
      <c r="H290">
        <f>IF(A290="","",A290&amp;"|"&amp;B290&amp;"|"&amp;F290)</f>
        <v/>
      </c>
      <c r="I290">
        <f>IF(A290="","",A290&amp;"|"&amp;B290&amp;"|"&amp;C290)</f>
        <v/>
      </c>
      <c r="J290">
        <f>IF(A290="","",IF(COUNTIF($G$2:$G$300,G290)&gt;1,"Sí",""))</f>
        <v/>
      </c>
      <c r="K290">
        <f>IF(A290="","",IF(COUNTIF($H$2:$H$300,H290)&gt;1,"Sí",""))</f>
        <v/>
      </c>
      <c r="L290">
        <f>IF(A290="","",IF(COUNTIF($I$2:$I$300,I290)&gt;1,"Sí",""))</f>
        <v/>
      </c>
      <c r="M290">
        <f>IF(A290="","",IF(OR(J290="Sí",K290="Sí",L290="Sí"),"Conflicto","OK"))</f>
        <v/>
      </c>
      <c r="N290">
        <f>IF(J290="Sí",1/COUNTIF($G$2:$G$300,G290),0)</f>
        <v/>
      </c>
      <c r="O290">
        <f>IF(K290="Sí",1/COUNTIF($H$2:$H$300,H290),0)</f>
        <v/>
      </c>
      <c r="P290">
        <f>IF(L290="Sí",1/COUNTIF($I$2:$I$300,I290),0)</f>
        <v/>
      </c>
    </row>
    <row r="291">
      <c r="A291" s="2" t="n"/>
      <c r="B291" s="2" t="n"/>
      <c r="C291" s="2" t="n"/>
      <c r="D291" s="2" t="n"/>
      <c r="E291" s="2" t="n"/>
      <c r="F291" s="2" t="n"/>
      <c r="G291">
        <f>IF(A291="","",A291&amp;"|"&amp;B291&amp;"|"&amp;E291)</f>
        <v/>
      </c>
      <c r="H291">
        <f>IF(A291="","",A291&amp;"|"&amp;B291&amp;"|"&amp;F291)</f>
        <v/>
      </c>
      <c r="I291">
        <f>IF(A291="","",A291&amp;"|"&amp;B291&amp;"|"&amp;C291)</f>
        <v/>
      </c>
      <c r="J291">
        <f>IF(A291="","",IF(COUNTIF($G$2:$G$300,G291)&gt;1,"Sí",""))</f>
        <v/>
      </c>
      <c r="K291">
        <f>IF(A291="","",IF(COUNTIF($H$2:$H$300,H291)&gt;1,"Sí",""))</f>
        <v/>
      </c>
      <c r="L291">
        <f>IF(A291="","",IF(COUNTIF($I$2:$I$300,I291)&gt;1,"Sí",""))</f>
        <v/>
      </c>
      <c r="M291">
        <f>IF(A291="","",IF(OR(J291="Sí",K291="Sí",L291="Sí"),"Conflicto","OK"))</f>
        <v/>
      </c>
      <c r="N291">
        <f>IF(J291="Sí",1/COUNTIF($G$2:$G$300,G291),0)</f>
        <v/>
      </c>
      <c r="O291">
        <f>IF(K291="Sí",1/COUNTIF($H$2:$H$300,H291),0)</f>
        <v/>
      </c>
      <c r="P291">
        <f>IF(L291="Sí",1/COUNTIF($I$2:$I$300,I291),0)</f>
        <v/>
      </c>
    </row>
    <row r="292">
      <c r="A292" s="2" t="n"/>
      <c r="B292" s="2" t="n"/>
      <c r="C292" s="2" t="n"/>
      <c r="D292" s="2" t="n"/>
      <c r="E292" s="2" t="n"/>
      <c r="F292" s="2" t="n"/>
      <c r="G292">
        <f>IF(A292="","",A292&amp;"|"&amp;B292&amp;"|"&amp;E292)</f>
        <v/>
      </c>
      <c r="H292">
        <f>IF(A292="","",A292&amp;"|"&amp;B292&amp;"|"&amp;F292)</f>
        <v/>
      </c>
      <c r="I292">
        <f>IF(A292="","",A292&amp;"|"&amp;B292&amp;"|"&amp;C292)</f>
        <v/>
      </c>
      <c r="J292">
        <f>IF(A292="","",IF(COUNTIF($G$2:$G$300,G292)&gt;1,"Sí",""))</f>
        <v/>
      </c>
      <c r="K292">
        <f>IF(A292="","",IF(COUNTIF($H$2:$H$300,H292)&gt;1,"Sí",""))</f>
        <v/>
      </c>
      <c r="L292">
        <f>IF(A292="","",IF(COUNTIF($I$2:$I$300,I292)&gt;1,"Sí",""))</f>
        <v/>
      </c>
      <c r="M292">
        <f>IF(A292="","",IF(OR(J292="Sí",K292="Sí",L292="Sí"),"Conflicto","OK"))</f>
        <v/>
      </c>
      <c r="N292">
        <f>IF(J292="Sí",1/COUNTIF($G$2:$G$300,G292),0)</f>
        <v/>
      </c>
      <c r="O292">
        <f>IF(K292="Sí",1/COUNTIF($H$2:$H$300,H292),0)</f>
        <v/>
      </c>
      <c r="P292">
        <f>IF(L292="Sí",1/COUNTIF($I$2:$I$300,I292),0)</f>
        <v/>
      </c>
    </row>
    <row r="293">
      <c r="A293" s="2" t="n"/>
      <c r="B293" s="2" t="n"/>
      <c r="C293" s="2" t="n"/>
      <c r="D293" s="2" t="n"/>
      <c r="E293" s="2" t="n"/>
      <c r="F293" s="2" t="n"/>
      <c r="G293">
        <f>IF(A293="","",A293&amp;"|"&amp;B293&amp;"|"&amp;E293)</f>
        <v/>
      </c>
      <c r="H293">
        <f>IF(A293="","",A293&amp;"|"&amp;B293&amp;"|"&amp;F293)</f>
        <v/>
      </c>
      <c r="I293">
        <f>IF(A293="","",A293&amp;"|"&amp;B293&amp;"|"&amp;C293)</f>
        <v/>
      </c>
      <c r="J293">
        <f>IF(A293="","",IF(COUNTIF($G$2:$G$300,G293)&gt;1,"Sí",""))</f>
        <v/>
      </c>
      <c r="K293">
        <f>IF(A293="","",IF(COUNTIF($H$2:$H$300,H293)&gt;1,"Sí",""))</f>
        <v/>
      </c>
      <c r="L293">
        <f>IF(A293="","",IF(COUNTIF($I$2:$I$300,I293)&gt;1,"Sí",""))</f>
        <v/>
      </c>
      <c r="M293">
        <f>IF(A293="","",IF(OR(J293="Sí",K293="Sí",L293="Sí"),"Conflicto","OK"))</f>
        <v/>
      </c>
      <c r="N293">
        <f>IF(J293="Sí",1/COUNTIF($G$2:$G$300,G293),0)</f>
        <v/>
      </c>
      <c r="O293">
        <f>IF(K293="Sí",1/COUNTIF($H$2:$H$300,H293),0)</f>
        <v/>
      </c>
      <c r="P293">
        <f>IF(L293="Sí",1/COUNTIF($I$2:$I$300,I293),0)</f>
        <v/>
      </c>
    </row>
    <row r="294">
      <c r="A294" s="2" t="n"/>
      <c r="B294" s="2" t="n"/>
      <c r="C294" s="2" t="n"/>
      <c r="D294" s="2" t="n"/>
      <c r="E294" s="2" t="n"/>
      <c r="F294" s="2" t="n"/>
      <c r="G294">
        <f>IF(A294="","",A294&amp;"|"&amp;B294&amp;"|"&amp;E294)</f>
        <v/>
      </c>
      <c r="H294">
        <f>IF(A294="","",A294&amp;"|"&amp;B294&amp;"|"&amp;F294)</f>
        <v/>
      </c>
      <c r="I294">
        <f>IF(A294="","",A294&amp;"|"&amp;B294&amp;"|"&amp;C294)</f>
        <v/>
      </c>
      <c r="J294">
        <f>IF(A294="","",IF(COUNTIF($G$2:$G$300,G294)&gt;1,"Sí",""))</f>
        <v/>
      </c>
      <c r="K294">
        <f>IF(A294="","",IF(COUNTIF($H$2:$H$300,H294)&gt;1,"Sí",""))</f>
        <v/>
      </c>
      <c r="L294">
        <f>IF(A294="","",IF(COUNTIF($I$2:$I$300,I294)&gt;1,"Sí",""))</f>
        <v/>
      </c>
      <c r="M294">
        <f>IF(A294="","",IF(OR(J294="Sí",K294="Sí",L294="Sí"),"Conflicto","OK"))</f>
        <v/>
      </c>
      <c r="N294">
        <f>IF(J294="Sí",1/COUNTIF($G$2:$G$300,G294),0)</f>
        <v/>
      </c>
      <c r="O294">
        <f>IF(K294="Sí",1/COUNTIF($H$2:$H$300,H294),0)</f>
        <v/>
      </c>
      <c r="P294">
        <f>IF(L294="Sí",1/COUNTIF($I$2:$I$300,I294),0)</f>
        <v/>
      </c>
    </row>
    <row r="295">
      <c r="A295" s="2" t="n"/>
      <c r="B295" s="2" t="n"/>
      <c r="C295" s="2" t="n"/>
      <c r="D295" s="2" t="n"/>
      <c r="E295" s="2" t="n"/>
      <c r="F295" s="2" t="n"/>
      <c r="G295">
        <f>IF(A295="","",A295&amp;"|"&amp;B295&amp;"|"&amp;E295)</f>
        <v/>
      </c>
      <c r="H295">
        <f>IF(A295="","",A295&amp;"|"&amp;B295&amp;"|"&amp;F295)</f>
        <v/>
      </c>
      <c r="I295">
        <f>IF(A295="","",A295&amp;"|"&amp;B295&amp;"|"&amp;C295)</f>
        <v/>
      </c>
      <c r="J295">
        <f>IF(A295="","",IF(COUNTIF($G$2:$G$300,G295)&gt;1,"Sí",""))</f>
        <v/>
      </c>
      <c r="K295">
        <f>IF(A295="","",IF(COUNTIF($H$2:$H$300,H295)&gt;1,"Sí",""))</f>
        <v/>
      </c>
      <c r="L295">
        <f>IF(A295="","",IF(COUNTIF($I$2:$I$300,I295)&gt;1,"Sí",""))</f>
        <v/>
      </c>
      <c r="M295">
        <f>IF(A295="","",IF(OR(J295="Sí",K295="Sí",L295="Sí"),"Conflicto","OK"))</f>
        <v/>
      </c>
      <c r="N295">
        <f>IF(J295="Sí",1/COUNTIF($G$2:$G$300,G295),0)</f>
        <v/>
      </c>
      <c r="O295">
        <f>IF(K295="Sí",1/COUNTIF($H$2:$H$300,H295),0)</f>
        <v/>
      </c>
      <c r="P295">
        <f>IF(L295="Sí",1/COUNTIF($I$2:$I$300,I295),0)</f>
        <v/>
      </c>
    </row>
    <row r="296">
      <c r="A296" s="2" t="n"/>
      <c r="B296" s="2" t="n"/>
      <c r="C296" s="2" t="n"/>
      <c r="D296" s="2" t="n"/>
      <c r="E296" s="2" t="n"/>
      <c r="F296" s="2" t="n"/>
      <c r="G296">
        <f>IF(A296="","",A296&amp;"|"&amp;B296&amp;"|"&amp;E296)</f>
        <v/>
      </c>
      <c r="H296">
        <f>IF(A296="","",A296&amp;"|"&amp;B296&amp;"|"&amp;F296)</f>
        <v/>
      </c>
      <c r="I296">
        <f>IF(A296="","",A296&amp;"|"&amp;B296&amp;"|"&amp;C296)</f>
        <v/>
      </c>
      <c r="J296">
        <f>IF(A296="","",IF(COUNTIF($G$2:$G$300,G296)&gt;1,"Sí",""))</f>
        <v/>
      </c>
      <c r="K296">
        <f>IF(A296="","",IF(COUNTIF($H$2:$H$300,H296)&gt;1,"Sí",""))</f>
        <v/>
      </c>
      <c r="L296">
        <f>IF(A296="","",IF(COUNTIF($I$2:$I$300,I296)&gt;1,"Sí",""))</f>
        <v/>
      </c>
      <c r="M296">
        <f>IF(A296="","",IF(OR(J296="Sí",K296="Sí",L296="Sí"),"Conflicto","OK"))</f>
        <v/>
      </c>
      <c r="N296">
        <f>IF(J296="Sí",1/COUNTIF($G$2:$G$300,G296),0)</f>
        <v/>
      </c>
      <c r="O296">
        <f>IF(K296="Sí",1/COUNTIF($H$2:$H$300,H296),0)</f>
        <v/>
      </c>
      <c r="P296">
        <f>IF(L296="Sí",1/COUNTIF($I$2:$I$300,I296),0)</f>
        <v/>
      </c>
    </row>
    <row r="297">
      <c r="A297" s="2" t="n"/>
      <c r="B297" s="2" t="n"/>
      <c r="C297" s="2" t="n"/>
      <c r="D297" s="2" t="n"/>
      <c r="E297" s="2" t="n"/>
      <c r="F297" s="2" t="n"/>
      <c r="G297">
        <f>IF(A297="","",A297&amp;"|"&amp;B297&amp;"|"&amp;E297)</f>
        <v/>
      </c>
      <c r="H297">
        <f>IF(A297="","",A297&amp;"|"&amp;B297&amp;"|"&amp;F297)</f>
        <v/>
      </c>
      <c r="I297">
        <f>IF(A297="","",A297&amp;"|"&amp;B297&amp;"|"&amp;C297)</f>
        <v/>
      </c>
      <c r="J297">
        <f>IF(A297="","",IF(COUNTIF($G$2:$G$300,G297)&gt;1,"Sí",""))</f>
        <v/>
      </c>
      <c r="K297">
        <f>IF(A297="","",IF(COUNTIF($H$2:$H$300,H297)&gt;1,"Sí",""))</f>
        <v/>
      </c>
      <c r="L297">
        <f>IF(A297="","",IF(COUNTIF($I$2:$I$300,I297)&gt;1,"Sí",""))</f>
        <v/>
      </c>
      <c r="M297">
        <f>IF(A297="","",IF(OR(J297="Sí",K297="Sí",L297="Sí"),"Conflicto","OK"))</f>
        <v/>
      </c>
      <c r="N297">
        <f>IF(J297="Sí",1/COUNTIF($G$2:$G$300,G297),0)</f>
        <v/>
      </c>
      <c r="O297">
        <f>IF(K297="Sí",1/COUNTIF($H$2:$H$300,H297),0)</f>
        <v/>
      </c>
      <c r="P297">
        <f>IF(L297="Sí",1/COUNTIF($I$2:$I$300,I297),0)</f>
        <v/>
      </c>
    </row>
    <row r="298">
      <c r="A298" s="2" t="n"/>
      <c r="B298" s="2" t="n"/>
      <c r="C298" s="2" t="n"/>
      <c r="D298" s="2" t="n"/>
      <c r="E298" s="2" t="n"/>
      <c r="F298" s="2" t="n"/>
      <c r="G298">
        <f>IF(A298="","",A298&amp;"|"&amp;B298&amp;"|"&amp;E298)</f>
        <v/>
      </c>
      <c r="H298">
        <f>IF(A298="","",A298&amp;"|"&amp;B298&amp;"|"&amp;F298)</f>
        <v/>
      </c>
      <c r="I298">
        <f>IF(A298="","",A298&amp;"|"&amp;B298&amp;"|"&amp;C298)</f>
        <v/>
      </c>
      <c r="J298">
        <f>IF(A298="","",IF(COUNTIF($G$2:$G$300,G298)&gt;1,"Sí",""))</f>
        <v/>
      </c>
      <c r="K298">
        <f>IF(A298="","",IF(COUNTIF($H$2:$H$300,H298)&gt;1,"Sí",""))</f>
        <v/>
      </c>
      <c r="L298">
        <f>IF(A298="","",IF(COUNTIF($I$2:$I$300,I298)&gt;1,"Sí",""))</f>
        <v/>
      </c>
      <c r="M298">
        <f>IF(A298="","",IF(OR(J298="Sí",K298="Sí",L298="Sí"),"Conflicto","OK"))</f>
        <v/>
      </c>
      <c r="N298">
        <f>IF(J298="Sí",1/COUNTIF($G$2:$G$300,G298),0)</f>
        <v/>
      </c>
      <c r="O298">
        <f>IF(K298="Sí",1/COUNTIF($H$2:$H$300,H298),0)</f>
        <v/>
      </c>
      <c r="P298">
        <f>IF(L298="Sí",1/COUNTIF($I$2:$I$300,I298),0)</f>
        <v/>
      </c>
    </row>
    <row r="299">
      <c r="A299" s="2" t="n"/>
      <c r="B299" s="2" t="n"/>
      <c r="C299" s="2" t="n"/>
      <c r="D299" s="2" t="n"/>
      <c r="E299" s="2" t="n"/>
      <c r="F299" s="2" t="n"/>
      <c r="G299">
        <f>IF(A299="","",A299&amp;"|"&amp;B299&amp;"|"&amp;E299)</f>
        <v/>
      </c>
      <c r="H299">
        <f>IF(A299="","",A299&amp;"|"&amp;B299&amp;"|"&amp;F299)</f>
        <v/>
      </c>
      <c r="I299">
        <f>IF(A299="","",A299&amp;"|"&amp;B299&amp;"|"&amp;C299)</f>
        <v/>
      </c>
      <c r="J299">
        <f>IF(A299="","",IF(COUNTIF($G$2:$G$300,G299)&gt;1,"Sí",""))</f>
        <v/>
      </c>
      <c r="K299">
        <f>IF(A299="","",IF(COUNTIF($H$2:$H$300,H299)&gt;1,"Sí",""))</f>
        <v/>
      </c>
      <c r="L299">
        <f>IF(A299="","",IF(COUNTIF($I$2:$I$300,I299)&gt;1,"Sí",""))</f>
        <v/>
      </c>
      <c r="M299">
        <f>IF(A299="","",IF(OR(J299="Sí",K299="Sí",L299="Sí"),"Conflicto","OK"))</f>
        <v/>
      </c>
      <c r="N299">
        <f>IF(J299="Sí",1/COUNTIF($G$2:$G$300,G299),0)</f>
        <v/>
      </c>
      <c r="O299">
        <f>IF(K299="Sí",1/COUNTIF($H$2:$H$300,H299),0)</f>
        <v/>
      </c>
      <c r="P299">
        <f>IF(L299="Sí",1/COUNTIF($I$2:$I$300,I299),0)</f>
        <v/>
      </c>
    </row>
    <row r="300">
      <c r="A300" s="2" t="n"/>
      <c r="B300" s="2" t="n"/>
      <c r="C300" s="2" t="n"/>
      <c r="D300" s="2" t="n"/>
      <c r="E300" s="2" t="n"/>
      <c r="F300" s="2" t="n"/>
      <c r="G300">
        <f>IF(A300="","",A300&amp;"|"&amp;B300&amp;"|"&amp;E300)</f>
        <v/>
      </c>
      <c r="H300">
        <f>IF(A300="","",A300&amp;"|"&amp;B300&amp;"|"&amp;F300)</f>
        <v/>
      </c>
      <c r="I300">
        <f>IF(A300="","",A300&amp;"|"&amp;B300&amp;"|"&amp;C300)</f>
        <v/>
      </c>
      <c r="J300">
        <f>IF(A300="","",IF(COUNTIF($G$2:$G$300,G300)&gt;1,"Sí",""))</f>
        <v/>
      </c>
      <c r="K300">
        <f>IF(A300="","",IF(COUNTIF($H$2:$H$300,H300)&gt;1,"Sí",""))</f>
        <v/>
      </c>
      <c r="L300">
        <f>IF(A300="","",IF(COUNTIF($I$2:$I$300,I300)&gt;1,"Sí",""))</f>
        <v/>
      </c>
      <c r="M300">
        <f>IF(A300="","",IF(OR(J300="Sí",K300="Sí",L300="Sí"),"Conflicto","OK"))</f>
        <v/>
      </c>
      <c r="N300">
        <f>IF(J300="Sí",1/COUNTIF($G$2:$G$300,G300),0)</f>
        <v/>
      </c>
      <c r="O300">
        <f>IF(K300="Sí",1/COUNTIF($H$2:$H$300,H300),0)</f>
        <v/>
      </c>
      <c r="P300">
        <f>IF(L300="Sí",1/COUNTIF($I$2:$I$300,I300),0)</f>
        <v/>
      </c>
    </row>
  </sheetData>
  <conditionalFormatting sqref="M2:M300">
    <cfRule type="cellIs" priority="1" operator="equal" dxfId="0">
      <formula>"Conflicto"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62" customWidth="1" min="1" max="1"/>
    <col width="12" customWidth="1" min="2" max="2"/>
  </cols>
  <sheetData>
    <row r="1">
      <c r="A1" s="3" t="inlineStr">
        <is>
          <t>AUDITORÍA DEL HORARIO (ejemplo ficticio: 3 grupos de secundaria, 30 franjas semanales por grupo)</t>
        </is>
      </c>
    </row>
    <row r="3">
      <c r="A3" t="inlineStr">
        <is>
          <t>Clases (filas) en el horario</t>
        </is>
      </c>
      <c r="B3">
        <f>COUNTA(Horario!A2:A300)</f>
        <v/>
      </c>
    </row>
    <row r="4">
      <c r="A4" t="inlineStr">
        <is>
          <t>Conflictos de docente (docente en dos lugares a la vez)</t>
        </is>
      </c>
      <c r="B4">
        <f>ROUND(SUM(Horario!N2:N300),0)</f>
        <v/>
      </c>
    </row>
    <row r="5">
      <c r="A5" t="inlineStr">
        <is>
          <t>Conflictos de aula (dos clases en la misma aula y franja)</t>
        </is>
      </c>
      <c r="B5">
        <f>ROUND(SUM(Horario!O2:O300),0)</f>
        <v/>
      </c>
    </row>
    <row r="6">
      <c r="A6" t="inlineStr">
        <is>
          <t>Conflictos de grupo (un grupo con dos clases a la vez)</t>
        </is>
      </c>
      <c r="B6">
        <f>ROUND(SUM(Horario!P2:P300),0)</f>
        <v/>
      </c>
    </row>
    <row r="7">
      <c r="A7" t="inlineStr">
        <is>
          <t>Filas con algún conflicto</t>
        </is>
      </c>
      <c r="B7">
        <f>COUNTIF(Horario!M2:M300,"Conflicto")</f>
        <v/>
      </c>
    </row>
    <row r="8">
      <c r="A8" t="inlineStr">
        <is>
          <t>Docentes por encima del límite de horas</t>
        </is>
      </c>
      <c r="B8">
        <f>COUNTIF(Docentes!E2:E21,"&gt;0")</f>
        <v/>
      </c>
    </row>
    <row r="9">
      <c r="A9" t="inlineStr">
        <is>
          <t>Ventanas (huecos) de docentes en la semana</t>
        </is>
      </c>
      <c r="B9">
        <f>SUM(Docentes!F2:F21)</f>
        <v/>
      </c>
    </row>
    <row r="11">
      <c r="A11" t="inlineStr">
        <is>
          <t>Un conflicto cuenta una vez por grupo de filas que chocan (no una vez por fila).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Docente</t>
        </is>
      </c>
      <c r="B1" s="4" t="inlineStr">
        <is>
          <t>Horas semanales</t>
        </is>
      </c>
      <c r="C1" s="4" t="inlineStr">
        <is>
          <t>Límite (editable)</t>
        </is>
      </c>
      <c r="D1" s="4" t="inlineStr">
        <is>
          <t>Libre</t>
        </is>
      </c>
      <c r="E1" s="4" t="inlineStr">
        <is>
          <t>Exceso</t>
        </is>
      </c>
      <c r="F1" s="4" t="inlineStr">
        <is>
          <t>Ventanas</t>
        </is>
      </c>
    </row>
    <row r="2">
      <c r="A2" s="2" t="inlineStr">
        <is>
          <t>Ruiz</t>
        </is>
      </c>
      <c r="B2">
        <f>IF(A2="","",COUNTIF(Horario!$E$2:$E$300,A2))</f>
        <v/>
      </c>
      <c r="C2" s="2" t="n">
        <v>22</v>
      </c>
      <c r="D2">
        <f>IF(A2="","",MAX(0,C2-B2))</f>
        <v/>
      </c>
      <c r="E2">
        <f>IF(A2="","",MAX(0,B2-C2))</f>
        <v/>
      </c>
      <c r="F2">
        <f>IF(A2="","",SUM(Ventanas!B2:F2))</f>
        <v/>
      </c>
    </row>
    <row r="3">
      <c r="A3" s="2" t="inlineStr">
        <is>
          <t>Gómez</t>
        </is>
      </c>
      <c r="B3">
        <f>IF(A3="","",COUNTIF(Horario!$E$2:$E$300,A3))</f>
        <v/>
      </c>
      <c r="C3" s="2" t="n">
        <v>22</v>
      </c>
      <c r="D3">
        <f>IF(A3="","",MAX(0,C3-B3))</f>
        <v/>
      </c>
      <c r="E3">
        <f>IF(A3="","",MAX(0,B3-C3))</f>
        <v/>
      </c>
      <c r="F3">
        <f>IF(A3="","",SUM(Ventanas!B3:F3))</f>
        <v/>
      </c>
    </row>
    <row r="4">
      <c r="A4" s="2" t="inlineStr">
        <is>
          <t>Torres</t>
        </is>
      </c>
      <c r="B4">
        <f>IF(A4="","",COUNTIF(Horario!$E$2:$E$300,A4))</f>
        <v/>
      </c>
      <c r="C4" s="2" t="n">
        <v>22</v>
      </c>
      <c r="D4">
        <f>IF(A4="","",MAX(0,C4-B4))</f>
        <v/>
      </c>
      <c r="E4">
        <f>IF(A4="","",MAX(0,B4-C4))</f>
        <v/>
      </c>
      <c r="F4">
        <f>IF(A4="","",SUM(Ventanas!B4:F4))</f>
        <v/>
      </c>
    </row>
    <row r="5">
      <c r="A5" s="2" t="inlineStr">
        <is>
          <t>Mora</t>
        </is>
      </c>
      <c r="B5">
        <f>IF(A5="","",COUNTIF(Horario!$E$2:$E$300,A5))</f>
        <v/>
      </c>
      <c r="C5" s="2" t="n">
        <v>22</v>
      </c>
      <c r="D5">
        <f>IF(A5="","",MAX(0,C5-B5))</f>
        <v/>
      </c>
      <c r="E5">
        <f>IF(A5="","",MAX(0,B5-C5))</f>
        <v/>
      </c>
      <c r="F5">
        <f>IF(A5="","",SUM(Ventanas!B5:F5))</f>
        <v/>
      </c>
    </row>
    <row r="6">
      <c r="A6" s="2" t="inlineStr">
        <is>
          <t>Pardo</t>
        </is>
      </c>
      <c r="B6">
        <f>IF(A6="","",COUNTIF(Horario!$E$2:$E$300,A6))</f>
        <v/>
      </c>
      <c r="C6" s="2" t="n">
        <v>22</v>
      </c>
      <c r="D6">
        <f>IF(A6="","",MAX(0,C6-B6))</f>
        <v/>
      </c>
      <c r="E6">
        <f>IF(A6="","",MAX(0,B6-C6))</f>
        <v/>
      </c>
      <c r="F6">
        <f>IF(A6="","",SUM(Ventanas!B6:F6))</f>
        <v/>
      </c>
    </row>
    <row r="7">
      <c r="A7" s="2" t="inlineStr">
        <is>
          <t>Salas</t>
        </is>
      </c>
      <c r="B7">
        <f>IF(A7="","",COUNTIF(Horario!$E$2:$E$300,A7))</f>
        <v/>
      </c>
      <c r="C7" s="2" t="n">
        <v>22</v>
      </c>
      <c r="D7">
        <f>IF(A7="","",MAX(0,C7-B7))</f>
        <v/>
      </c>
      <c r="E7">
        <f>IF(A7="","",MAX(0,B7-C7))</f>
        <v/>
      </c>
      <c r="F7">
        <f>IF(A7="","",SUM(Ventanas!B7:F7))</f>
        <v/>
      </c>
    </row>
    <row r="8">
      <c r="A8" s="2" t="inlineStr">
        <is>
          <t>Vega</t>
        </is>
      </c>
      <c r="B8">
        <f>IF(A8="","",COUNTIF(Horario!$E$2:$E$300,A8))</f>
        <v/>
      </c>
      <c r="C8" s="2" t="n">
        <v>22</v>
      </c>
      <c r="D8">
        <f>IF(A8="","",MAX(0,C8-B8))</f>
        <v/>
      </c>
      <c r="E8">
        <f>IF(A8="","",MAX(0,B8-C8))</f>
        <v/>
      </c>
      <c r="F8">
        <f>IF(A8="","",SUM(Ventanas!B8:F8))</f>
        <v/>
      </c>
    </row>
    <row r="9">
      <c r="A9" s="2" t="inlineStr">
        <is>
          <t>Cruz</t>
        </is>
      </c>
      <c r="B9">
        <f>IF(A9="","",COUNTIF(Horario!$E$2:$E$300,A9))</f>
        <v/>
      </c>
      <c r="C9" s="2" t="n">
        <v>22</v>
      </c>
      <c r="D9">
        <f>IF(A9="","",MAX(0,C9-B9))</f>
        <v/>
      </c>
      <c r="E9">
        <f>IF(A9="","",MAX(0,B9-C9))</f>
        <v/>
      </c>
      <c r="F9">
        <f>IF(A9="","",SUM(Ventanas!B9:F9))</f>
        <v/>
      </c>
    </row>
    <row r="10">
      <c r="A10" s="2" t="n"/>
      <c r="B10">
        <f>IF(A10="","",COUNTIF(Horario!$E$2:$E$300,A10))</f>
        <v/>
      </c>
      <c r="C10" s="2" t="n"/>
      <c r="D10">
        <f>IF(A10="","",MAX(0,C10-B10))</f>
        <v/>
      </c>
      <c r="E10">
        <f>IF(A10="","",MAX(0,B10-C10))</f>
        <v/>
      </c>
      <c r="F10">
        <f>IF(A10="","",SUM(Ventanas!B10:F10))</f>
        <v/>
      </c>
    </row>
    <row r="11">
      <c r="A11" s="2" t="n"/>
      <c r="B11">
        <f>IF(A11="","",COUNTIF(Horario!$E$2:$E$300,A11))</f>
        <v/>
      </c>
      <c r="C11" s="2" t="n"/>
      <c r="D11">
        <f>IF(A11="","",MAX(0,C11-B11))</f>
        <v/>
      </c>
      <c r="E11">
        <f>IF(A11="","",MAX(0,B11-C11))</f>
        <v/>
      </c>
      <c r="F11">
        <f>IF(A11="","",SUM(Ventanas!B11:F11))</f>
        <v/>
      </c>
    </row>
    <row r="12">
      <c r="A12" s="2" t="n"/>
      <c r="B12">
        <f>IF(A12="","",COUNTIF(Horario!$E$2:$E$300,A12))</f>
        <v/>
      </c>
      <c r="C12" s="2" t="n"/>
      <c r="D12">
        <f>IF(A12="","",MAX(0,C12-B12))</f>
        <v/>
      </c>
      <c r="E12">
        <f>IF(A12="","",MAX(0,B12-C12))</f>
        <v/>
      </c>
      <c r="F12">
        <f>IF(A12="","",SUM(Ventanas!B12:F12))</f>
        <v/>
      </c>
    </row>
    <row r="13">
      <c r="A13" s="2" t="n"/>
      <c r="B13">
        <f>IF(A13="","",COUNTIF(Horario!$E$2:$E$300,A13))</f>
        <v/>
      </c>
      <c r="C13" s="2" t="n"/>
      <c r="D13">
        <f>IF(A13="","",MAX(0,C13-B13))</f>
        <v/>
      </c>
      <c r="E13">
        <f>IF(A13="","",MAX(0,B13-C13))</f>
        <v/>
      </c>
      <c r="F13">
        <f>IF(A13="","",SUM(Ventanas!B13:F13))</f>
        <v/>
      </c>
    </row>
    <row r="14">
      <c r="A14" s="2" t="n"/>
      <c r="B14">
        <f>IF(A14="","",COUNTIF(Horario!$E$2:$E$300,A14))</f>
        <v/>
      </c>
      <c r="C14" s="2" t="n"/>
      <c r="D14">
        <f>IF(A14="","",MAX(0,C14-B14))</f>
        <v/>
      </c>
      <c r="E14">
        <f>IF(A14="","",MAX(0,B14-C14))</f>
        <v/>
      </c>
      <c r="F14">
        <f>IF(A14="","",SUM(Ventanas!B14:F14))</f>
        <v/>
      </c>
    </row>
    <row r="15">
      <c r="A15" s="2" t="n"/>
      <c r="B15">
        <f>IF(A15="","",COUNTIF(Horario!$E$2:$E$300,A15))</f>
        <v/>
      </c>
      <c r="C15" s="2" t="n"/>
      <c r="D15">
        <f>IF(A15="","",MAX(0,C15-B15))</f>
        <v/>
      </c>
      <c r="E15">
        <f>IF(A15="","",MAX(0,B15-C15))</f>
        <v/>
      </c>
      <c r="F15">
        <f>IF(A15="","",SUM(Ventanas!B15:F15))</f>
        <v/>
      </c>
    </row>
    <row r="16">
      <c r="A16" s="2" t="n"/>
      <c r="B16">
        <f>IF(A16="","",COUNTIF(Horario!$E$2:$E$300,A16))</f>
        <v/>
      </c>
      <c r="C16" s="2" t="n"/>
      <c r="D16">
        <f>IF(A16="","",MAX(0,C16-B16))</f>
        <v/>
      </c>
      <c r="E16">
        <f>IF(A16="","",MAX(0,B16-C16))</f>
        <v/>
      </c>
      <c r="F16">
        <f>IF(A16="","",SUM(Ventanas!B16:F16))</f>
        <v/>
      </c>
    </row>
    <row r="17">
      <c r="A17" s="2" t="n"/>
      <c r="B17">
        <f>IF(A17="","",COUNTIF(Horario!$E$2:$E$300,A17))</f>
        <v/>
      </c>
      <c r="C17" s="2" t="n"/>
      <c r="D17">
        <f>IF(A17="","",MAX(0,C17-B17))</f>
        <v/>
      </c>
      <c r="E17">
        <f>IF(A17="","",MAX(0,B17-C17))</f>
        <v/>
      </c>
      <c r="F17">
        <f>IF(A17="","",SUM(Ventanas!B17:F17))</f>
        <v/>
      </c>
    </row>
    <row r="18">
      <c r="A18" s="2" t="n"/>
      <c r="B18">
        <f>IF(A18="","",COUNTIF(Horario!$E$2:$E$300,A18))</f>
        <v/>
      </c>
      <c r="C18" s="2" t="n"/>
      <c r="D18">
        <f>IF(A18="","",MAX(0,C18-B18))</f>
        <v/>
      </c>
      <c r="E18">
        <f>IF(A18="","",MAX(0,B18-C18))</f>
        <v/>
      </c>
      <c r="F18">
        <f>IF(A18="","",SUM(Ventanas!B18:F18))</f>
        <v/>
      </c>
    </row>
    <row r="19">
      <c r="A19" s="2" t="n"/>
      <c r="B19">
        <f>IF(A19="","",COUNTIF(Horario!$E$2:$E$300,A19))</f>
        <v/>
      </c>
      <c r="C19" s="2" t="n"/>
      <c r="D19">
        <f>IF(A19="","",MAX(0,C19-B19))</f>
        <v/>
      </c>
      <c r="E19">
        <f>IF(A19="","",MAX(0,B19-C19))</f>
        <v/>
      </c>
      <c r="F19">
        <f>IF(A19="","",SUM(Ventanas!B19:F19))</f>
        <v/>
      </c>
    </row>
    <row r="20">
      <c r="A20" s="2" t="n"/>
      <c r="B20">
        <f>IF(A20="","",COUNTIF(Horario!$E$2:$E$300,A20))</f>
        <v/>
      </c>
      <c r="C20" s="2" t="n"/>
      <c r="D20">
        <f>IF(A20="","",MAX(0,C20-B20))</f>
        <v/>
      </c>
      <c r="E20">
        <f>IF(A20="","",MAX(0,B20-C20))</f>
        <v/>
      </c>
      <c r="F20">
        <f>IF(A20="","",SUM(Ventanas!B20:F20))</f>
        <v/>
      </c>
    </row>
    <row r="21">
      <c r="A21" s="2" t="n"/>
      <c r="B21">
        <f>IF(A21="","",COUNTIF(Horario!$E$2:$E$300,A21))</f>
        <v/>
      </c>
      <c r="C21" s="2" t="n"/>
      <c r="D21">
        <f>IF(A21="","",MAX(0,C21-B21))</f>
        <v/>
      </c>
      <c r="E21">
        <f>IF(A21="","",MAX(0,B21-C21))</f>
        <v/>
      </c>
      <c r="F21">
        <f>IF(A21="","",SUM(Ventanas!B21:F21))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4" t="inlineStr">
        <is>
          <t>Docente</t>
        </is>
      </c>
      <c r="B1" s="4" t="inlineStr">
        <is>
          <t>Lun</t>
        </is>
      </c>
      <c r="C1" s="4" t="inlineStr">
        <is>
          <t>Mar</t>
        </is>
      </c>
      <c r="D1" s="4" t="inlineStr">
        <is>
          <t>Mié</t>
        </is>
      </c>
      <c r="E1" s="4" t="inlineStr">
        <is>
          <t>Jue</t>
        </is>
      </c>
      <c r="F1" s="4" t="inlineStr">
        <is>
          <t>Vie</t>
        </is>
      </c>
      <c r="H1" t="inlineStr">
        <is>
          <t>Ventana = franjas libres entre la primera y la última clase del día de un docente.</t>
        </is>
      </c>
    </row>
    <row r="2">
      <c r="A2">
        <f>IF(Docentes!A2="","",Docentes!A2)</f>
        <v/>
      </c>
      <c r="B2">
        <f>IF($A2="","",IF(COUNTIFS(Horario!$E$2:$E$300,$A2,Horario!$A$2:$A$300,B$1)=0,0,_xlfn.MAXIFS(Horario!$B$2:$B$300,Horario!$E$2:$E$300,$A2,Horario!$A$2:$A$300,B$1)-_xlfn.MINIFS(Horario!$B$2:$B$300,Horario!$E$2:$E$300,$A2,Horario!$A$2:$A$300,B$1)+1-COUNTIFS(Horario!$E$2:$E$300,$A2,Horario!$A$2:$A$300,B$1)))</f>
        <v/>
      </c>
      <c r="C2">
        <f>IF($A2="","",IF(COUNTIFS(Horario!$E$2:$E$300,$A2,Horario!$A$2:$A$300,C$1)=0,0,_xlfn.MAXIFS(Horario!$B$2:$B$300,Horario!$E$2:$E$300,$A2,Horario!$A$2:$A$300,C$1)-_xlfn.MINIFS(Horario!$B$2:$B$300,Horario!$E$2:$E$300,$A2,Horario!$A$2:$A$300,C$1)+1-COUNTIFS(Horario!$E$2:$E$300,$A2,Horario!$A$2:$A$300,C$1)))</f>
        <v/>
      </c>
      <c r="D2">
        <f>IF($A2="","",IF(COUNTIFS(Horario!$E$2:$E$300,$A2,Horario!$A$2:$A$300,D$1)=0,0,_xlfn.MAXIFS(Horario!$B$2:$B$300,Horario!$E$2:$E$300,$A2,Horario!$A$2:$A$300,D$1)-_xlfn.MINIFS(Horario!$B$2:$B$300,Horario!$E$2:$E$300,$A2,Horario!$A$2:$A$300,D$1)+1-COUNTIFS(Horario!$E$2:$E$300,$A2,Horario!$A$2:$A$300,D$1)))</f>
        <v/>
      </c>
      <c r="E2">
        <f>IF($A2="","",IF(COUNTIFS(Horario!$E$2:$E$300,$A2,Horario!$A$2:$A$300,E$1)=0,0,_xlfn.MAXIFS(Horario!$B$2:$B$300,Horario!$E$2:$E$300,$A2,Horario!$A$2:$A$300,E$1)-_xlfn.MINIFS(Horario!$B$2:$B$300,Horario!$E$2:$E$300,$A2,Horario!$A$2:$A$300,E$1)+1-COUNTIFS(Horario!$E$2:$E$300,$A2,Horario!$A$2:$A$300,E$1)))</f>
        <v/>
      </c>
      <c r="F2">
        <f>IF($A2="","",IF(COUNTIFS(Horario!$E$2:$E$300,$A2,Horario!$A$2:$A$300,F$1)=0,0,_xlfn.MAXIFS(Horario!$B$2:$B$300,Horario!$E$2:$E$300,$A2,Horario!$A$2:$A$300,F$1)-_xlfn.MINIFS(Horario!$B$2:$B$300,Horario!$E$2:$E$300,$A2,Horario!$A$2:$A$300,F$1)+1-COUNTIFS(Horario!$E$2:$E$300,$A2,Horario!$A$2:$A$300,F$1)))</f>
        <v/>
      </c>
    </row>
    <row r="3">
      <c r="A3">
        <f>IF(Docentes!A3="","",Docentes!A3)</f>
        <v/>
      </c>
      <c r="B3">
        <f>IF($A3="","",IF(COUNTIFS(Horario!$E$2:$E$300,$A3,Horario!$A$2:$A$300,B$1)=0,0,_xlfn.MAXIFS(Horario!$B$2:$B$300,Horario!$E$2:$E$300,$A3,Horario!$A$2:$A$300,B$1)-_xlfn.MINIFS(Horario!$B$2:$B$300,Horario!$E$2:$E$300,$A3,Horario!$A$2:$A$300,B$1)+1-COUNTIFS(Horario!$E$2:$E$300,$A3,Horario!$A$2:$A$300,B$1)))</f>
        <v/>
      </c>
      <c r="C3">
        <f>IF($A3="","",IF(COUNTIFS(Horario!$E$2:$E$300,$A3,Horario!$A$2:$A$300,C$1)=0,0,_xlfn.MAXIFS(Horario!$B$2:$B$300,Horario!$E$2:$E$300,$A3,Horario!$A$2:$A$300,C$1)-_xlfn.MINIFS(Horario!$B$2:$B$300,Horario!$E$2:$E$300,$A3,Horario!$A$2:$A$300,C$1)+1-COUNTIFS(Horario!$E$2:$E$300,$A3,Horario!$A$2:$A$300,C$1)))</f>
        <v/>
      </c>
      <c r="D3">
        <f>IF($A3="","",IF(COUNTIFS(Horario!$E$2:$E$300,$A3,Horario!$A$2:$A$300,D$1)=0,0,_xlfn.MAXIFS(Horario!$B$2:$B$300,Horario!$E$2:$E$300,$A3,Horario!$A$2:$A$300,D$1)-_xlfn.MINIFS(Horario!$B$2:$B$300,Horario!$E$2:$E$300,$A3,Horario!$A$2:$A$300,D$1)+1-COUNTIFS(Horario!$E$2:$E$300,$A3,Horario!$A$2:$A$300,D$1)))</f>
        <v/>
      </c>
      <c r="E3">
        <f>IF($A3="","",IF(COUNTIFS(Horario!$E$2:$E$300,$A3,Horario!$A$2:$A$300,E$1)=0,0,_xlfn.MAXIFS(Horario!$B$2:$B$300,Horario!$E$2:$E$300,$A3,Horario!$A$2:$A$300,E$1)-_xlfn.MINIFS(Horario!$B$2:$B$300,Horario!$E$2:$E$300,$A3,Horario!$A$2:$A$300,E$1)+1-COUNTIFS(Horario!$E$2:$E$300,$A3,Horario!$A$2:$A$300,E$1)))</f>
        <v/>
      </c>
      <c r="F3">
        <f>IF($A3="","",IF(COUNTIFS(Horario!$E$2:$E$300,$A3,Horario!$A$2:$A$300,F$1)=0,0,_xlfn.MAXIFS(Horario!$B$2:$B$300,Horario!$E$2:$E$300,$A3,Horario!$A$2:$A$300,F$1)-_xlfn.MINIFS(Horario!$B$2:$B$300,Horario!$E$2:$E$300,$A3,Horario!$A$2:$A$300,F$1)+1-COUNTIFS(Horario!$E$2:$E$300,$A3,Horario!$A$2:$A$300,F$1)))</f>
        <v/>
      </c>
    </row>
    <row r="4">
      <c r="A4">
        <f>IF(Docentes!A4="","",Docentes!A4)</f>
        <v/>
      </c>
      <c r="B4">
        <f>IF($A4="","",IF(COUNTIFS(Horario!$E$2:$E$300,$A4,Horario!$A$2:$A$300,B$1)=0,0,_xlfn.MAXIFS(Horario!$B$2:$B$300,Horario!$E$2:$E$300,$A4,Horario!$A$2:$A$300,B$1)-_xlfn.MINIFS(Horario!$B$2:$B$300,Horario!$E$2:$E$300,$A4,Horario!$A$2:$A$300,B$1)+1-COUNTIFS(Horario!$E$2:$E$300,$A4,Horario!$A$2:$A$300,B$1)))</f>
        <v/>
      </c>
      <c r="C4">
        <f>IF($A4="","",IF(COUNTIFS(Horario!$E$2:$E$300,$A4,Horario!$A$2:$A$300,C$1)=0,0,_xlfn.MAXIFS(Horario!$B$2:$B$300,Horario!$E$2:$E$300,$A4,Horario!$A$2:$A$300,C$1)-_xlfn.MINIFS(Horario!$B$2:$B$300,Horario!$E$2:$E$300,$A4,Horario!$A$2:$A$300,C$1)+1-COUNTIFS(Horario!$E$2:$E$300,$A4,Horario!$A$2:$A$300,C$1)))</f>
        <v/>
      </c>
      <c r="D4">
        <f>IF($A4="","",IF(COUNTIFS(Horario!$E$2:$E$300,$A4,Horario!$A$2:$A$300,D$1)=0,0,_xlfn.MAXIFS(Horario!$B$2:$B$300,Horario!$E$2:$E$300,$A4,Horario!$A$2:$A$300,D$1)-_xlfn.MINIFS(Horario!$B$2:$B$300,Horario!$E$2:$E$300,$A4,Horario!$A$2:$A$300,D$1)+1-COUNTIFS(Horario!$E$2:$E$300,$A4,Horario!$A$2:$A$300,D$1)))</f>
        <v/>
      </c>
      <c r="E4">
        <f>IF($A4="","",IF(COUNTIFS(Horario!$E$2:$E$300,$A4,Horario!$A$2:$A$300,E$1)=0,0,_xlfn.MAXIFS(Horario!$B$2:$B$300,Horario!$E$2:$E$300,$A4,Horario!$A$2:$A$300,E$1)-_xlfn.MINIFS(Horario!$B$2:$B$300,Horario!$E$2:$E$300,$A4,Horario!$A$2:$A$300,E$1)+1-COUNTIFS(Horario!$E$2:$E$300,$A4,Horario!$A$2:$A$300,E$1)))</f>
        <v/>
      </c>
      <c r="F4">
        <f>IF($A4="","",IF(COUNTIFS(Horario!$E$2:$E$300,$A4,Horario!$A$2:$A$300,F$1)=0,0,_xlfn.MAXIFS(Horario!$B$2:$B$300,Horario!$E$2:$E$300,$A4,Horario!$A$2:$A$300,F$1)-_xlfn.MINIFS(Horario!$B$2:$B$300,Horario!$E$2:$E$300,$A4,Horario!$A$2:$A$300,F$1)+1-COUNTIFS(Horario!$E$2:$E$300,$A4,Horario!$A$2:$A$300,F$1)))</f>
        <v/>
      </c>
    </row>
    <row r="5">
      <c r="A5">
        <f>IF(Docentes!A5="","",Docentes!A5)</f>
        <v/>
      </c>
      <c r="B5">
        <f>IF($A5="","",IF(COUNTIFS(Horario!$E$2:$E$300,$A5,Horario!$A$2:$A$300,B$1)=0,0,_xlfn.MAXIFS(Horario!$B$2:$B$300,Horario!$E$2:$E$300,$A5,Horario!$A$2:$A$300,B$1)-_xlfn.MINIFS(Horario!$B$2:$B$300,Horario!$E$2:$E$300,$A5,Horario!$A$2:$A$300,B$1)+1-COUNTIFS(Horario!$E$2:$E$300,$A5,Horario!$A$2:$A$300,B$1)))</f>
        <v/>
      </c>
      <c r="C5">
        <f>IF($A5="","",IF(COUNTIFS(Horario!$E$2:$E$300,$A5,Horario!$A$2:$A$300,C$1)=0,0,_xlfn.MAXIFS(Horario!$B$2:$B$300,Horario!$E$2:$E$300,$A5,Horario!$A$2:$A$300,C$1)-_xlfn.MINIFS(Horario!$B$2:$B$300,Horario!$E$2:$E$300,$A5,Horario!$A$2:$A$300,C$1)+1-COUNTIFS(Horario!$E$2:$E$300,$A5,Horario!$A$2:$A$300,C$1)))</f>
        <v/>
      </c>
      <c r="D5">
        <f>IF($A5="","",IF(COUNTIFS(Horario!$E$2:$E$300,$A5,Horario!$A$2:$A$300,D$1)=0,0,_xlfn.MAXIFS(Horario!$B$2:$B$300,Horario!$E$2:$E$300,$A5,Horario!$A$2:$A$300,D$1)-_xlfn.MINIFS(Horario!$B$2:$B$300,Horario!$E$2:$E$300,$A5,Horario!$A$2:$A$300,D$1)+1-COUNTIFS(Horario!$E$2:$E$300,$A5,Horario!$A$2:$A$300,D$1)))</f>
        <v/>
      </c>
      <c r="E5">
        <f>IF($A5="","",IF(COUNTIFS(Horario!$E$2:$E$300,$A5,Horario!$A$2:$A$300,E$1)=0,0,_xlfn.MAXIFS(Horario!$B$2:$B$300,Horario!$E$2:$E$300,$A5,Horario!$A$2:$A$300,E$1)-_xlfn.MINIFS(Horario!$B$2:$B$300,Horario!$E$2:$E$300,$A5,Horario!$A$2:$A$300,E$1)+1-COUNTIFS(Horario!$E$2:$E$300,$A5,Horario!$A$2:$A$300,E$1)))</f>
        <v/>
      </c>
      <c r="F5">
        <f>IF($A5="","",IF(COUNTIFS(Horario!$E$2:$E$300,$A5,Horario!$A$2:$A$300,F$1)=0,0,_xlfn.MAXIFS(Horario!$B$2:$B$300,Horario!$E$2:$E$300,$A5,Horario!$A$2:$A$300,F$1)-_xlfn.MINIFS(Horario!$B$2:$B$300,Horario!$E$2:$E$300,$A5,Horario!$A$2:$A$300,F$1)+1-COUNTIFS(Horario!$E$2:$E$300,$A5,Horario!$A$2:$A$300,F$1)))</f>
        <v/>
      </c>
    </row>
    <row r="6">
      <c r="A6">
        <f>IF(Docentes!A6="","",Docentes!A6)</f>
        <v/>
      </c>
      <c r="B6">
        <f>IF($A6="","",IF(COUNTIFS(Horario!$E$2:$E$300,$A6,Horario!$A$2:$A$300,B$1)=0,0,_xlfn.MAXIFS(Horario!$B$2:$B$300,Horario!$E$2:$E$300,$A6,Horario!$A$2:$A$300,B$1)-_xlfn.MINIFS(Horario!$B$2:$B$300,Horario!$E$2:$E$300,$A6,Horario!$A$2:$A$300,B$1)+1-COUNTIFS(Horario!$E$2:$E$300,$A6,Horario!$A$2:$A$300,B$1)))</f>
        <v/>
      </c>
      <c r="C6">
        <f>IF($A6="","",IF(COUNTIFS(Horario!$E$2:$E$300,$A6,Horario!$A$2:$A$300,C$1)=0,0,_xlfn.MAXIFS(Horario!$B$2:$B$300,Horario!$E$2:$E$300,$A6,Horario!$A$2:$A$300,C$1)-_xlfn.MINIFS(Horario!$B$2:$B$300,Horario!$E$2:$E$300,$A6,Horario!$A$2:$A$300,C$1)+1-COUNTIFS(Horario!$E$2:$E$300,$A6,Horario!$A$2:$A$300,C$1)))</f>
        <v/>
      </c>
      <c r="D6">
        <f>IF($A6="","",IF(COUNTIFS(Horario!$E$2:$E$300,$A6,Horario!$A$2:$A$300,D$1)=0,0,_xlfn.MAXIFS(Horario!$B$2:$B$300,Horario!$E$2:$E$300,$A6,Horario!$A$2:$A$300,D$1)-_xlfn.MINIFS(Horario!$B$2:$B$300,Horario!$E$2:$E$300,$A6,Horario!$A$2:$A$300,D$1)+1-COUNTIFS(Horario!$E$2:$E$300,$A6,Horario!$A$2:$A$300,D$1)))</f>
        <v/>
      </c>
      <c r="E6">
        <f>IF($A6="","",IF(COUNTIFS(Horario!$E$2:$E$300,$A6,Horario!$A$2:$A$300,E$1)=0,0,_xlfn.MAXIFS(Horario!$B$2:$B$300,Horario!$E$2:$E$300,$A6,Horario!$A$2:$A$300,E$1)-_xlfn.MINIFS(Horario!$B$2:$B$300,Horario!$E$2:$E$300,$A6,Horario!$A$2:$A$300,E$1)+1-COUNTIFS(Horario!$E$2:$E$300,$A6,Horario!$A$2:$A$300,E$1)))</f>
        <v/>
      </c>
      <c r="F6">
        <f>IF($A6="","",IF(COUNTIFS(Horario!$E$2:$E$300,$A6,Horario!$A$2:$A$300,F$1)=0,0,_xlfn.MAXIFS(Horario!$B$2:$B$300,Horario!$E$2:$E$300,$A6,Horario!$A$2:$A$300,F$1)-_xlfn.MINIFS(Horario!$B$2:$B$300,Horario!$E$2:$E$300,$A6,Horario!$A$2:$A$300,F$1)+1-COUNTIFS(Horario!$E$2:$E$300,$A6,Horario!$A$2:$A$300,F$1)))</f>
        <v/>
      </c>
    </row>
    <row r="7">
      <c r="A7">
        <f>IF(Docentes!A7="","",Docentes!A7)</f>
        <v/>
      </c>
      <c r="B7">
        <f>IF($A7="","",IF(COUNTIFS(Horario!$E$2:$E$300,$A7,Horario!$A$2:$A$300,B$1)=0,0,_xlfn.MAXIFS(Horario!$B$2:$B$300,Horario!$E$2:$E$300,$A7,Horario!$A$2:$A$300,B$1)-_xlfn.MINIFS(Horario!$B$2:$B$300,Horario!$E$2:$E$300,$A7,Horario!$A$2:$A$300,B$1)+1-COUNTIFS(Horario!$E$2:$E$300,$A7,Horario!$A$2:$A$300,B$1)))</f>
        <v/>
      </c>
      <c r="C7">
        <f>IF($A7="","",IF(COUNTIFS(Horario!$E$2:$E$300,$A7,Horario!$A$2:$A$300,C$1)=0,0,_xlfn.MAXIFS(Horario!$B$2:$B$300,Horario!$E$2:$E$300,$A7,Horario!$A$2:$A$300,C$1)-_xlfn.MINIFS(Horario!$B$2:$B$300,Horario!$E$2:$E$300,$A7,Horario!$A$2:$A$300,C$1)+1-COUNTIFS(Horario!$E$2:$E$300,$A7,Horario!$A$2:$A$300,C$1)))</f>
        <v/>
      </c>
      <c r="D7">
        <f>IF($A7="","",IF(COUNTIFS(Horario!$E$2:$E$300,$A7,Horario!$A$2:$A$300,D$1)=0,0,_xlfn.MAXIFS(Horario!$B$2:$B$300,Horario!$E$2:$E$300,$A7,Horario!$A$2:$A$300,D$1)-_xlfn.MINIFS(Horario!$B$2:$B$300,Horario!$E$2:$E$300,$A7,Horario!$A$2:$A$300,D$1)+1-COUNTIFS(Horario!$E$2:$E$300,$A7,Horario!$A$2:$A$300,D$1)))</f>
        <v/>
      </c>
      <c r="E7">
        <f>IF($A7="","",IF(COUNTIFS(Horario!$E$2:$E$300,$A7,Horario!$A$2:$A$300,E$1)=0,0,_xlfn.MAXIFS(Horario!$B$2:$B$300,Horario!$E$2:$E$300,$A7,Horario!$A$2:$A$300,E$1)-_xlfn.MINIFS(Horario!$B$2:$B$300,Horario!$E$2:$E$300,$A7,Horario!$A$2:$A$300,E$1)+1-COUNTIFS(Horario!$E$2:$E$300,$A7,Horario!$A$2:$A$300,E$1)))</f>
        <v/>
      </c>
      <c r="F7">
        <f>IF($A7="","",IF(COUNTIFS(Horario!$E$2:$E$300,$A7,Horario!$A$2:$A$300,F$1)=0,0,_xlfn.MAXIFS(Horario!$B$2:$B$300,Horario!$E$2:$E$300,$A7,Horario!$A$2:$A$300,F$1)-_xlfn.MINIFS(Horario!$B$2:$B$300,Horario!$E$2:$E$300,$A7,Horario!$A$2:$A$300,F$1)+1-COUNTIFS(Horario!$E$2:$E$300,$A7,Horario!$A$2:$A$300,F$1)))</f>
        <v/>
      </c>
    </row>
    <row r="8">
      <c r="A8">
        <f>IF(Docentes!A8="","",Docentes!A8)</f>
        <v/>
      </c>
      <c r="B8">
        <f>IF($A8="","",IF(COUNTIFS(Horario!$E$2:$E$300,$A8,Horario!$A$2:$A$300,B$1)=0,0,_xlfn.MAXIFS(Horario!$B$2:$B$300,Horario!$E$2:$E$300,$A8,Horario!$A$2:$A$300,B$1)-_xlfn.MINIFS(Horario!$B$2:$B$300,Horario!$E$2:$E$300,$A8,Horario!$A$2:$A$300,B$1)+1-COUNTIFS(Horario!$E$2:$E$300,$A8,Horario!$A$2:$A$300,B$1)))</f>
        <v/>
      </c>
      <c r="C8">
        <f>IF($A8="","",IF(COUNTIFS(Horario!$E$2:$E$300,$A8,Horario!$A$2:$A$300,C$1)=0,0,_xlfn.MAXIFS(Horario!$B$2:$B$300,Horario!$E$2:$E$300,$A8,Horario!$A$2:$A$300,C$1)-_xlfn.MINIFS(Horario!$B$2:$B$300,Horario!$E$2:$E$300,$A8,Horario!$A$2:$A$300,C$1)+1-COUNTIFS(Horario!$E$2:$E$300,$A8,Horario!$A$2:$A$300,C$1)))</f>
        <v/>
      </c>
      <c r="D8">
        <f>IF($A8="","",IF(COUNTIFS(Horario!$E$2:$E$300,$A8,Horario!$A$2:$A$300,D$1)=0,0,_xlfn.MAXIFS(Horario!$B$2:$B$300,Horario!$E$2:$E$300,$A8,Horario!$A$2:$A$300,D$1)-_xlfn.MINIFS(Horario!$B$2:$B$300,Horario!$E$2:$E$300,$A8,Horario!$A$2:$A$300,D$1)+1-COUNTIFS(Horario!$E$2:$E$300,$A8,Horario!$A$2:$A$300,D$1)))</f>
        <v/>
      </c>
      <c r="E8">
        <f>IF($A8="","",IF(COUNTIFS(Horario!$E$2:$E$300,$A8,Horario!$A$2:$A$300,E$1)=0,0,_xlfn.MAXIFS(Horario!$B$2:$B$300,Horario!$E$2:$E$300,$A8,Horario!$A$2:$A$300,E$1)-_xlfn.MINIFS(Horario!$B$2:$B$300,Horario!$E$2:$E$300,$A8,Horario!$A$2:$A$300,E$1)+1-COUNTIFS(Horario!$E$2:$E$300,$A8,Horario!$A$2:$A$300,E$1)))</f>
        <v/>
      </c>
      <c r="F8">
        <f>IF($A8="","",IF(COUNTIFS(Horario!$E$2:$E$300,$A8,Horario!$A$2:$A$300,F$1)=0,0,_xlfn.MAXIFS(Horario!$B$2:$B$300,Horario!$E$2:$E$300,$A8,Horario!$A$2:$A$300,F$1)-_xlfn.MINIFS(Horario!$B$2:$B$300,Horario!$E$2:$E$300,$A8,Horario!$A$2:$A$300,F$1)+1-COUNTIFS(Horario!$E$2:$E$300,$A8,Horario!$A$2:$A$300,F$1)))</f>
        <v/>
      </c>
    </row>
    <row r="9">
      <c r="A9">
        <f>IF(Docentes!A9="","",Docentes!A9)</f>
        <v/>
      </c>
      <c r="B9">
        <f>IF($A9="","",IF(COUNTIFS(Horario!$E$2:$E$300,$A9,Horario!$A$2:$A$300,B$1)=0,0,_xlfn.MAXIFS(Horario!$B$2:$B$300,Horario!$E$2:$E$300,$A9,Horario!$A$2:$A$300,B$1)-_xlfn.MINIFS(Horario!$B$2:$B$300,Horario!$E$2:$E$300,$A9,Horario!$A$2:$A$300,B$1)+1-COUNTIFS(Horario!$E$2:$E$300,$A9,Horario!$A$2:$A$300,B$1)))</f>
        <v/>
      </c>
      <c r="C9">
        <f>IF($A9="","",IF(COUNTIFS(Horario!$E$2:$E$300,$A9,Horario!$A$2:$A$300,C$1)=0,0,_xlfn.MAXIFS(Horario!$B$2:$B$300,Horario!$E$2:$E$300,$A9,Horario!$A$2:$A$300,C$1)-_xlfn.MINIFS(Horario!$B$2:$B$300,Horario!$E$2:$E$300,$A9,Horario!$A$2:$A$300,C$1)+1-COUNTIFS(Horario!$E$2:$E$300,$A9,Horario!$A$2:$A$300,C$1)))</f>
        <v/>
      </c>
      <c r="D9">
        <f>IF($A9="","",IF(COUNTIFS(Horario!$E$2:$E$300,$A9,Horario!$A$2:$A$300,D$1)=0,0,_xlfn.MAXIFS(Horario!$B$2:$B$300,Horario!$E$2:$E$300,$A9,Horario!$A$2:$A$300,D$1)-_xlfn.MINIFS(Horario!$B$2:$B$300,Horario!$E$2:$E$300,$A9,Horario!$A$2:$A$300,D$1)+1-COUNTIFS(Horario!$E$2:$E$300,$A9,Horario!$A$2:$A$300,D$1)))</f>
        <v/>
      </c>
      <c r="E9">
        <f>IF($A9="","",IF(COUNTIFS(Horario!$E$2:$E$300,$A9,Horario!$A$2:$A$300,E$1)=0,0,_xlfn.MAXIFS(Horario!$B$2:$B$300,Horario!$E$2:$E$300,$A9,Horario!$A$2:$A$300,E$1)-_xlfn.MINIFS(Horario!$B$2:$B$300,Horario!$E$2:$E$300,$A9,Horario!$A$2:$A$300,E$1)+1-COUNTIFS(Horario!$E$2:$E$300,$A9,Horario!$A$2:$A$300,E$1)))</f>
        <v/>
      </c>
      <c r="F9">
        <f>IF($A9="","",IF(COUNTIFS(Horario!$E$2:$E$300,$A9,Horario!$A$2:$A$300,F$1)=0,0,_xlfn.MAXIFS(Horario!$B$2:$B$300,Horario!$E$2:$E$300,$A9,Horario!$A$2:$A$300,F$1)-_xlfn.MINIFS(Horario!$B$2:$B$300,Horario!$E$2:$E$300,$A9,Horario!$A$2:$A$300,F$1)+1-COUNTIFS(Horario!$E$2:$E$300,$A9,Horario!$A$2:$A$300,F$1)))</f>
        <v/>
      </c>
    </row>
    <row r="10">
      <c r="A10">
        <f>IF(Docentes!A10="","",Docentes!A10)</f>
        <v/>
      </c>
      <c r="B10">
        <f>IF($A10="","",IF(COUNTIFS(Horario!$E$2:$E$300,$A10,Horario!$A$2:$A$300,B$1)=0,0,_xlfn.MAXIFS(Horario!$B$2:$B$300,Horario!$E$2:$E$300,$A10,Horario!$A$2:$A$300,B$1)-_xlfn.MINIFS(Horario!$B$2:$B$300,Horario!$E$2:$E$300,$A10,Horario!$A$2:$A$300,B$1)+1-COUNTIFS(Horario!$E$2:$E$300,$A10,Horario!$A$2:$A$300,B$1)))</f>
        <v/>
      </c>
      <c r="C10">
        <f>IF($A10="","",IF(COUNTIFS(Horario!$E$2:$E$300,$A10,Horario!$A$2:$A$300,C$1)=0,0,_xlfn.MAXIFS(Horario!$B$2:$B$300,Horario!$E$2:$E$300,$A10,Horario!$A$2:$A$300,C$1)-_xlfn.MINIFS(Horario!$B$2:$B$300,Horario!$E$2:$E$300,$A10,Horario!$A$2:$A$300,C$1)+1-COUNTIFS(Horario!$E$2:$E$300,$A10,Horario!$A$2:$A$300,C$1)))</f>
        <v/>
      </c>
      <c r="D10">
        <f>IF($A10="","",IF(COUNTIFS(Horario!$E$2:$E$300,$A10,Horario!$A$2:$A$300,D$1)=0,0,_xlfn.MAXIFS(Horario!$B$2:$B$300,Horario!$E$2:$E$300,$A10,Horario!$A$2:$A$300,D$1)-_xlfn.MINIFS(Horario!$B$2:$B$300,Horario!$E$2:$E$300,$A10,Horario!$A$2:$A$300,D$1)+1-COUNTIFS(Horario!$E$2:$E$300,$A10,Horario!$A$2:$A$300,D$1)))</f>
        <v/>
      </c>
      <c r="E10">
        <f>IF($A10="","",IF(COUNTIFS(Horario!$E$2:$E$300,$A10,Horario!$A$2:$A$300,E$1)=0,0,_xlfn.MAXIFS(Horario!$B$2:$B$300,Horario!$E$2:$E$300,$A10,Horario!$A$2:$A$300,E$1)-_xlfn.MINIFS(Horario!$B$2:$B$300,Horario!$E$2:$E$300,$A10,Horario!$A$2:$A$300,E$1)+1-COUNTIFS(Horario!$E$2:$E$300,$A10,Horario!$A$2:$A$300,E$1)))</f>
        <v/>
      </c>
      <c r="F10">
        <f>IF($A10="","",IF(COUNTIFS(Horario!$E$2:$E$300,$A10,Horario!$A$2:$A$300,F$1)=0,0,_xlfn.MAXIFS(Horario!$B$2:$B$300,Horario!$E$2:$E$300,$A10,Horario!$A$2:$A$300,F$1)-_xlfn.MINIFS(Horario!$B$2:$B$300,Horario!$E$2:$E$300,$A10,Horario!$A$2:$A$300,F$1)+1-COUNTIFS(Horario!$E$2:$E$300,$A10,Horario!$A$2:$A$300,F$1)))</f>
        <v/>
      </c>
    </row>
    <row r="11">
      <c r="A11">
        <f>IF(Docentes!A11="","",Docentes!A11)</f>
        <v/>
      </c>
      <c r="B11">
        <f>IF($A11="","",IF(COUNTIFS(Horario!$E$2:$E$300,$A11,Horario!$A$2:$A$300,B$1)=0,0,_xlfn.MAXIFS(Horario!$B$2:$B$300,Horario!$E$2:$E$300,$A11,Horario!$A$2:$A$300,B$1)-_xlfn.MINIFS(Horario!$B$2:$B$300,Horario!$E$2:$E$300,$A11,Horario!$A$2:$A$300,B$1)+1-COUNTIFS(Horario!$E$2:$E$300,$A11,Horario!$A$2:$A$300,B$1)))</f>
        <v/>
      </c>
      <c r="C11">
        <f>IF($A11="","",IF(COUNTIFS(Horario!$E$2:$E$300,$A11,Horario!$A$2:$A$300,C$1)=0,0,_xlfn.MAXIFS(Horario!$B$2:$B$300,Horario!$E$2:$E$300,$A11,Horario!$A$2:$A$300,C$1)-_xlfn.MINIFS(Horario!$B$2:$B$300,Horario!$E$2:$E$300,$A11,Horario!$A$2:$A$300,C$1)+1-COUNTIFS(Horario!$E$2:$E$300,$A11,Horario!$A$2:$A$300,C$1)))</f>
        <v/>
      </c>
      <c r="D11">
        <f>IF($A11="","",IF(COUNTIFS(Horario!$E$2:$E$300,$A11,Horario!$A$2:$A$300,D$1)=0,0,_xlfn.MAXIFS(Horario!$B$2:$B$300,Horario!$E$2:$E$300,$A11,Horario!$A$2:$A$300,D$1)-_xlfn.MINIFS(Horario!$B$2:$B$300,Horario!$E$2:$E$300,$A11,Horario!$A$2:$A$300,D$1)+1-COUNTIFS(Horario!$E$2:$E$300,$A11,Horario!$A$2:$A$300,D$1)))</f>
        <v/>
      </c>
      <c r="E11">
        <f>IF($A11="","",IF(COUNTIFS(Horario!$E$2:$E$300,$A11,Horario!$A$2:$A$300,E$1)=0,0,_xlfn.MAXIFS(Horario!$B$2:$B$300,Horario!$E$2:$E$300,$A11,Horario!$A$2:$A$300,E$1)-_xlfn.MINIFS(Horario!$B$2:$B$300,Horario!$E$2:$E$300,$A11,Horario!$A$2:$A$300,E$1)+1-COUNTIFS(Horario!$E$2:$E$300,$A11,Horario!$A$2:$A$300,E$1)))</f>
        <v/>
      </c>
      <c r="F11">
        <f>IF($A11="","",IF(COUNTIFS(Horario!$E$2:$E$300,$A11,Horario!$A$2:$A$300,F$1)=0,0,_xlfn.MAXIFS(Horario!$B$2:$B$300,Horario!$E$2:$E$300,$A11,Horario!$A$2:$A$300,F$1)-_xlfn.MINIFS(Horario!$B$2:$B$300,Horario!$E$2:$E$300,$A11,Horario!$A$2:$A$300,F$1)+1-COUNTIFS(Horario!$E$2:$E$300,$A11,Horario!$A$2:$A$300,F$1)))</f>
        <v/>
      </c>
    </row>
    <row r="12">
      <c r="A12">
        <f>IF(Docentes!A12="","",Docentes!A12)</f>
        <v/>
      </c>
      <c r="B12">
        <f>IF($A12="","",IF(COUNTIFS(Horario!$E$2:$E$300,$A12,Horario!$A$2:$A$300,B$1)=0,0,_xlfn.MAXIFS(Horario!$B$2:$B$300,Horario!$E$2:$E$300,$A12,Horario!$A$2:$A$300,B$1)-_xlfn.MINIFS(Horario!$B$2:$B$300,Horario!$E$2:$E$300,$A12,Horario!$A$2:$A$300,B$1)+1-COUNTIFS(Horario!$E$2:$E$300,$A12,Horario!$A$2:$A$300,B$1)))</f>
        <v/>
      </c>
      <c r="C12">
        <f>IF($A12="","",IF(COUNTIFS(Horario!$E$2:$E$300,$A12,Horario!$A$2:$A$300,C$1)=0,0,_xlfn.MAXIFS(Horario!$B$2:$B$300,Horario!$E$2:$E$300,$A12,Horario!$A$2:$A$300,C$1)-_xlfn.MINIFS(Horario!$B$2:$B$300,Horario!$E$2:$E$300,$A12,Horario!$A$2:$A$300,C$1)+1-COUNTIFS(Horario!$E$2:$E$300,$A12,Horario!$A$2:$A$300,C$1)))</f>
        <v/>
      </c>
      <c r="D12">
        <f>IF($A12="","",IF(COUNTIFS(Horario!$E$2:$E$300,$A12,Horario!$A$2:$A$300,D$1)=0,0,_xlfn.MAXIFS(Horario!$B$2:$B$300,Horario!$E$2:$E$300,$A12,Horario!$A$2:$A$300,D$1)-_xlfn.MINIFS(Horario!$B$2:$B$300,Horario!$E$2:$E$300,$A12,Horario!$A$2:$A$300,D$1)+1-COUNTIFS(Horario!$E$2:$E$300,$A12,Horario!$A$2:$A$300,D$1)))</f>
        <v/>
      </c>
      <c r="E12">
        <f>IF($A12="","",IF(COUNTIFS(Horario!$E$2:$E$300,$A12,Horario!$A$2:$A$300,E$1)=0,0,_xlfn.MAXIFS(Horario!$B$2:$B$300,Horario!$E$2:$E$300,$A12,Horario!$A$2:$A$300,E$1)-_xlfn.MINIFS(Horario!$B$2:$B$300,Horario!$E$2:$E$300,$A12,Horario!$A$2:$A$300,E$1)+1-COUNTIFS(Horario!$E$2:$E$300,$A12,Horario!$A$2:$A$300,E$1)))</f>
        <v/>
      </c>
      <c r="F12">
        <f>IF($A12="","",IF(COUNTIFS(Horario!$E$2:$E$300,$A12,Horario!$A$2:$A$300,F$1)=0,0,_xlfn.MAXIFS(Horario!$B$2:$B$300,Horario!$E$2:$E$300,$A12,Horario!$A$2:$A$300,F$1)-_xlfn.MINIFS(Horario!$B$2:$B$300,Horario!$E$2:$E$300,$A12,Horario!$A$2:$A$300,F$1)+1-COUNTIFS(Horario!$E$2:$E$300,$A12,Horario!$A$2:$A$300,F$1)))</f>
        <v/>
      </c>
    </row>
    <row r="13">
      <c r="A13">
        <f>IF(Docentes!A13="","",Docentes!A13)</f>
        <v/>
      </c>
      <c r="B13">
        <f>IF($A13="","",IF(COUNTIFS(Horario!$E$2:$E$300,$A13,Horario!$A$2:$A$300,B$1)=0,0,_xlfn.MAXIFS(Horario!$B$2:$B$300,Horario!$E$2:$E$300,$A13,Horario!$A$2:$A$300,B$1)-_xlfn.MINIFS(Horario!$B$2:$B$300,Horario!$E$2:$E$300,$A13,Horario!$A$2:$A$300,B$1)+1-COUNTIFS(Horario!$E$2:$E$300,$A13,Horario!$A$2:$A$300,B$1)))</f>
        <v/>
      </c>
      <c r="C13">
        <f>IF($A13="","",IF(COUNTIFS(Horario!$E$2:$E$300,$A13,Horario!$A$2:$A$300,C$1)=0,0,_xlfn.MAXIFS(Horario!$B$2:$B$300,Horario!$E$2:$E$300,$A13,Horario!$A$2:$A$300,C$1)-_xlfn.MINIFS(Horario!$B$2:$B$300,Horario!$E$2:$E$300,$A13,Horario!$A$2:$A$300,C$1)+1-COUNTIFS(Horario!$E$2:$E$300,$A13,Horario!$A$2:$A$300,C$1)))</f>
        <v/>
      </c>
      <c r="D13">
        <f>IF($A13="","",IF(COUNTIFS(Horario!$E$2:$E$300,$A13,Horario!$A$2:$A$300,D$1)=0,0,_xlfn.MAXIFS(Horario!$B$2:$B$300,Horario!$E$2:$E$300,$A13,Horario!$A$2:$A$300,D$1)-_xlfn.MINIFS(Horario!$B$2:$B$300,Horario!$E$2:$E$300,$A13,Horario!$A$2:$A$300,D$1)+1-COUNTIFS(Horario!$E$2:$E$300,$A13,Horario!$A$2:$A$300,D$1)))</f>
        <v/>
      </c>
      <c r="E13">
        <f>IF($A13="","",IF(COUNTIFS(Horario!$E$2:$E$300,$A13,Horario!$A$2:$A$300,E$1)=0,0,_xlfn.MAXIFS(Horario!$B$2:$B$300,Horario!$E$2:$E$300,$A13,Horario!$A$2:$A$300,E$1)-_xlfn.MINIFS(Horario!$B$2:$B$300,Horario!$E$2:$E$300,$A13,Horario!$A$2:$A$300,E$1)+1-COUNTIFS(Horario!$E$2:$E$300,$A13,Horario!$A$2:$A$300,E$1)))</f>
        <v/>
      </c>
      <c r="F13">
        <f>IF($A13="","",IF(COUNTIFS(Horario!$E$2:$E$300,$A13,Horario!$A$2:$A$300,F$1)=0,0,_xlfn.MAXIFS(Horario!$B$2:$B$300,Horario!$E$2:$E$300,$A13,Horario!$A$2:$A$300,F$1)-_xlfn.MINIFS(Horario!$B$2:$B$300,Horario!$E$2:$E$300,$A13,Horario!$A$2:$A$300,F$1)+1-COUNTIFS(Horario!$E$2:$E$300,$A13,Horario!$A$2:$A$300,F$1)))</f>
        <v/>
      </c>
    </row>
    <row r="14">
      <c r="A14">
        <f>IF(Docentes!A14="","",Docentes!A14)</f>
        <v/>
      </c>
      <c r="B14">
        <f>IF($A14="","",IF(COUNTIFS(Horario!$E$2:$E$300,$A14,Horario!$A$2:$A$300,B$1)=0,0,_xlfn.MAXIFS(Horario!$B$2:$B$300,Horario!$E$2:$E$300,$A14,Horario!$A$2:$A$300,B$1)-_xlfn.MINIFS(Horario!$B$2:$B$300,Horario!$E$2:$E$300,$A14,Horario!$A$2:$A$300,B$1)+1-COUNTIFS(Horario!$E$2:$E$300,$A14,Horario!$A$2:$A$300,B$1)))</f>
        <v/>
      </c>
      <c r="C14">
        <f>IF($A14="","",IF(COUNTIFS(Horario!$E$2:$E$300,$A14,Horario!$A$2:$A$300,C$1)=0,0,_xlfn.MAXIFS(Horario!$B$2:$B$300,Horario!$E$2:$E$300,$A14,Horario!$A$2:$A$300,C$1)-_xlfn.MINIFS(Horario!$B$2:$B$300,Horario!$E$2:$E$300,$A14,Horario!$A$2:$A$300,C$1)+1-COUNTIFS(Horario!$E$2:$E$300,$A14,Horario!$A$2:$A$300,C$1)))</f>
        <v/>
      </c>
      <c r="D14">
        <f>IF($A14="","",IF(COUNTIFS(Horario!$E$2:$E$300,$A14,Horario!$A$2:$A$300,D$1)=0,0,_xlfn.MAXIFS(Horario!$B$2:$B$300,Horario!$E$2:$E$300,$A14,Horario!$A$2:$A$300,D$1)-_xlfn.MINIFS(Horario!$B$2:$B$300,Horario!$E$2:$E$300,$A14,Horario!$A$2:$A$300,D$1)+1-COUNTIFS(Horario!$E$2:$E$300,$A14,Horario!$A$2:$A$300,D$1)))</f>
        <v/>
      </c>
      <c r="E14">
        <f>IF($A14="","",IF(COUNTIFS(Horario!$E$2:$E$300,$A14,Horario!$A$2:$A$300,E$1)=0,0,_xlfn.MAXIFS(Horario!$B$2:$B$300,Horario!$E$2:$E$300,$A14,Horario!$A$2:$A$300,E$1)-_xlfn.MINIFS(Horario!$B$2:$B$300,Horario!$E$2:$E$300,$A14,Horario!$A$2:$A$300,E$1)+1-COUNTIFS(Horario!$E$2:$E$300,$A14,Horario!$A$2:$A$300,E$1)))</f>
        <v/>
      </c>
      <c r="F14">
        <f>IF($A14="","",IF(COUNTIFS(Horario!$E$2:$E$300,$A14,Horario!$A$2:$A$300,F$1)=0,0,_xlfn.MAXIFS(Horario!$B$2:$B$300,Horario!$E$2:$E$300,$A14,Horario!$A$2:$A$300,F$1)-_xlfn.MINIFS(Horario!$B$2:$B$300,Horario!$E$2:$E$300,$A14,Horario!$A$2:$A$300,F$1)+1-COUNTIFS(Horario!$E$2:$E$300,$A14,Horario!$A$2:$A$300,F$1)))</f>
        <v/>
      </c>
    </row>
    <row r="15">
      <c r="A15">
        <f>IF(Docentes!A15="","",Docentes!A15)</f>
        <v/>
      </c>
      <c r="B15">
        <f>IF($A15="","",IF(COUNTIFS(Horario!$E$2:$E$300,$A15,Horario!$A$2:$A$300,B$1)=0,0,_xlfn.MAXIFS(Horario!$B$2:$B$300,Horario!$E$2:$E$300,$A15,Horario!$A$2:$A$300,B$1)-_xlfn.MINIFS(Horario!$B$2:$B$300,Horario!$E$2:$E$300,$A15,Horario!$A$2:$A$300,B$1)+1-COUNTIFS(Horario!$E$2:$E$300,$A15,Horario!$A$2:$A$300,B$1)))</f>
        <v/>
      </c>
      <c r="C15">
        <f>IF($A15="","",IF(COUNTIFS(Horario!$E$2:$E$300,$A15,Horario!$A$2:$A$300,C$1)=0,0,_xlfn.MAXIFS(Horario!$B$2:$B$300,Horario!$E$2:$E$300,$A15,Horario!$A$2:$A$300,C$1)-_xlfn.MINIFS(Horario!$B$2:$B$300,Horario!$E$2:$E$300,$A15,Horario!$A$2:$A$300,C$1)+1-COUNTIFS(Horario!$E$2:$E$300,$A15,Horario!$A$2:$A$300,C$1)))</f>
        <v/>
      </c>
      <c r="D15">
        <f>IF($A15="","",IF(COUNTIFS(Horario!$E$2:$E$300,$A15,Horario!$A$2:$A$300,D$1)=0,0,_xlfn.MAXIFS(Horario!$B$2:$B$300,Horario!$E$2:$E$300,$A15,Horario!$A$2:$A$300,D$1)-_xlfn.MINIFS(Horario!$B$2:$B$300,Horario!$E$2:$E$300,$A15,Horario!$A$2:$A$300,D$1)+1-COUNTIFS(Horario!$E$2:$E$300,$A15,Horario!$A$2:$A$300,D$1)))</f>
        <v/>
      </c>
      <c r="E15">
        <f>IF($A15="","",IF(COUNTIFS(Horario!$E$2:$E$300,$A15,Horario!$A$2:$A$300,E$1)=0,0,_xlfn.MAXIFS(Horario!$B$2:$B$300,Horario!$E$2:$E$300,$A15,Horario!$A$2:$A$300,E$1)-_xlfn.MINIFS(Horario!$B$2:$B$300,Horario!$E$2:$E$300,$A15,Horario!$A$2:$A$300,E$1)+1-COUNTIFS(Horario!$E$2:$E$300,$A15,Horario!$A$2:$A$300,E$1)))</f>
        <v/>
      </c>
      <c r="F15">
        <f>IF($A15="","",IF(COUNTIFS(Horario!$E$2:$E$300,$A15,Horario!$A$2:$A$300,F$1)=0,0,_xlfn.MAXIFS(Horario!$B$2:$B$300,Horario!$E$2:$E$300,$A15,Horario!$A$2:$A$300,F$1)-_xlfn.MINIFS(Horario!$B$2:$B$300,Horario!$E$2:$E$300,$A15,Horario!$A$2:$A$300,F$1)+1-COUNTIFS(Horario!$E$2:$E$300,$A15,Horario!$A$2:$A$300,F$1)))</f>
        <v/>
      </c>
    </row>
    <row r="16">
      <c r="A16">
        <f>IF(Docentes!A16="","",Docentes!A16)</f>
        <v/>
      </c>
      <c r="B16">
        <f>IF($A16="","",IF(COUNTIFS(Horario!$E$2:$E$300,$A16,Horario!$A$2:$A$300,B$1)=0,0,_xlfn.MAXIFS(Horario!$B$2:$B$300,Horario!$E$2:$E$300,$A16,Horario!$A$2:$A$300,B$1)-_xlfn.MINIFS(Horario!$B$2:$B$300,Horario!$E$2:$E$300,$A16,Horario!$A$2:$A$300,B$1)+1-COUNTIFS(Horario!$E$2:$E$300,$A16,Horario!$A$2:$A$300,B$1)))</f>
        <v/>
      </c>
      <c r="C16">
        <f>IF($A16="","",IF(COUNTIFS(Horario!$E$2:$E$300,$A16,Horario!$A$2:$A$300,C$1)=0,0,_xlfn.MAXIFS(Horario!$B$2:$B$300,Horario!$E$2:$E$300,$A16,Horario!$A$2:$A$300,C$1)-_xlfn.MINIFS(Horario!$B$2:$B$300,Horario!$E$2:$E$300,$A16,Horario!$A$2:$A$300,C$1)+1-COUNTIFS(Horario!$E$2:$E$300,$A16,Horario!$A$2:$A$300,C$1)))</f>
        <v/>
      </c>
      <c r="D16">
        <f>IF($A16="","",IF(COUNTIFS(Horario!$E$2:$E$300,$A16,Horario!$A$2:$A$300,D$1)=0,0,_xlfn.MAXIFS(Horario!$B$2:$B$300,Horario!$E$2:$E$300,$A16,Horario!$A$2:$A$300,D$1)-_xlfn.MINIFS(Horario!$B$2:$B$300,Horario!$E$2:$E$300,$A16,Horario!$A$2:$A$300,D$1)+1-COUNTIFS(Horario!$E$2:$E$300,$A16,Horario!$A$2:$A$300,D$1)))</f>
        <v/>
      </c>
      <c r="E16">
        <f>IF($A16="","",IF(COUNTIFS(Horario!$E$2:$E$300,$A16,Horario!$A$2:$A$300,E$1)=0,0,_xlfn.MAXIFS(Horario!$B$2:$B$300,Horario!$E$2:$E$300,$A16,Horario!$A$2:$A$300,E$1)-_xlfn.MINIFS(Horario!$B$2:$B$300,Horario!$E$2:$E$300,$A16,Horario!$A$2:$A$300,E$1)+1-COUNTIFS(Horario!$E$2:$E$300,$A16,Horario!$A$2:$A$300,E$1)))</f>
        <v/>
      </c>
      <c r="F16">
        <f>IF($A16="","",IF(COUNTIFS(Horario!$E$2:$E$300,$A16,Horario!$A$2:$A$300,F$1)=0,0,_xlfn.MAXIFS(Horario!$B$2:$B$300,Horario!$E$2:$E$300,$A16,Horario!$A$2:$A$300,F$1)-_xlfn.MINIFS(Horario!$B$2:$B$300,Horario!$E$2:$E$300,$A16,Horario!$A$2:$A$300,F$1)+1-COUNTIFS(Horario!$E$2:$E$300,$A16,Horario!$A$2:$A$300,F$1)))</f>
        <v/>
      </c>
    </row>
    <row r="17">
      <c r="A17">
        <f>IF(Docentes!A17="","",Docentes!A17)</f>
        <v/>
      </c>
      <c r="B17">
        <f>IF($A17="","",IF(COUNTIFS(Horario!$E$2:$E$300,$A17,Horario!$A$2:$A$300,B$1)=0,0,_xlfn.MAXIFS(Horario!$B$2:$B$300,Horario!$E$2:$E$300,$A17,Horario!$A$2:$A$300,B$1)-_xlfn.MINIFS(Horario!$B$2:$B$300,Horario!$E$2:$E$300,$A17,Horario!$A$2:$A$300,B$1)+1-COUNTIFS(Horario!$E$2:$E$300,$A17,Horario!$A$2:$A$300,B$1)))</f>
        <v/>
      </c>
      <c r="C17">
        <f>IF($A17="","",IF(COUNTIFS(Horario!$E$2:$E$300,$A17,Horario!$A$2:$A$300,C$1)=0,0,_xlfn.MAXIFS(Horario!$B$2:$B$300,Horario!$E$2:$E$300,$A17,Horario!$A$2:$A$300,C$1)-_xlfn.MINIFS(Horario!$B$2:$B$300,Horario!$E$2:$E$300,$A17,Horario!$A$2:$A$300,C$1)+1-COUNTIFS(Horario!$E$2:$E$300,$A17,Horario!$A$2:$A$300,C$1)))</f>
        <v/>
      </c>
      <c r="D17">
        <f>IF($A17="","",IF(COUNTIFS(Horario!$E$2:$E$300,$A17,Horario!$A$2:$A$300,D$1)=0,0,_xlfn.MAXIFS(Horario!$B$2:$B$300,Horario!$E$2:$E$300,$A17,Horario!$A$2:$A$300,D$1)-_xlfn.MINIFS(Horario!$B$2:$B$300,Horario!$E$2:$E$300,$A17,Horario!$A$2:$A$300,D$1)+1-COUNTIFS(Horario!$E$2:$E$300,$A17,Horario!$A$2:$A$300,D$1)))</f>
        <v/>
      </c>
      <c r="E17">
        <f>IF($A17="","",IF(COUNTIFS(Horario!$E$2:$E$300,$A17,Horario!$A$2:$A$300,E$1)=0,0,_xlfn.MAXIFS(Horario!$B$2:$B$300,Horario!$E$2:$E$300,$A17,Horario!$A$2:$A$300,E$1)-_xlfn.MINIFS(Horario!$B$2:$B$300,Horario!$E$2:$E$300,$A17,Horario!$A$2:$A$300,E$1)+1-COUNTIFS(Horario!$E$2:$E$300,$A17,Horario!$A$2:$A$300,E$1)))</f>
        <v/>
      </c>
      <c r="F17">
        <f>IF($A17="","",IF(COUNTIFS(Horario!$E$2:$E$300,$A17,Horario!$A$2:$A$300,F$1)=0,0,_xlfn.MAXIFS(Horario!$B$2:$B$300,Horario!$E$2:$E$300,$A17,Horario!$A$2:$A$300,F$1)-_xlfn.MINIFS(Horario!$B$2:$B$300,Horario!$E$2:$E$300,$A17,Horario!$A$2:$A$300,F$1)+1-COUNTIFS(Horario!$E$2:$E$300,$A17,Horario!$A$2:$A$300,F$1)))</f>
        <v/>
      </c>
    </row>
    <row r="18">
      <c r="A18">
        <f>IF(Docentes!A18="","",Docentes!A18)</f>
        <v/>
      </c>
      <c r="B18">
        <f>IF($A18="","",IF(COUNTIFS(Horario!$E$2:$E$300,$A18,Horario!$A$2:$A$300,B$1)=0,0,_xlfn.MAXIFS(Horario!$B$2:$B$300,Horario!$E$2:$E$300,$A18,Horario!$A$2:$A$300,B$1)-_xlfn.MINIFS(Horario!$B$2:$B$300,Horario!$E$2:$E$300,$A18,Horario!$A$2:$A$300,B$1)+1-COUNTIFS(Horario!$E$2:$E$300,$A18,Horario!$A$2:$A$300,B$1)))</f>
        <v/>
      </c>
      <c r="C18">
        <f>IF($A18="","",IF(COUNTIFS(Horario!$E$2:$E$300,$A18,Horario!$A$2:$A$300,C$1)=0,0,_xlfn.MAXIFS(Horario!$B$2:$B$300,Horario!$E$2:$E$300,$A18,Horario!$A$2:$A$300,C$1)-_xlfn.MINIFS(Horario!$B$2:$B$300,Horario!$E$2:$E$300,$A18,Horario!$A$2:$A$300,C$1)+1-COUNTIFS(Horario!$E$2:$E$300,$A18,Horario!$A$2:$A$300,C$1)))</f>
        <v/>
      </c>
      <c r="D18">
        <f>IF($A18="","",IF(COUNTIFS(Horario!$E$2:$E$300,$A18,Horario!$A$2:$A$300,D$1)=0,0,_xlfn.MAXIFS(Horario!$B$2:$B$300,Horario!$E$2:$E$300,$A18,Horario!$A$2:$A$300,D$1)-_xlfn.MINIFS(Horario!$B$2:$B$300,Horario!$E$2:$E$300,$A18,Horario!$A$2:$A$300,D$1)+1-COUNTIFS(Horario!$E$2:$E$300,$A18,Horario!$A$2:$A$300,D$1)))</f>
        <v/>
      </c>
      <c r="E18">
        <f>IF($A18="","",IF(COUNTIFS(Horario!$E$2:$E$300,$A18,Horario!$A$2:$A$300,E$1)=0,0,_xlfn.MAXIFS(Horario!$B$2:$B$300,Horario!$E$2:$E$300,$A18,Horario!$A$2:$A$300,E$1)-_xlfn.MINIFS(Horario!$B$2:$B$300,Horario!$E$2:$E$300,$A18,Horario!$A$2:$A$300,E$1)+1-COUNTIFS(Horario!$E$2:$E$300,$A18,Horario!$A$2:$A$300,E$1)))</f>
        <v/>
      </c>
      <c r="F18">
        <f>IF($A18="","",IF(COUNTIFS(Horario!$E$2:$E$300,$A18,Horario!$A$2:$A$300,F$1)=0,0,_xlfn.MAXIFS(Horario!$B$2:$B$300,Horario!$E$2:$E$300,$A18,Horario!$A$2:$A$300,F$1)-_xlfn.MINIFS(Horario!$B$2:$B$300,Horario!$E$2:$E$300,$A18,Horario!$A$2:$A$300,F$1)+1-COUNTIFS(Horario!$E$2:$E$300,$A18,Horario!$A$2:$A$300,F$1)))</f>
        <v/>
      </c>
    </row>
    <row r="19">
      <c r="A19">
        <f>IF(Docentes!A19="","",Docentes!A19)</f>
        <v/>
      </c>
      <c r="B19">
        <f>IF($A19="","",IF(COUNTIFS(Horario!$E$2:$E$300,$A19,Horario!$A$2:$A$300,B$1)=0,0,_xlfn.MAXIFS(Horario!$B$2:$B$300,Horario!$E$2:$E$300,$A19,Horario!$A$2:$A$300,B$1)-_xlfn.MINIFS(Horario!$B$2:$B$300,Horario!$E$2:$E$300,$A19,Horario!$A$2:$A$300,B$1)+1-COUNTIFS(Horario!$E$2:$E$300,$A19,Horario!$A$2:$A$300,B$1)))</f>
        <v/>
      </c>
      <c r="C19">
        <f>IF($A19="","",IF(COUNTIFS(Horario!$E$2:$E$300,$A19,Horario!$A$2:$A$300,C$1)=0,0,_xlfn.MAXIFS(Horario!$B$2:$B$300,Horario!$E$2:$E$300,$A19,Horario!$A$2:$A$300,C$1)-_xlfn.MINIFS(Horario!$B$2:$B$300,Horario!$E$2:$E$300,$A19,Horario!$A$2:$A$300,C$1)+1-COUNTIFS(Horario!$E$2:$E$300,$A19,Horario!$A$2:$A$300,C$1)))</f>
        <v/>
      </c>
      <c r="D19">
        <f>IF($A19="","",IF(COUNTIFS(Horario!$E$2:$E$300,$A19,Horario!$A$2:$A$300,D$1)=0,0,_xlfn.MAXIFS(Horario!$B$2:$B$300,Horario!$E$2:$E$300,$A19,Horario!$A$2:$A$300,D$1)-_xlfn.MINIFS(Horario!$B$2:$B$300,Horario!$E$2:$E$300,$A19,Horario!$A$2:$A$300,D$1)+1-COUNTIFS(Horario!$E$2:$E$300,$A19,Horario!$A$2:$A$300,D$1)))</f>
        <v/>
      </c>
      <c r="E19">
        <f>IF($A19="","",IF(COUNTIFS(Horario!$E$2:$E$300,$A19,Horario!$A$2:$A$300,E$1)=0,0,_xlfn.MAXIFS(Horario!$B$2:$B$300,Horario!$E$2:$E$300,$A19,Horario!$A$2:$A$300,E$1)-_xlfn.MINIFS(Horario!$B$2:$B$300,Horario!$E$2:$E$300,$A19,Horario!$A$2:$A$300,E$1)+1-COUNTIFS(Horario!$E$2:$E$300,$A19,Horario!$A$2:$A$300,E$1)))</f>
        <v/>
      </c>
      <c r="F19">
        <f>IF($A19="","",IF(COUNTIFS(Horario!$E$2:$E$300,$A19,Horario!$A$2:$A$300,F$1)=0,0,_xlfn.MAXIFS(Horario!$B$2:$B$300,Horario!$E$2:$E$300,$A19,Horario!$A$2:$A$300,F$1)-_xlfn.MINIFS(Horario!$B$2:$B$300,Horario!$E$2:$E$300,$A19,Horario!$A$2:$A$300,F$1)+1-COUNTIFS(Horario!$E$2:$E$300,$A19,Horario!$A$2:$A$300,F$1)))</f>
        <v/>
      </c>
    </row>
    <row r="20">
      <c r="A20">
        <f>IF(Docentes!A20="","",Docentes!A20)</f>
        <v/>
      </c>
      <c r="B20">
        <f>IF($A20="","",IF(COUNTIFS(Horario!$E$2:$E$300,$A20,Horario!$A$2:$A$300,B$1)=0,0,_xlfn.MAXIFS(Horario!$B$2:$B$300,Horario!$E$2:$E$300,$A20,Horario!$A$2:$A$300,B$1)-_xlfn.MINIFS(Horario!$B$2:$B$300,Horario!$E$2:$E$300,$A20,Horario!$A$2:$A$300,B$1)+1-COUNTIFS(Horario!$E$2:$E$300,$A20,Horario!$A$2:$A$300,B$1)))</f>
        <v/>
      </c>
      <c r="C20">
        <f>IF($A20="","",IF(COUNTIFS(Horario!$E$2:$E$300,$A20,Horario!$A$2:$A$300,C$1)=0,0,_xlfn.MAXIFS(Horario!$B$2:$B$300,Horario!$E$2:$E$300,$A20,Horario!$A$2:$A$300,C$1)-_xlfn.MINIFS(Horario!$B$2:$B$300,Horario!$E$2:$E$300,$A20,Horario!$A$2:$A$300,C$1)+1-COUNTIFS(Horario!$E$2:$E$300,$A20,Horario!$A$2:$A$300,C$1)))</f>
        <v/>
      </c>
      <c r="D20">
        <f>IF($A20="","",IF(COUNTIFS(Horario!$E$2:$E$300,$A20,Horario!$A$2:$A$300,D$1)=0,0,_xlfn.MAXIFS(Horario!$B$2:$B$300,Horario!$E$2:$E$300,$A20,Horario!$A$2:$A$300,D$1)-_xlfn.MINIFS(Horario!$B$2:$B$300,Horario!$E$2:$E$300,$A20,Horario!$A$2:$A$300,D$1)+1-COUNTIFS(Horario!$E$2:$E$300,$A20,Horario!$A$2:$A$300,D$1)))</f>
        <v/>
      </c>
      <c r="E20">
        <f>IF($A20="","",IF(COUNTIFS(Horario!$E$2:$E$300,$A20,Horario!$A$2:$A$300,E$1)=0,0,_xlfn.MAXIFS(Horario!$B$2:$B$300,Horario!$E$2:$E$300,$A20,Horario!$A$2:$A$300,E$1)-_xlfn.MINIFS(Horario!$B$2:$B$300,Horario!$E$2:$E$300,$A20,Horario!$A$2:$A$300,E$1)+1-COUNTIFS(Horario!$E$2:$E$300,$A20,Horario!$A$2:$A$300,E$1)))</f>
        <v/>
      </c>
      <c r="F20">
        <f>IF($A20="","",IF(COUNTIFS(Horario!$E$2:$E$300,$A20,Horario!$A$2:$A$300,F$1)=0,0,_xlfn.MAXIFS(Horario!$B$2:$B$300,Horario!$E$2:$E$300,$A20,Horario!$A$2:$A$300,F$1)-_xlfn.MINIFS(Horario!$B$2:$B$300,Horario!$E$2:$E$300,$A20,Horario!$A$2:$A$300,F$1)+1-COUNTIFS(Horario!$E$2:$E$300,$A20,Horario!$A$2:$A$300,F$1)))</f>
        <v/>
      </c>
    </row>
    <row r="21">
      <c r="A21">
        <f>IF(Docentes!A21="","",Docentes!A21)</f>
        <v/>
      </c>
      <c r="B21">
        <f>IF($A21="","",IF(COUNTIFS(Horario!$E$2:$E$300,$A21,Horario!$A$2:$A$300,B$1)=0,0,_xlfn.MAXIFS(Horario!$B$2:$B$300,Horario!$E$2:$E$300,$A21,Horario!$A$2:$A$300,B$1)-_xlfn.MINIFS(Horario!$B$2:$B$300,Horario!$E$2:$E$300,$A21,Horario!$A$2:$A$300,B$1)+1-COUNTIFS(Horario!$E$2:$E$300,$A21,Horario!$A$2:$A$300,B$1)))</f>
        <v/>
      </c>
      <c r="C21">
        <f>IF($A21="","",IF(COUNTIFS(Horario!$E$2:$E$300,$A21,Horario!$A$2:$A$300,C$1)=0,0,_xlfn.MAXIFS(Horario!$B$2:$B$300,Horario!$E$2:$E$300,$A21,Horario!$A$2:$A$300,C$1)-_xlfn.MINIFS(Horario!$B$2:$B$300,Horario!$E$2:$E$300,$A21,Horario!$A$2:$A$300,C$1)+1-COUNTIFS(Horario!$E$2:$E$300,$A21,Horario!$A$2:$A$300,C$1)))</f>
        <v/>
      </c>
      <c r="D21">
        <f>IF($A21="","",IF(COUNTIFS(Horario!$E$2:$E$300,$A21,Horario!$A$2:$A$300,D$1)=0,0,_xlfn.MAXIFS(Horario!$B$2:$B$300,Horario!$E$2:$E$300,$A21,Horario!$A$2:$A$300,D$1)-_xlfn.MINIFS(Horario!$B$2:$B$300,Horario!$E$2:$E$300,$A21,Horario!$A$2:$A$300,D$1)+1-COUNTIFS(Horario!$E$2:$E$300,$A21,Horario!$A$2:$A$300,D$1)))</f>
        <v/>
      </c>
      <c r="E21">
        <f>IF($A21="","",IF(COUNTIFS(Horario!$E$2:$E$300,$A21,Horario!$A$2:$A$300,E$1)=0,0,_xlfn.MAXIFS(Horario!$B$2:$B$300,Horario!$E$2:$E$300,$A21,Horario!$A$2:$A$300,E$1)-_xlfn.MINIFS(Horario!$B$2:$B$300,Horario!$E$2:$E$300,$A21,Horario!$A$2:$A$300,E$1)+1-COUNTIFS(Horario!$E$2:$E$300,$A21,Horario!$A$2:$A$300,E$1)))</f>
        <v/>
      </c>
      <c r="F21">
        <f>IF($A21="","",IF(COUNTIFS(Horario!$E$2:$E$300,$A21,Horario!$A$2:$A$300,F$1)=0,0,_xlfn.MAXIFS(Horario!$B$2:$B$300,Horario!$E$2:$E$300,$A21,Horario!$A$2:$A$300,F$1)-_xlfn.MINIFS(Horario!$B$2:$B$300,Horario!$E$2:$E$300,$A21,Horario!$A$2:$A$300,F$1)+1-COUNTIFS(Horario!$E$2:$E$300,$A21,Horario!$A$2:$A$300,F$1)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2026-10-10T13:31:57Z</dcterms:created>
  <dcterms:modified xmlns:dcterms="http://purl.org/dc/terms/" xmlns:xsi="http://www.w3.org/2001/XMLSchema-instance" xsi:type="dcterms:W3CDTF">2026-10-10T13:31:57Z</dcterms:modified>
</cp:coreProperties>
</file>