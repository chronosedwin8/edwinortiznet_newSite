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nostico" sheetId="2" state="visible" r:id="rId2"/>
    <sheet xmlns:r="http://schemas.openxmlformats.org/officeDocument/2006/relationships" name="Ejercicios" sheetId="3" state="visible" r:id="rId3"/>
    <sheet xmlns:r="http://schemas.openxmlformats.org/officeDocument/2006/relationships" name="Solu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-yyyy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7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>
      <c r="A1" s="1" t="inlineStr">
        <is>
          <t>VENTAS MENSUALES DE UNIFORMES (datos ficticios generados con tendencia, estacionalidad y ruido)</t>
        </is>
      </c>
    </row>
    <row r="3">
      <c r="A3" s="2" t="inlineStr">
        <is>
          <t>Mes</t>
        </is>
      </c>
      <c r="B3" s="2" t="inlineStr">
        <is>
          <t>Unidades vendidas</t>
        </is>
      </c>
      <c r="C3" s="2" t="inlineStr">
        <is>
          <t>Periodo</t>
        </is>
      </c>
      <c r="E3" t="inlineStr">
        <is>
          <t>Entrenamiento: filas 4 a 27 (2022-2023). Prueba: filas 28 a 39 (2024).</t>
        </is>
      </c>
    </row>
    <row r="4">
      <c r="A4" s="3" t="n">
        <v>44562</v>
      </c>
      <c r="B4" t="n">
        <v>131</v>
      </c>
      <c r="C4" t="inlineStr">
        <is>
          <t>Entrenamiento</t>
        </is>
      </c>
    </row>
    <row r="5">
      <c r="A5" s="3" t="n">
        <v>44593</v>
      </c>
      <c r="B5" t="n">
        <v>127</v>
      </c>
      <c r="C5" t="inlineStr">
        <is>
          <t>Entrenamiento</t>
        </is>
      </c>
    </row>
    <row r="6">
      <c r="A6" s="3" t="n">
        <v>44621</v>
      </c>
      <c r="B6" t="n">
        <v>103</v>
      </c>
      <c r="C6" t="inlineStr">
        <is>
          <t>Entrenamiento</t>
        </is>
      </c>
    </row>
    <row r="7">
      <c r="A7" s="3" t="n">
        <v>44652</v>
      </c>
      <c r="B7" t="n">
        <v>98</v>
      </c>
      <c r="C7" t="inlineStr">
        <is>
          <t>Entrenamiento</t>
        </is>
      </c>
    </row>
    <row r="8">
      <c r="A8" s="3" t="n">
        <v>44682</v>
      </c>
      <c r="B8" t="n">
        <v>86</v>
      </c>
      <c r="C8" t="inlineStr">
        <is>
          <t>Entrenamiento</t>
        </is>
      </c>
    </row>
    <row r="9">
      <c r="A9" s="3" t="n">
        <v>44713</v>
      </c>
      <c r="B9" t="n">
        <v>94</v>
      </c>
      <c r="C9" t="inlineStr">
        <is>
          <t>Entrenamiento</t>
        </is>
      </c>
    </row>
    <row r="10">
      <c r="A10" s="3" t="n">
        <v>44743</v>
      </c>
      <c r="B10" t="n">
        <v>126</v>
      </c>
      <c r="C10" t="inlineStr">
        <is>
          <t>Entrenamiento</t>
        </is>
      </c>
    </row>
    <row r="11">
      <c r="A11" s="3" t="n">
        <v>44774</v>
      </c>
      <c r="B11" t="n">
        <v>106</v>
      </c>
      <c r="C11" t="inlineStr">
        <is>
          <t>Entrenamiento</t>
        </is>
      </c>
    </row>
    <row r="12">
      <c r="A12" s="3" t="n">
        <v>44805</v>
      </c>
      <c r="B12" t="n">
        <v>104</v>
      </c>
      <c r="C12" t="inlineStr">
        <is>
          <t>Entrenamiento</t>
        </is>
      </c>
    </row>
    <row r="13">
      <c r="A13" s="3" t="n">
        <v>44835</v>
      </c>
      <c r="B13" t="n">
        <v>108</v>
      </c>
      <c r="C13" t="inlineStr">
        <is>
          <t>Entrenamiento</t>
        </is>
      </c>
    </row>
    <row r="14">
      <c r="A14" s="3" t="n">
        <v>44866</v>
      </c>
      <c r="B14" t="n">
        <v>117</v>
      </c>
      <c r="C14" t="inlineStr">
        <is>
          <t>Entrenamiento</t>
        </is>
      </c>
    </row>
    <row r="15">
      <c r="A15" s="3" t="n">
        <v>44896</v>
      </c>
      <c r="B15" t="n">
        <v>131</v>
      </c>
      <c r="C15" t="inlineStr">
        <is>
          <t>Entrenamiento</t>
        </is>
      </c>
    </row>
    <row r="16">
      <c r="A16" s="3" t="n">
        <v>44927</v>
      </c>
      <c r="B16" t="n">
        <v>162</v>
      </c>
      <c r="C16" t="inlineStr">
        <is>
          <t>Entrenamiento</t>
        </is>
      </c>
    </row>
    <row r="17">
      <c r="A17" s="3" t="n">
        <v>44958</v>
      </c>
      <c r="B17" t="n">
        <v>150</v>
      </c>
      <c r="C17" t="inlineStr">
        <is>
          <t>Entrenamiento</t>
        </is>
      </c>
    </row>
    <row r="18">
      <c r="A18" s="3" t="n">
        <v>44986</v>
      </c>
      <c r="B18" t="n">
        <v>118</v>
      </c>
      <c r="C18" t="inlineStr">
        <is>
          <t>Entrenamiento</t>
        </is>
      </c>
    </row>
    <row r="19">
      <c r="A19" s="3" t="n">
        <v>45017</v>
      </c>
      <c r="B19" t="n">
        <v>111</v>
      </c>
      <c r="C19" t="inlineStr">
        <is>
          <t>Entrenamiento</t>
        </is>
      </c>
    </row>
    <row r="20">
      <c r="A20" s="3" t="n">
        <v>45047</v>
      </c>
      <c r="B20" t="n">
        <v>102</v>
      </c>
      <c r="C20" t="inlineStr">
        <is>
          <t>Entrenamiento</t>
        </is>
      </c>
    </row>
    <row r="21">
      <c r="A21" s="3" t="n">
        <v>45078</v>
      </c>
      <c r="B21" t="n">
        <v>116</v>
      </c>
      <c r="C21" t="inlineStr">
        <is>
          <t>Entrenamiento</t>
        </is>
      </c>
    </row>
    <row r="22">
      <c r="A22" s="3" t="n">
        <v>45108</v>
      </c>
      <c r="B22" t="n">
        <v>146</v>
      </c>
      <c r="C22" t="inlineStr">
        <is>
          <t>Entrenamiento</t>
        </is>
      </c>
    </row>
    <row r="23">
      <c r="A23" s="3" t="n">
        <v>45139</v>
      </c>
      <c r="B23" t="n">
        <v>125</v>
      </c>
      <c r="C23" t="inlineStr">
        <is>
          <t>Entrenamiento</t>
        </is>
      </c>
    </row>
    <row r="24">
      <c r="A24" s="3" t="n">
        <v>45170</v>
      </c>
      <c r="B24" t="n">
        <v>119</v>
      </c>
      <c r="C24" t="inlineStr">
        <is>
          <t>Entrenamiento</t>
        </is>
      </c>
    </row>
    <row r="25">
      <c r="A25" s="3" t="n">
        <v>45200</v>
      </c>
      <c r="B25" t="n">
        <v>127</v>
      </c>
      <c r="C25" t="inlineStr">
        <is>
          <t>Entrenamiento</t>
        </is>
      </c>
    </row>
    <row r="26">
      <c r="A26" s="3" t="n">
        <v>45231</v>
      </c>
      <c r="B26" t="n">
        <v>130</v>
      </c>
      <c r="C26" t="inlineStr">
        <is>
          <t>Entrenamiento</t>
        </is>
      </c>
    </row>
    <row r="27">
      <c r="A27" s="3" t="n">
        <v>45261</v>
      </c>
      <c r="B27" t="n">
        <v>145</v>
      </c>
      <c r="C27" t="inlineStr">
        <is>
          <t>Entrenamiento</t>
        </is>
      </c>
    </row>
    <row r="28">
      <c r="A28" s="3" t="n">
        <v>45292</v>
      </c>
      <c r="B28" t="n">
        <v>188</v>
      </c>
      <c r="C28" t="inlineStr">
        <is>
          <t>Prueba</t>
        </is>
      </c>
    </row>
    <row r="29">
      <c r="A29" s="3" t="n">
        <v>45323</v>
      </c>
      <c r="B29" t="n">
        <v>176</v>
      </c>
      <c r="C29" t="inlineStr">
        <is>
          <t>Prueba</t>
        </is>
      </c>
    </row>
    <row r="30">
      <c r="A30" s="3" t="n">
        <v>45352</v>
      </c>
      <c r="B30" t="n">
        <v>142</v>
      </c>
      <c r="C30" t="inlineStr">
        <is>
          <t>Prueba</t>
        </is>
      </c>
    </row>
    <row r="31">
      <c r="A31" s="3" t="n">
        <v>45383</v>
      </c>
      <c r="B31" t="n">
        <v>131</v>
      </c>
      <c r="C31" t="inlineStr">
        <is>
          <t>Prueba</t>
        </is>
      </c>
    </row>
    <row r="32">
      <c r="A32" s="3" t="n">
        <v>45413</v>
      </c>
      <c r="B32" t="n">
        <v>121</v>
      </c>
      <c r="C32" t="inlineStr">
        <is>
          <t>Prueba</t>
        </is>
      </c>
    </row>
    <row r="33">
      <c r="A33" s="3" t="n">
        <v>45444</v>
      </c>
      <c r="B33" t="n">
        <v>125</v>
      </c>
      <c r="C33" t="inlineStr">
        <is>
          <t>Prueba</t>
        </is>
      </c>
    </row>
    <row r="34">
      <c r="A34" s="3" t="n">
        <v>45474</v>
      </c>
      <c r="B34" t="n">
        <v>165</v>
      </c>
      <c r="C34" t="inlineStr">
        <is>
          <t>Prueba</t>
        </is>
      </c>
    </row>
    <row r="35">
      <c r="A35" s="3" t="n">
        <v>45505</v>
      </c>
      <c r="B35" t="n">
        <v>140</v>
      </c>
      <c r="C35" t="inlineStr">
        <is>
          <t>Prueba</t>
        </is>
      </c>
    </row>
    <row r="36">
      <c r="A36" s="3" t="n">
        <v>45536</v>
      </c>
      <c r="B36" t="n">
        <v>131</v>
      </c>
      <c r="C36" t="inlineStr">
        <is>
          <t>Prueba</t>
        </is>
      </c>
    </row>
    <row r="37">
      <c r="A37" s="3" t="n">
        <v>45566</v>
      </c>
      <c r="B37" t="n">
        <v>142</v>
      </c>
      <c r="C37" t="inlineStr">
        <is>
          <t>Prueba</t>
        </is>
      </c>
    </row>
    <row r="38">
      <c r="A38" s="3" t="n">
        <v>45597</v>
      </c>
      <c r="B38" t="n">
        <v>155</v>
      </c>
      <c r="C38" t="inlineStr">
        <is>
          <t>Prueba</t>
        </is>
      </c>
    </row>
    <row r="39">
      <c r="A39" s="3" t="n">
        <v>45627</v>
      </c>
      <c r="B39" t="n">
        <v>170</v>
      </c>
      <c r="C39" t="inlineStr">
        <is>
          <t>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PRUEBA RETROSPECTIVA: pronosticar 2024 usando solo 2022-2023 y comparar con lo real</t>
        </is>
      </c>
    </row>
    <row r="3" ht="62" customHeight="1">
      <c r="A3" s="4" t="inlineStr">
        <is>
          <t>Mes</t>
        </is>
      </c>
      <c r="B3" s="4" t="inlineStr">
        <is>
          <t>Real</t>
        </is>
      </c>
      <c r="C3" s="4" t="inlineStr">
        <is>
          <t>Ingenuo estacional (mismo mes del año anterior)</t>
        </is>
      </c>
      <c r="D3" s="4" t="inlineStr">
        <is>
          <t>Tendencia lineal (FORECAST.LINEAR)</t>
        </is>
      </c>
      <c r="E3" s="4" t="inlineStr">
        <is>
          <t>ETS indicando estacionalidad de 12 meses</t>
        </is>
      </c>
      <c r="F3" s="4" t="inlineStr">
        <is>
          <t>ETS con estacionalidad automática</t>
        </is>
      </c>
      <c r="G3" s="4" t="inlineStr">
        <is>
          <t>Error % ingenuo</t>
        </is>
      </c>
      <c r="H3" s="4" t="inlineStr">
        <is>
          <t>Error % lineal</t>
        </is>
      </c>
      <c r="I3" s="4" t="inlineStr">
        <is>
          <t>Error % ETS 12</t>
        </is>
      </c>
      <c r="J3" s="4" t="inlineStr">
        <is>
          <t>Error % ETS automático</t>
        </is>
      </c>
    </row>
    <row r="4">
      <c r="A4" s="3">
        <f>Datos!A28</f>
        <v/>
      </c>
      <c r="B4">
        <f>Datos!B28</f>
        <v/>
      </c>
      <c r="C4">
        <f>Datos!B16</f>
        <v/>
      </c>
      <c r="D4" s="5">
        <f>_xlfn.FORECAST.LINEAR(Datos!A28,Datos!$B$4:$B$27,Datos!$A$4:$A$27)</f>
        <v/>
      </c>
      <c r="E4" s="5">
        <f>_xlfn.FORECAST.ETS(Datos!A28,Datos!$B$4:$B$27,Datos!$A$4:$A$27,12)</f>
        <v/>
      </c>
      <c r="F4" s="5">
        <f>_xlfn.FORECAST.ETS(Datos!A28,Datos!$B$4:$B$27,Datos!$A$4:$A$27)</f>
        <v/>
      </c>
      <c r="G4" s="6">
        <f>ABS($B4-C4)/$B4</f>
        <v/>
      </c>
      <c r="H4" s="6">
        <f>ABS($B4-D4)/$B4</f>
        <v/>
      </c>
      <c r="I4" s="6">
        <f>ABS($B4-E4)/$B4</f>
        <v/>
      </c>
      <c r="J4" s="6">
        <f>ABS($B4-F4)/$B4</f>
        <v/>
      </c>
    </row>
    <row r="5">
      <c r="A5" s="3">
        <f>Datos!A29</f>
        <v/>
      </c>
      <c r="B5">
        <f>Datos!B29</f>
        <v/>
      </c>
      <c r="C5">
        <f>Datos!B17</f>
        <v/>
      </c>
      <c r="D5" s="5">
        <f>_xlfn.FORECAST.LINEAR(Datos!A29,Datos!$B$4:$B$27,Datos!$A$4:$A$27)</f>
        <v/>
      </c>
      <c r="E5" s="5">
        <f>_xlfn.FORECAST.ETS(Datos!A29,Datos!$B$4:$B$27,Datos!$A$4:$A$27,12)</f>
        <v/>
      </c>
      <c r="F5" s="5">
        <f>_xlfn.FORECAST.ETS(Datos!A29,Datos!$B$4:$B$27,Datos!$A$4:$A$27)</f>
        <v/>
      </c>
      <c r="G5" s="6">
        <f>ABS($B5-C5)/$B5</f>
        <v/>
      </c>
      <c r="H5" s="6">
        <f>ABS($B5-D5)/$B5</f>
        <v/>
      </c>
      <c r="I5" s="6">
        <f>ABS($B5-E5)/$B5</f>
        <v/>
      </c>
      <c r="J5" s="6">
        <f>ABS($B5-F5)/$B5</f>
        <v/>
      </c>
    </row>
    <row r="6">
      <c r="A6" s="3">
        <f>Datos!A30</f>
        <v/>
      </c>
      <c r="B6">
        <f>Datos!B30</f>
        <v/>
      </c>
      <c r="C6">
        <f>Datos!B18</f>
        <v/>
      </c>
      <c r="D6" s="5">
        <f>_xlfn.FORECAST.LINEAR(Datos!A30,Datos!$B$4:$B$27,Datos!$A$4:$A$27)</f>
        <v/>
      </c>
      <c r="E6" s="5">
        <f>_xlfn.FORECAST.ETS(Datos!A30,Datos!$B$4:$B$27,Datos!$A$4:$A$27,12)</f>
        <v/>
      </c>
      <c r="F6" s="5">
        <f>_xlfn.FORECAST.ETS(Datos!A30,Datos!$B$4:$B$27,Datos!$A$4:$A$27)</f>
        <v/>
      </c>
      <c r="G6" s="6">
        <f>ABS($B6-C6)/$B6</f>
        <v/>
      </c>
      <c r="H6" s="6">
        <f>ABS($B6-D6)/$B6</f>
        <v/>
      </c>
      <c r="I6" s="6">
        <f>ABS($B6-E6)/$B6</f>
        <v/>
      </c>
      <c r="J6" s="6">
        <f>ABS($B6-F6)/$B6</f>
        <v/>
      </c>
    </row>
    <row r="7">
      <c r="A7" s="3">
        <f>Datos!A31</f>
        <v/>
      </c>
      <c r="B7">
        <f>Datos!B31</f>
        <v/>
      </c>
      <c r="C7">
        <f>Datos!B19</f>
        <v/>
      </c>
      <c r="D7" s="5">
        <f>_xlfn.FORECAST.LINEAR(Datos!A31,Datos!$B$4:$B$27,Datos!$A$4:$A$27)</f>
        <v/>
      </c>
      <c r="E7" s="5">
        <f>_xlfn.FORECAST.ETS(Datos!A31,Datos!$B$4:$B$27,Datos!$A$4:$A$27,12)</f>
        <v/>
      </c>
      <c r="F7" s="5">
        <f>_xlfn.FORECAST.ETS(Datos!A31,Datos!$B$4:$B$27,Datos!$A$4:$A$27)</f>
        <v/>
      </c>
      <c r="G7" s="6">
        <f>ABS($B7-C7)/$B7</f>
        <v/>
      </c>
      <c r="H7" s="6">
        <f>ABS($B7-D7)/$B7</f>
        <v/>
      </c>
      <c r="I7" s="6">
        <f>ABS($B7-E7)/$B7</f>
        <v/>
      </c>
      <c r="J7" s="6">
        <f>ABS($B7-F7)/$B7</f>
        <v/>
      </c>
    </row>
    <row r="8">
      <c r="A8" s="3">
        <f>Datos!A32</f>
        <v/>
      </c>
      <c r="B8">
        <f>Datos!B32</f>
        <v/>
      </c>
      <c r="C8">
        <f>Datos!B20</f>
        <v/>
      </c>
      <c r="D8" s="5">
        <f>_xlfn.FORECAST.LINEAR(Datos!A32,Datos!$B$4:$B$27,Datos!$A$4:$A$27)</f>
        <v/>
      </c>
      <c r="E8" s="5">
        <f>_xlfn.FORECAST.ETS(Datos!A32,Datos!$B$4:$B$27,Datos!$A$4:$A$27,12)</f>
        <v/>
      </c>
      <c r="F8" s="5">
        <f>_xlfn.FORECAST.ETS(Datos!A32,Datos!$B$4:$B$27,Datos!$A$4:$A$27)</f>
        <v/>
      </c>
      <c r="G8" s="6">
        <f>ABS($B8-C8)/$B8</f>
        <v/>
      </c>
      <c r="H8" s="6">
        <f>ABS($B8-D8)/$B8</f>
        <v/>
      </c>
      <c r="I8" s="6">
        <f>ABS($B8-E8)/$B8</f>
        <v/>
      </c>
      <c r="J8" s="6">
        <f>ABS($B8-F8)/$B8</f>
        <v/>
      </c>
    </row>
    <row r="9">
      <c r="A9" s="3">
        <f>Datos!A33</f>
        <v/>
      </c>
      <c r="B9">
        <f>Datos!B33</f>
        <v/>
      </c>
      <c r="C9">
        <f>Datos!B21</f>
        <v/>
      </c>
      <c r="D9" s="5">
        <f>_xlfn.FORECAST.LINEAR(Datos!A33,Datos!$B$4:$B$27,Datos!$A$4:$A$27)</f>
        <v/>
      </c>
      <c r="E9" s="5">
        <f>_xlfn.FORECAST.ETS(Datos!A33,Datos!$B$4:$B$27,Datos!$A$4:$A$27,12)</f>
        <v/>
      </c>
      <c r="F9" s="5">
        <f>_xlfn.FORECAST.ETS(Datos!A33,Datos!$B$4:$B$27,Datos!$A$4:$A$27)</f>
        <v/>
      </c>
      <c r="G9" s="6">
        <f>ABS($B9-C9)/$B9</f>
        <v/>
      </c>
      <c r="H9" s="6">
        <f>ABS($B9-D9)/$B9</f>
        <v/>
      </c>
      <c r="I9" s="6">
        <f>ABS($B9-E9)/$B9</f>
        <v/>
      </c>
      <c r="J9" s="6">
        <f>ABS($B9-F9)/$B9</f>
        <v/>
      </c>
    </row>
    <row r="10">
      <c r="A10" s="3">
        <f>Datos!A34</f>
        <v/>
      </c>
      <c r="B10">
        <f>Datos!B34</f>
        <v/>
      </c>
      <c r="C10">
        <f>Datos!B22</f>
        <v/>
      </c>
      <c r="D10" s="5">
        <f>_xlfn.FORECAST.LINEAR(Datos!A34,Datos!$B$4:$B$27,Datos!$A$4:$A$27)</f>
        <v/>
      </c>
      <c r="E10" s="5">
        <f>_xlfn.FORECAST.ETS(Datos!A34,Datos!$B$4:$B$27,Datos!$A$4:$A$27,12)</f>
        <v/>
      </c>
      <c r="F10" s="5">
        <f>_xlfn.FORECAST.ETS(Datos!A34,Datos!$B$4:$B$27,Datos!$A$4:$A$27)</f>
        <v/>
      </c>
      <c r="G10" s="6">
        <f>ABS($B10-C10)/$B10</f>
        <v/>
      </c>
      <c r="H10" s="6">
        <f>ABS($B10-D10)/$B10</f>
        <v/>
      </c>
      <c r="I10" s="6">
        <f>ABS($B10-E10)/$B10</f>
        <v/>
      </c>
      <c r="J10" s="6">
        <f>ABS($B10-F10)/$B10</f>
        <v/>
      </c>
    </row>
    <row r="11">
      <c r="A11" s="3">
        <f>Datos!A35</f>
        <v/>
      </c>
      <c r="B11">
        <f>Datos!B35</f>
        <v/>
      </c>
      <c r="C11">
        <f>Datos!B23</f>
        <v/>
      </c>
      <c r="D11" s="5">
        <f>_xlfn.FORECAST.LINEAR(Datos!A35,Datos!$B$4:$B$27,Datos!$A$4:$A$27)</f>
        <v/>
      </c>
      <c r="E11" s="5">
        <f>_xlfn.FORECAST.ETS(Datos!A35,Datos!$B$4:$B$27,Datos!$A$4:$A$27,12)</f>
        <v/>
      </c>
      <c r="F11" s="5">
        <f>_xlfn.FORECAST.ETS(Datos!A35,Datos!$B$4:$B$27,Datos!$A$4:$A$27)</f>
        <v/>
      </c>
      <c r="G11" s="6">
        <f>ABS($B11-C11)/$B11</f>
        <v/>
      </c>
      <c r="H11" s="6">
        <f>ABS($B11-D11)/$B11</f>
        <v/>
      </c>
      <c r="I11" s="6">
        <f>ABS($B11-E11)/$B11</f>
        <v/>
      </c>
      <c r="J11" s="6">
        <f>ABS($B11-F11)/$B11</f>
        <v/>
      </c>
    </row>
    <row r="12">
      <c r="A12" s="3">
        <f>Datos!A36</f>
        <v/>
      </c>
      <c r="B12">
        <f>Datos!B36</f>
        <v/>
      </c>
      <c r="C12">
        <f>Datos!B24</f>
        <v/>
      </c>
      <c r="D12" s="5">
        <f>_xlfn.FORECAST.LINEAR(Datos!A36,Datos!$B$4:$B$27,Datos!$A$4:$A$27)</f>
        <v/>
      </c>
      <c r="E12" s="5">
        <f>_xlfn.FORECAST.ETS(Datos!A36,Datos!$B$4:$B$27,Datos!$A$4:$A$27,12)</f>
        <v/>
      </c>
      <c r="F12" s="5">
        <f>_xlfn.FORECAST.ETS(Datos!A36,Datos!$B$4:$B$27,Datos!$A$4:$A$27)</f>
        <v/>
      </c>
      <c r="G12" s="6">
        <f>ABS($B12-C12)/$B12</f>
        <v/>
      </c>
      <c r="H12" s="6">
        <f>ABS($B12-D12)/$B12</f>
        <v/>
      </c>
      <c r="I12" s="6">
        <f>ABS($B12-E12)/$B12</f>
        <v/>
      </c>
      <c r="J12" s="6">
        <f>ABS($B12-F12)/$B12</f>
        <v/>
      </c>
    </row>
    <row r="13">
      <c r="A13" s="3">
        <f>Datos!A37</f>
        <v/>
      </c>
      <c r="B13">
        <f>Datos!B37</f>
        <v/>
      </c>
      <c r="C13">
        <f>Datos!B25</f>
        <v/>
      </c>
      <c r="D13" s="5">
        <f>_xlfn.FORECAST.LINEAR(Datos!A37,Datos!$B$4:$B$27,Datos!$A$4:$A$27)</f>
        <v/>
      </c>
      <c r="E13" s="5">
        <f>_xlfn.FORECAST.ETS(Datos!A37,Datos!$B$4:$B$27,Datos!$A$4:$A$27,12)</f>
        <v/>
      </c>
      <c r="F13" s="5">
        <f>_xlfn.FORECAST.ETS(Datos!A37,Datos!$B$4:$B$27,Datos!$A$4:$A$27)</f>
        <v/>
      </c>
      <c r="G13" s="6">
        <f>ABS($B13-C13)/$B13</f>
        <v/>
      </c>
      <c r="H13" s="6">
        <f>ABS($B13-D13)/$B13</f>
        <v/>
      </c>
      <c r="I13" s="6">
        <f>ABS($B13-E13)/$B13</f>
        <v/>
      </c>
      <c r="J13" s="6">
        <f>ABS($B13-F13)/$B13</f>
        <v/>
      </c>
    </row>
    <row r="14">
      <c r="A14" s="3">
        <f>Datos!A38</f>
        <v/>
      </c>
      <c r="B14">
        <f>Datos!B38</f>
        <v/>
      </c>
      <c r="C14">
        <f>Datos!B26</f>
        <v/>
      </c>
      <c r="D14" s="5">
        <f>_xlfn.FORECAST.LINEAR(Datos!A38,Datos!$B$4:$B$27,Datos!$A$4:$A$27)</f>
        <v/>
      </c>
      <c r="E14" s="5">
        <f>_xlfn.FORECAST.ETS(Datos!A38,Datos!$B$4:$B$27,Datos!$A$4:$A$27,12)</f>
        <v/>
      </c>
      <c r="F14" s="5">
        <f>_xlfn.FORECAST.ETS(Datos!A38,Datos!$B$4:$B$27,Datos!$A$4:$A$27)</f>
        <v/>
      </c>
      <c r="G14" s="6">
        <f>ABS($B14-C14)/$B14</f>
        <v/>
      </c>
      <c r="H14" s="6">
        <f>ABS($B14-D14)/$B14</f>
        <v/>
      </c>
      <c r="I14" s="6">
        <f>ABS($B14-E14)/$B14</f>
        <v/>
      </c>
      <c r="J14" s="6">
        <f>ABS($B14-F14)/$B14</f>
        <v/>
      </c>
    </row>
    <row r="15">
      <c r="A15" s="3">
        <f>Datos!A39</f>
        <v/>
      </c>
      <c r="B15">
        <f>Datos!B39</f>
        <v/>
      </c>
      <c r="C15">
        <f>Datos!B27</f>
        <v/>
      </c>
      <c r="D15" s="5">
        <f>_xlfn.FORECAST.LINEAR(Datos!A39,Datos!$B$4:$B$27,Datos!$A$4:$A$27)</f>
        <v/>
      </c>
      <c r="E15" s="5">
        <f>_xlfn.FORECAST.ETS(Datos!A39,Datos!$B$4:$B$27,Datos!$A$4:$A$27,12)</f>
        <v/>
      </c>
      <c r="F15" s="5">
        <f>_xlfn.FORECAST.ETS(Datos!A39,Datos!$B$4:$B$27,Datos!$A$4:$A$27)</f>
        <v/>
      </c>
      <c r="G15" s="6">
        <f>ABS($B15-C15)/$B15</f>
        <v/>
      </c>
      <c r="H15" s="6">
        <f>ABS($B15-D15)/$B15</f>
        <v/>
      </c>
      <c r="I15" s="6">
        <f>ABS($B15-E15)/$B15</f>
        <v/>
      </c>
      <c r="J15" s="6">
        <f>ABS($B15-F15)/$B15</f>
        <v/>
      </c>
    </row>
    <row r="17">
      <c r="A17" s="7" t="inlineStr">
        <is>
          <t>Error porcentual absoluto medio (MAPE)</t>
        </is>
      </c>
      <c r="G17" s="6">
        <f>AVERAGE(G4:G15)</f>
        <v/>
      </c>
      <c r="H17" s="6">
        <f>AVERAGE(H4:H15)</f>
        <v/>
      </c>
      <c r="I17" s="6">
        <f>AVERAGE(I4:I15)</f>
        <v/>
      </c>
      <c r="J17" s="6">
        <f>AVERAGE(J4:J15)</f>
        <v/>
      </c>
    </row>
    <row r="18">
      <c r="A18" s="7" t="inlineStr">
        <is>
          <t>Mejor método en esta prueba</t>
        </is>
      </c>
      <c r="G18">
        <f>INDEX({"Ingenuo estacional","Tendencia lineal","ETS 12 meses","ETS automático"},MATCH(MIN(G17:J17),G17:J17,0))</f>
        <v/>
      </c>
    </row>
    <row r="20">
      <c r="A20" t="inlineStr">
        <is>
          <t>Estacionalidad detectada por Excel (meses por ciclo)</t>
        </is>
      </c>
      <c r="G20">
        <f>_xlfn.FORECAST.ETS.SEASONALITY(Datos!$B$4:$B$27,Datos!$A$4:$A$27)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EJERCICIOS (resuélvelos antes de mirar la hoja Soluciones)</t>
        </is>
      </c>
    </row>
    <row r="3">
      <c r="A3" t="inlineStr">
        <is>
          <t>1</t>
        </is>
      </c>
      <c r="B3" s="8" t="inlineStr">
        <is>
          <t>Mira la hoja Datos y construye un gráfico de líneas. ¿Qué tendencia y qué estacionalidad ves? ¿En qué meses se vende más y por qué crees que ocurre?</t>
        </is>
      </c>
    </row>
    <row r="4">
      <c r="A4" t="inlineStr">
        <is>
          <t>2</t>
        </is>
      </c>
      <c r="B4" s="8" t="inlineStr">
        <is>
          <t>Calcula el promedio de ventas de cada mes del año (enero con enero, etc.). ¿Qué índice estacional resulta (promedio del mes / promedio general)?</t>
        </is>
      </c>
    </row>
    <row r="5">
      <c r="A5" t="inlineStr">
        <is>
          <t>3</t>
        </is>
      </c>
      <c r="B5" s="8" t="inlineStr">
        <is>
          <t>Pronostica enero de 2025 con FORECAST.ETS usando los 36 meses. ¿Cuánto da? ¿Qué intervalo de confianza entrega FORECAST.ETS.CONFINT?</t>
        </is>
      </c>
    </row>
    <row r="6">
      <c r="A6" t="inlineStr">
        <is>
          <t>4</t>
        </is>
      </c>
      <c r="B6" s="8" t="inlineStr">
        <is>
          <t>En la hoja Pronostico, ¿qué método tuvo el menor MAPE? Cambia el método ingenuo para que sea «el mes del año anterior más el crecimiento promedio» y compara.</t>
        </is>
      </c>
    </row>
    <row r="7">
      <c r="A7" t="inlineStr">
        <is>
          <t>5</t>
        </is>
      </c>
      <c r="B7" s="8" t="inlineStr">
        <is>
          <t>Cambia los datos de 2024 para simular un choque (por ejemplo, una caída del 40 % en abril por cierre del colegio). ¿Cómo cambia el error de cada método? ¿Qué enseña eso sobre los pronósticos?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40" customWidth="1" min="3" max="3"/>
  </cols>
  <sheetData>
    <row r="1">
      <c r="A1" s="1" t="inlineStr">
        <is>
          <t>SOLUCIONES</t>
        </is>
      </c>
    </row>
    <row r="3">
      <c r="A3" s="7" t="inlineStr">
        <is>
          <t>Ejercicio 2: índice estacional por mes</t>
        </is>
      </c>
    </row>
    <row r="4">
      <c r="A4" s="2" t="inlineStr">
        <is>
          <t>Mes</t>
        </is>
      </c>
      <c r="B4" s="2" t="inlineStr">
        <is>
          <t>Promedio del mes (2022-2024)</t>
        </is>
      </c>
      <c r="C4" s="2" t="inlineStr">
        <is>
          <t>Índice (promedio del mes / promedio general)</t>
        </is>
      </c>
    </row>
    <row r="5">
      <c r="A5" t="inlineStr">
        <is>
          <t>Ene</t>
        </is>
      </c>
      <c r="B5" s="5">
        <f>AVERAGE(Datos!B4,Datos!B16,Datos!B28)</f>
        <v/>
      </c>
      <c r="C5" s="9">
        <f>B5/AVERAGE(Datos!$B$4:$B$39)</f>
        <v/>
      </c>
    </row>
    <row r="6">
      <c r="A6" t="inlineStr">
        <is>
          <t>Feb</t>
        </is>
      </c>
      <c r="B6" s="5">
        <f>AVERAGE(Datos!B5,Datos!B17,Datos!B29)</f>
        <v/>
      </c>
      <c r="C6" s="9">
        <f>B6/AVERAGE(Datos!$B$4:$B$39)</f>
        <v/>
      </c>
    </row>
    <row r="7">
      <c r="A7" t="inlineStr">
        <is>
          <t>Mar</t>
        </is>
      </c>
      <c r="B7" s="5">
        <f>AVERAGE(Datos!B6,Datos!B18,Datos!B30)</f>
        <v/>
      </c>
      <c r="C7" s="9">
        <f>B7/AVERAGE(Datos!$B$4:$B$39)</f>
        <v/>
      </c>
    </row>
    <row r="8">
      <c r="A8" t="inlineStr">
        <is>
          <t>Abr</t>
        </is>
      </c>
      <c r="B8" s="5">
        <f>AVERAGE(Datos!B7,Datos!B19,Datos!B31)</f>
        <v/>
      </c>
      <c r="C8" s="9">
        <f>B8/AVERAGE(Datos!$B$4:$B$39)</f>
        <v/>
      </c>
    </row>
    <row r="9">
      <c r="A9" t="inlineStr">
        <is>
          <t>May</t>
        </is>
      </c>
      <c r="B9" s="5">
        <f>AVERAGE(Datos!B8,Datos!B20,Datos!B32)</f>
        <v/>
      </c>
      <c r="C9" s="9">
        <f>B9/AVERAGE(Datos!$B$4:$B$39)</f>
        <v/>
      </c>
    </row>
    <row r="10">
      <c r="A10" t="inlineStr">
        <is>
          <t>Jun</t>
        </is>
      </c>
      <c r="B10" s="5">
        <f>AVERAGE(Datos!B9,Datos!B21,Datos!B33)</f>
        <v/>
      </c>
      <c r="C10" s="9">
        <f>B10/AVERAGE(Datos!$B$4:$B$39)</f>
        <v/>
      </c>
    </row>
    <row r="11">
      <c r="A11" t="inlineStr">
        <is>
          <t>Jul</t>
        </is>
      </c>
      <c r="B11" s="5">
        <f>AVERAGE(Datos!B10,Datos!B22,Datos!B34)</f>
        <v/>
      </c>
      <c r="C11" s="9">
        <f>B11/AVERAGE(Datos!$B$4:$B$39)</f>
        <v/>
      </c>
    </row>
    <row r="12">
      <c r="A12" t="inlineStr">
        <is>
          <t>Ago</t>
        </is>
      </c>
      <c r="B12" s="5">
        <f>AVERAGE(Datos!B11,Datos!B23,Datos!B35)</f>
        <v/>
      </c>
      <c r="C12" s="9">
        <f>B12/AVERAGE(Datos!$B$4:$B$39)</f>
        <v/>
      </c>
    </row>
    <row r="13">
      <c r="A13" t="inlineStr">
        <is>
          <t>Sep</t>
        </is>
      </c>
      <c r="B13" s="5">
        <f>AVERAGE(Datos!B12,Datos!B24,Datos!B36)</f>
        <v/>
      </c>
      <c r="C13" s="9">
        <f>B13/AVERAGE(Datos!$B$4:$B$39)</f>
        <v/>
      </c>
    </row>
    <row r="14">
      <c r="A14" t="inlineStr">
        <is>
          <t>Oct</t>
        </is>
      </c>
      <c r="B14" s="5">
        <f>AVERAGE(Datos!B13,Datos!B25,Datos!B37)</f>
        <v/>
      </c>
      <c r="C14" s="9">
        <f>B14/AVERAGE(Datos!$B$4:$B$39)</f>
        <v/>
      </c>
    </row>
    <row r="15">
      <c r="A15" t="inlineStr">
        <is>
          <t>Nov</t>
        </is>
      </c>
      <c r="B15" s="5">
        <f>AVERAGE(Datos!B14,Datos!B26,Datos!B38)</f>
        <v/>
      </c>
      <c r="C15" s="9">
        <f>B15/AVERAGE(Datos!$B$4:$B$39)</f>
        <v/>
      </c>
    </row>
    <row r="16">
      <c r="A16" t="inlineStr">
        <is>
          <t>Dic</t>
        </is>
      </c>
      <c r="B16" s="5">
        <f>AVERAGE(Datos!B15,Datos!B27,Datos!B39)</f>
        <v/>
      </c>
      <c r="C16" s="9">
        <f>B16/AVERAGE(Datos!$B$4:$B$39)</f>
        <v/>
      </c>
    </row>
    <row r="19">
      <c r="A19" s="7" t="inlineStr">
        <is>
          <t>Ejercicio 3: pronóstico de enero de 2025 con los 36 meses</t>
        </is>
      </c>
    </row>
    <row r="20">
      <c r="A20" t="inlineStr">
        <is>
          <t>Fecha objetivo</t>
        </is>
      </c>
      <c r="B20" s="3" t="n">
        <v>45658</v>
      </c>
    </row>
    <row r="21">
      <c r="A21" t="inlineStr">
        <is>
          <t>Pronóstico ETS</t>
        </is>
      </c>
      <c r="B21" s="5">
        <f>_xlfn.FORECAST.ETS(B20,Datos!$B$4:$B$39,Datos!$A$4:$A$39,12)</f>
        <v/>
      </c>
    </row>
    <row r="22">
      <c r="A22" t="inlineStr">
        <is>
          <t>Margen del intervalo de confianza (95 %)</t>
        </is>
      </c>
      <c r="B22" s="5">
        <f>_xlfn.FORECAST.ETS.CONFINT(B20,Datos!$B$4:$B$39,Datos!$A$4:$A$39,0.95,12)</f>
        <v/>
      </c>
    </row>
    <row r="23">
      <c r="A23" t="inlineStr">
        <is>
          <t>Intervalo (inferior, superior)</t>
        </is>
      </c>
      <c r="B23">
        <f>TEXT(B21-B22,"0")&amp;" a "&amp;TEXT(B21+B22,"0")</f>
        <v/>
      </c>
    </row>
    <row r="25">
      <c r="A25" t="inlineStr">
        <is>
          <t>Ejercicios 1, 4 y 5: la respuesta depende de tu análisis; la hoja Pronostico permite comparar. Un pronóstico no es una promesa: el intervalo de confianza muestra la incertidumbre.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2026-10-10T00:48:53Z</dcterms:created>
  <dcterms:modified xmlns:dcterms="http://purl.org/dc/terms/" xmlns:xsi="http://www.w3.org/2001/XMLSchema-instance" xsi:type="dcterms:W3CDTF">2026-10-10T00:48:53Z</dcterms:modified>
</cp:coreProperties>
</file>