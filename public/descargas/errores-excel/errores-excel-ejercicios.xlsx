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/>
  </mc:AlternateContent>
  <xr:revisionPtr revIDLastSave="0" documentId="8_{6D17A73B-A034-4064-81A3-ADCCFD2397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Ej1_NA" sheetId="2" r:id="rId2"/>
    <sheet name="Ej2_SPILL" sheetId="3" r:id="rId3"/>
    <sheet name="Ej3_CALC" sheetId="4" r:id="rId4"/>
    <sheet name="Ej4_VALUE" sheetId="5" r:id="rId5"/>
    <sheet name="Soluciones" sheetId="6" r:id="rId6"/>
    <sheet name="Guia_error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6" i="6" a="1"/>
  <c r="D6" i="6" s="1"/>
  <c r="D4" i="6"/>
  <c r="B4" i="5"/>
  <c r="B4" i="4" a="1"/>
  <c r="B4" i="4" s="1"/>
  <c r="B4" i="3" a="1"/>
  <c r="B4" i="3" s="1"/>
  <c r="B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<sst xmlns="http://schemas.openxmlformats.org/spreadsheetml/2006/main" count="112" uniqueCount="100">
  <si>
    <t>Código</t>
  </si>
  <si>
    <t>Producto</t>
  </si>
  <si>
    <t>Precio (COP)</t>
  </si>
  <si>
    <t>Unidades</t>
  </si>
  <si>
    <t>Categoría</t>
  </si>
  <si>
    <t>Datos ficticios de una papelería escolar. La celda D10 tiene un texto a propósito (ejercicio 4).</t>
  </si>
  <si>
    <t>A-101</t>
  </si>
  <si>
    <t>Uniforme diario</t>
  </si>
  <si>
    <t>Uniformes</t>
  </si>
  <si>
    <t>A-102</t>
  </si>
  <si>
    <t>Uniforme de deportes</t>
  </si>
  <si>
    <t>A-103</t>
  </si>
  <si>
    <t>Cuaderno 100 hojas</t>
  </si>
  <si>
    <t>Papelería</t>
  </si>
  <si>
    <t>A-104</t>
  </si>
  <si>
    <t>Resma de papel</t>
  </si>
  <si>
    <t>A-105</t>
  </si>
  <si>
    <t>Calculadora científica</t>
  </si>
  <si>
    <t>Tecnología</t>
  </si>
  <si>
    <t>A-106</t>
  </si>
  <si>
    <t>Memoria USB 32 GB</t>
  </si>
  <si>
    <t>A-107</t>
  </si>
  <si>
    <t>Morral escolar</t>
  </si>
  <si>
    <t>A-108</t>
  </si>
  <si>
    <t>Kit de geometría</t>
  </si>
  <si>
    <t>A-109</t>
  </si>
  <si>
    <t>Audífonos</t>
  </si>
  <si>
    <t>12 unidades</t>
  </si>
  <si>
    <t>A-110</t>
  </si>
  <si>
    <t>Tablero acrílico</t>
  </si>
  <si>
    <t>Mobiliario</t>
  </si>
  <si>
    <t>A-111</t>
  </si>
  <si>
    <t>Marcadores x12</t>
  </si>
  <si>
    <t>A-112</t>
  </si>
  <si>
    <t>Termo</t>
  </si>
  <si>
    <t>EJERCICIO 1: #N/A</t>
  </si>
  <si>
    <t>La secretaria escribe el código «A-107 » (con un espacio al final) y quiere el precio. La celda B4 muestra un error. Encuentra la causa y escribe en B6 la fórmula corregida (sin cambiar el código de B3).</t>
  </si>
  <si>
    <t>Código a buscar</t>
  </si>
  <si>
    <t xml:space="preserve">A-107 </t>
  </si>
  <si>
    <t>Precio</t>
  </si>
  <si>
    <t>Tu solución</t>
  </si>
  <si>
    <t>EJERCICIO 2: #SPILL!</t>
  </si>
  <si>
    <t>La fórmula de B4 debe listar los productos con precio mayor de 60.000 (derramando varias filas y columnas) pero muestra un error. Encuentra qué estorba, arréglalo sin borrar la fórmula y anota qué hiciste en B14.</t>
  </si>
  <si>
    <t>Lista de productos caros</t>
  </si>
  <si>
    <t>nota olvidada</t>
  </si>
  <si>
    <t>Qué hice</t>
  </si>
  <si>
    <t>EJERCICIO 3: #CALC!</t>
  </si>
  <si>
    <t>Se pide listar los productos con precio mayor de 10.000.000, pero ninguno cumple. Modifica la fórmula de B4 para que muestre el texto «Sin resultados» en lugar del error y escríbela en B14.</t>
  </si>
  <si>
    <t>Productos de más de 10 millones</t>
  </si>
  <si>
    <t>EJERCICIO 4: #VALUE!</t>
  </si>
  <si>
    <t>Se quiere calcular el valor del inventario del producto A-109 (precio por unidades). La celda B4 muestra un error. Encuentra la causa en la hoja Datos, corrígela y escribe en B6 qué hiciste.</t>
  </si>
  <si>
    <t>A-109 Audífonos</t>
  </si>
  <si>
    <t>Valor del inventario</t>
  </si>
  <si>
    <t>SOLUCIONES (no mires hasta intentarlo)</t>
  </si>
  <si>
    <t>Ejercicio</t>
  </si>
  <si>
    <t>Causa</t>
  </si>
  <si>
    <t>Solución</t>
  </si>
  <si>
    <t>Fórmula corregida (viva)</t>
  </si>
  <si>
    <t>1. #N/A</t>
  </si>
  <si>
    <t>El código tiene un espacio al final; BUSCARX compara texto exacto y no encuentra «A-107 ».</t>
  </si>
  <si>
    <t>Limpiar el valor con ESPACIOS (TRIM) y, además, controlar el caso de que no exista con el cuarto argumento.</t>
  </si>
  <si>
    <t>2. #SPILL!</t>
  </si>
  <si>
    <t>La celda C6 tiene una nota que ocupa parte del rango donde la fórmula necesita derramar.</t>
  </si>
  <si>
    <t>Borrar o mover la nota (o mover la fórmula a un área libre). La fórmula en sí estaba bien.</t>
  </si>
  <si>
    <t>3. #CALC!</t>
  </si>
  <si>
    <t>FILTER no encontró ninguna fila y devolvió una matriz vacía.</t>
  </si>
  <si>
    <t>Usar el cuarto argumento de FILTER (si_vacío) para mostrar un mensaje.</t>
  </si>
  <si>
    <t>4. #VALUE!</t>
  </si>
  <si>
    <t>La celda D10 de la hoja Datos contiene el texto «12 unidades», no el número 12.</t>
  </si>
  <si>
    <t>Corregir el dato a 12 (y poner la unidad en el encabezado); añadir validación de datos para aceptar solo números enteros.</t>
  </si>
  <si>
    <t>GUÍA RÁPIDA DE ERRORES FRECUENTES</t>
  </si>
  <si>
    <t>Error (inglés)</t>
  </si>
  <si>
    <t>Error (español)</t>
  </si>
  <si>
    <t>Qué significa</t>
  </si>
  <si>
    <t>Primera revisión</t>
  </si>
  <si>
    <t>#N/D</t>
  </si>
  <si>
    <t>El valor buscado no se encontró</t>
  </si>
  <si>
    <t>Espacios, texto contra número, mayúsculas no importan; usa TRIM y revisa el tipo de dato</t>
  </si>
  <si>
    <t>#SPILL!</t>
  </si>
  <si>
    <t>#¡DESBORDAMIENTO!</t>
  </si>
  <si>
    <t>El resultado de una fórmula de matriz dinámica no cabe en el rango</t>
  </si>
  <si>
    <t>Celdas ocupadas, celdas combinadas o una tabla en el camino</t>
  </si>
  <si>
    <t>#CALC!</t>
  </si>
  <si>
    <t>El cálculo produjo una matriz vacía u otro problema de cálculo</t>
  </si>
  <si>
    <t>Usa el argumento si_vacío de FILTER; revisa criterios</t>
  </si>
  <si>
    <t>#¡VALOR!</t>
  </si>
  <si>
    <t>Un valor es del tipo equivocado</t>
  </si>
  <si>
    <t>Texto donde se espera un número; espacios; fechas como texto</t>
  </si>
  <si>
    <t>#¡DIV/0!</t>
  </si>
  <si>
    <t>División entre cero o celda vacía</t>
  </si>
  <si>
    <t>Verifica el divisor; usa SI para controlarlo</t>
  </si>
  <si>
    <t>#¡REF!</t>
  </si>
  <si>
    <t>Una referencia ya no existe</t>
  </si>
  <si>
    <t>Se eliminó una fila, columna u hoja usada en la fórmula</t>
  </si>
  <si>
    <t>#¿NOMBRE?</t>
  </si>
  <si>
    <t>Excel no reconoce un nombre</t>
  </si>
  <si>
    <t>Función mal escrita, nombre inexistente o falta de comillas en texto</t>
  </si>
  <si>
    <t>#¡NUM!</t>
  </si>
  <si>
    <t>Número inválido para la operación</t>
  </si>
  <si>
    <t>Raíz de un negativo, resultado demasiado grande, argumentos fuera de 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</si>
</sst>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4B6B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0" fillId="3" borderId="0" xfId="0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4</v>
    <v>8</v>
    <v>4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baseColWidth="10" defaultColWidth="9.140625" defaultRowHeight="15" x14ac:dyDescent="0.25"/>
  <cols>
    <col min="1" max="1" width="10" customWidth="1"/>
    <col min="2" max="2" width="26" customWidth="1"/>
    <col min="3" max="4" width="14" customWidth="1"/>
    <col min="5" max="5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5</v>
      </c>
    </row>
    <row r="2" spans="1:7" x14ac:dyDescent="0.25">
      <c r="A2" t="s">
        <v>6</v>
      </c>
      <c r="B2" t="s">
        <v>7</v>
      </c>
      <c r="C2">
        <v>85000</v>
      </c>
      <c r="D2">
        <v>40</v>
      </c>
      <c r="E2" t="s">
        <v>8</v>
      </c>
    </row>
    <row r="3" spans="1:7" x14ac:dyDescent="0.25">
      <c r="A3" t="s">
        <v>9</v>
      </c>
      <c r="B3" t="s">
        <v>10</v>
      </c>
      <c r="C3">
        <v>70000</v>
      </c>
      <c r="D3">
        <v>35</v>
      </c>
      <c r="E3" t="s">
        <v>8</v>
      </c>
    </row>
    <row r="4" spans="1:7" x14ac:dyDescent="0.25">
      <c r="A4" t="s">
        <v>11</v>
      </c>
      <c r="B4" t="s">
        <v>12</v>
      </c>
      <c r="C4">
        <v>6500</v>
      </c>
      <c r="D4">
        <v>300</v>
      </c>
      <c r="E4" t="s">
        <v>13</v>
      </c>
    </row>
    <row r="5" spans="1:7" x14ac:dyDescent="0.25">
      <c r="A5" t="s">
        <v>14</v>
      </c>
      <c r="B5" t="s">
        <v>15</v>
      </c>
      <c r="C5">
        <v>18000</v>
      </c>
      <c r="D5">
        <v>60</v>
      </c>
      <c r="E5" t="s">
        <v>13</v>
      </c>
    </row>
    <row r="6" spans="1:7" x14ac:dyDescent="0.25">
      <c r="A6" t="s">
        <v>16</v>
      </c>
      <c r="B6" t="s">
        <v>17</v>
      </c>
      <c r="C6">
        <v>65000</v>
      </c>
      <c r="D6">
        <v>15</v>
      </c>
      <c r="E6" t="s">
        <v>18</v>
      </c>
    </row>
    <row r="7" spans="1:7" x14ac:dyDescent="0.25">
      <c r="A7" t="s">
        <v>19</v>
      </c>
      <c r="B7" t="s">
        <v>20</v>
      </c>
      <c r="C7">
        <v>28000</v>
      </c>
      <c r="D7">
        <v>25</v>
      </c>
      <c r="E7" t="s">
        <v>18</v>
      </c>
    </row>
    <row r="8" spans="1:7" x14ac:dyDescent="0.25">
      <c r="A8" t="s">
        <v>21</v>
      </c>
      <c r="B8" t="s">
        <v>22</v>
      </c>
      <c r="C8">
        <v>95000</v>
      </c>
      <c r="D8">
        <v>20</v>
      </c>
      <c r="E8" t="s">
        <v>8</v>
      </c>
    </row>
    <row r="9" spans="1:7" x14ac:dyDescent="0.25">
      <c r="A9" t="s">
        <v>23</v>
      </c>
      <c r="B9" t="s">
        <v>24</v>
      </c>
      <c r="C9">
        <v>14000</v>
      </c>
      <c r="D9">
        <v>80</v>
      </c>
      <c r="E9" t="s">
        <v>13</v>
      </c>
    </row>
    <row r="10" spans="1:7" x14ac:dyDescent="0.25">
      <c r="A10" t="s">
        <v>25</v>
      </c>
      <c r="B10" t="s">
        <v>26</v>
      </c>
      <c r="C10">
        <v>45000</v>
      </c>
      <c r="D10" t="s">
        <v>27</v>
      </c>
      <c r="E10" t="s">
        <v>18</v>
      </c>
    </row>
    <row r="11" spans="1:7" x14ac:dyDescent="0.25">
      <c r="A11" t="s">
        <v>28</v>
      </c>
      <c r="B11" t="s">
        <v>29</v>
      </c>
      <c r="C11">
        <v>120000</v>
      </c>
      <c r="D11">
        <v>8</v>
      </c>
      <c r="E11" t="s">
        <v>30</v>
      </c>
    </row>
    <row r="12" spans="1:7" x14ac:dyDescent="0.25">
      <c r="A12" t="s">
        <v>31</v>
      </c>
      <c r="B12" t="s">
        <v>32</v>
      </c>
      <c r="C12">
        <v>22000</v>
      </c>
      <c r="D12">
        <v>50</v>
      </c>
      <c r="E12" t="s">
        <v>13</v>
      </c>
    </row>
    <row r="13" spans="1:7" x14ac:dyDescent="0.25">
      <c r="A13" t="s">
        <v>33</v>
      </c>
      <c r="B13" t="s">
        <v>34</v>
      </c>
      <c r="C13">
        <v>38000</v>
      </c>
      <c r="D13">
        <v>18</v>
      </c>
      <c r="E13" t="s">
        <v>8</v>
      </c>
    </row>
  </sheetData>
  <pageMargins left="0.75" right="0.75" top="1" bottom="1" header="0.5" footer="0.5"/>
  <headerFooter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baseColWidth="10" defaultColWidth="9.140625" defaultRowHeight="15" x14ac:dyDescent="0.25"/>
  <cols>
    <col min="1" max="1" width="26" customWidth="1"/>
    <col min="2" max="2" width="24.7109375" customWidth="1"/>
    <col min="3" max="8" width="20" customWidth="1"/>
  </cols>
  <sheetData>
    <row r="1" spans="1:8" ht="15.75" x14ac:dyDescent="0.25">
      <c r="A1" s="2" t="s">
        <v>35</v>
      </c>
    </row>
    <row r="2" spans="1:8" ht="62.1" customHeight="1" x14ac:dyDescent="0.25">
      <c r="A2" s="5" t="s">
        <v>36</v>
      </c>
      <c r="B2" s="6"/>
      <c r="C2" s="6"/>
      <c r="D2" s="6"/>
      <c r="E2" s="6"/>
      <c r="F2" s="6"/>
      <c r="G2" s="6"/>
      <c r="H2" s="6"/>
    </row>
    <row r="3" spans="1:8" x14ac:dyDescent="0.25">
      <c r="A3" t="s">
        <v>37</v>
      </c>
      <c r="B3" t="s">
        <v>38</v>
      </c>
    </row>
    <row r="4" spans="1:8" x14ac:dyDescent="0.25">
      <c r="A4" t="s">
        <v>39</v>
      </c>
      <c r="B4" t="e">
        <f>_xlfn.XLOOKUP(B3,Datos!A2:A13,Datos!C2:C13)</f>
        <v>#N/A</v>
      </c>
    </row>
    <row r="6" spans="1:8" x14ac:dyDescent="0.25">
      <c r="A6" t="s">
        <v>40</v>
      </c>
      <c r="B6" s="4"/>
    </row>
  </sheetData>
  <mergeCells count="1">
    <mergeCell ref="A2:H2"/>
  </mergeCells>
  <pageMargins left="0.75" right="0.75" top="1" bottom="1" header="0.5" footer="0.5"/>
  <headerFooter>
    <oddHeader>&amp;C&amp;G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baseColWidth="10" defaultColWidth="9.140625" defaultRowHeight="15" x14ac:dyDescent="0.25"/>
  <cols>
    <col min="1" max="1" width="26" customWidth="1"/>
    <col min="2" max="2" width="24.7109375" customWidth="1"/>
    <col min="3" max="8" width="20" customWidth="1"/>
  </cols>
  <sheetData>
    <row r="1" spans="1:8" ht="15.75" x14ac:dyDescent="0.25">
      <c r="A1" s="2" t="s">
        <v>41</v>
      </c>
    </row>
    <row r="2" spans="1:8" ht="62.1" customHeight="1" x14ac:dyDescent="0.25">
      <c r="A2" s="5" t="s">
        <v>42</v>
      </c>
      <c r="B2" s="6"/>
      <c r="C2" s="6"/>
      <c r="D2" s="6"/>
      <c r="E2" s="6"/>
      <c r="F2" s="6"/>
      <c r="G2" s="6"/>
      <c r="H2" s="6"/>
    </row>
    <row r="4" spans="1:8" x14ac:dyDescent="0.25">
      <c r="A4" t="s">
        <v>43</v>
      </c>
      <c r="B4" t="e" cm="1" vm="1">
        <f t="array" aca="1" ref="B4" ca="1">_xlfn._xlws.FILTER(Datos!A2:E13,Datos!C2:C13&gt;60000)</f>
        <v>#VALUE!</v>
      </c>
    </row>
    <row r="6" spans="1:8" x14ac:dyDescent="0.25">
      <c r="C6" t="s">
        <v>44</v>
      </c>
    </row>
    <row r="14" spans="1:8" x14ac:dyDescent="0.25">
      <c r="A14" t="s">
        <v>45</v>
      </c>
      <c r="B14" s="4"/>
    </row>
  </sheetData>
  <mergeCells count="1">
    <mergeCell ref="A2:H2"/>
  </mergeCells>
  <pageMargins left="0.75" right="0.75" top="1" bottom="1" header="0.5" footer="0.5"/>
  <headerFooter>
    <oddHeader>&amp;C&amp;G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baseColWidth="10" defaultColWidth="9.140625" defaultRowHeight="15" x14ac:dyDescent="0.25"/>
  <cols>
    <col min="1" max="1" width="26" customWidth="1"/>
    <col min="2" max="2" width="24.7109375" customWidth="1"/>
    <col min="3" max="8" width="20" customWidth="1"/>
  </cols>
  <sheetData>
    <row r="1" spans="1:8" ht="15.75" x14ac:dyDescent="0.25">
      <c r="A1" s="2" t="s">
        <v>46</v>
      </c>
    </row>
    <row r="2" spans="1:8" ht="62.1" customHeight="1" x14ac:dyDescent="0.25">
      <c r="A2" s="5" t="s">
        <v>47</v>
      </c>
      <c r="B2" s="6"/>
      <c r="C2" s="6"/>
      <c r="D2" s="6"/>
      <c r="E2" s="6"/>
      <c r="F2" s="6"/>
      <c r="G2" s="6"/>
      <c r="H2" s="6"/>
    </row>
    <row r="4" spans="1:8" x14ac:dyDescent="0.25">
      <c r="A4" t="s">
        <v>48</v>
      </c>
      <c r="B4" t="e" cm="1" vm="2">
        <f t="array" ref="B4">_xlfn._xlws.FILTER(Datos!A2:E13,Datos!C2:C13&gt;10000000)</f>
        <v>#VALUE!</v>
      </c>
    </row>
    <row r="14" spans="1:8" x14ac:dyDescent="0.25">
      <c r="A14" t="s">
        <v>40</v>
      </c>
      <c r="B14" s="4"/>
    </row>
  </sheetData>
  <mergeCells count="1">
    <mergeCell ref="A2:H2"/>
  </mergeCells>
  <pageMargins left="0.75" right="0.75" top="1" bottom="1" header="0.5" footer="0.5"/>
  <headerFooter>
    <oddHeader>&amp;C&amp;G</oddHead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baseColWidth="10" defaultColWidth="9.140625" defaultRowHeight="15" x14ac:dyDescent="0.25"/>
  <cols>
    <col min="1" max="1" width="26" customWidth="1"/>
    <col min="2" max="2" width="24.7109375" customWidth="1"/>
    <col min="3" max="8" width="20" customWidth="1"/>
  </cols>
  <sheetData>
    <row r="1" spans="1:8" ht="15.75" x14ac:dyDescent="0.25">
      <c r="A1" s="2" t="s">
        <v>49</v>
      </c>
    </row>
    <row r="2" spans="1:8" ht="62.1" customHeight="1" x14ac:dyDescent="0.25">
      <c r="A2" s="5" t="s">
        <v>50</v>
      </c>
      <c r="B2" s="6"/>
      <c r="C2" s="6"/>
      <c r="D2" s="6"/>
      <c r="E2" s="6"/>
      <c r="F2" s="6"/>
      <c r="G2" s="6"/>
      <c r="H2" s="6"/>
    </row>
    <row r="3" spans="1:8" x14ac:dyDescent="0.25">
      <c r="A3" t="s">
        <v>1</v>
      </c>
      <c r="B3" t="s">
        <v>51</v>
      </c>
    </row>
    <row r="4" spans="1:8" x14ac:dyDescent="0.25">
      <c r="A4" t="s">
        <v>52</v>
      </c>
      <c r="B4" t="e">
        <f>Datos!C10*Datos!D10</f>
        <v>#VALUE!</v>
      </c>
    </row>
    <row r="6" spans="1:8" x14ac:dyDescent="0.25">
      <c r="A6" t="s">
        <v>45</v>
      </c>
      <c r="B6" s="4"/>
    </row>
  </sheetData>
  <mergeCells count="1">
    <mergeCell ref="A2:H2"/>
  </mergeCells>
  <pageMargins left="0.75" right="0.75" top="1" bottom="1" header="0.5" footer="0.5"/>
  <headerFooter>
    <oddHeader>&amp;C&amp;G</oddHead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baseColWidth="10" defaultColWidth="9.140625" defaultRowHeight="15" x14ac:dyDescent="0.25"/>
  <cols>
    <col min="1" max="1" width="14" customWidth="1"/>
    <col min="2" max="3" width="55" customWidth="1"/>
    <col min="4" max="4" width="40" customWidth="1"/>
  </cols>
  <sheetData>
    <row r="1" spans="1:4" ht="15.75" x14ac:dyDescent="0.25">
      <c r="A1" s="2" t="s">
        <v>53</v>
      </c>
    </row>
    <row r="3" spans="1:4" x14ac:dyDescent="0.25">
      <c r="A3" s="1" t="s">
        <v>54</v>
      </c>
      <c r="B3" s="1" t="s">
        <v>55</v>
      </c>
      <c r="C3" s="1" t="s">
        <v>56</v>
      </c>
      <c r="D3" s="1" t="s">
        <v>57</v>
      </c>
    </row>
    <row r="4" spans="1:4" ht="30" x14ac:dyDescent="0.25">
      <c r="A4" t="s">
        <v>58</v>
      </c>
      <c r="B4" s="3" t="s">
        <v>59</v>
      </c>
      <c r="C4" s="3" t="s">
        <v>60</v>
      </c>
      <c r="D4">
        <f>_xlfn.XLOOKUP(TRIM(Ej1_NA!B3),Datos!A2:A13,Datos!C2:C13,"No existe")</f>
        <v>95000</v>
      </c>
    </row>
    <row r="5" spans="1:4" ht="30" x14ac:dyDescent="0.25">
      <c r="A5" t="s">
        <v>61</v>
      </c>
      <c r="B5" s="3" t="s">
        <v>62</v>
      </c>
      <c r="C5" s="3" t="s">
        <v>63</v>
      </c>
    </row>
    <row r="6" spans="1:4" ht="30" x14ac:dyDescent="0.25">
      <c r="A6" t="s">
        <v>64</v>
      </c>
      <c r="B6" s="3" t="s">
        <v>65</v>
      </c>
      <c r="C6" s="3" t="s">
        <v>66</v>
      </c>
      <c r="D6" t="str" cm="1">
        <f t="array" ref="D6">_xlfn._xlws.FILTER(Datos!A2:E13,Datos!C2:C13&gt;10000000,"Sin resultados")</f>
        <v>Sin resultados</v>
      </c>
    </row>
    <row r="7" spans="1:4" ht="45" x14ac:dyDescent="0.25">
      <c r="A7" t="s">
        <v>67</v>
      </c>
      <c r="B7" s="3" t="s">
        <v>68</v>
      </c>
      <c r="C7" s="3" t="s">
        <v>69</v>
      </c>
      <c r="D7">
        <f>Datos!C10*VALUE(LEFT(Datos!D10,FIND(" ",Datos!D10)-1))</f>
        <v>540000</v>
      </c>
    </row>
  </sheetData>
  <pageMargins left="0.75" right="0.75" top="1" bottom="1" header="0.5" footer="0.5"/>
  <headerFooter>
    <oddHeader>&amp;C&amp;G</oddHead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/>
  </sheetViews>
  <sheetFormatPr baseColWidth="10" defaultColWidth="9.140625" defaultRowHeight="15" x14ac:dyDescent="0.25"/>
  <cols>
    <col min="1" max="1" width="14" customWidth="1"/>
    <col min="2" max="2" width="20" customWidth="1"/>
    <col min="3" max="3" width="50" customWidth="1"/>
    <col min="4" max="4" width="60" customWidth="1"/>
  </cols>
  <sheetData>
    <row r="1" spans="1:4" ht="15.75" x14ac:dyDescent="0.25">
      <c r="A1" s="2" t="s">
        <v>70</v>
      </c>
    </row>
    <row r="3" spans="1:4" x14ac:dyDescent="0.25">
      <c r="A3" s="1" t="s">
        <v>71</v>
      </c>
      <c r="B3" s="1" t="s">
        <v>72</v>
      </c>
      <c r="C3" s="1" t="s">
        <v>73</v>
      </c>
      <c r="D3" s="1" t="s">
        <v>74</v>
      </c>
    </row>
    <row r="4" spans="1:4" ht="30" x14ac:dyDescent="0.25">
      <c r="A4" s="3" t="e">
        <v>#N/A</v>
      </c>
      <c r="B4" s="3" t="s">
        <v>75</v>
      </c>
      <c r="C4" s="3" t="s">
        <v>76</v>
      </c>
      <c r="D4" s="3" t="s">
        <v>77</v>
      </c>
    </row>
    <row r="5" spans="1:4" ht="30" x14ac:dyDescent="0.25">
      <c r="A5" s="3" t="s">
        <v>78</v>
      </c>
      <c r="B5" s="3" t="s">
        <v>79</v>
      </c>
      <c r="C5" s="3" t="s">
        <v>80</v>
      </c>
      <c r="D5" s="3" t="s">
        <v>81</v>
      </c>
    </row>
    <row r="6" spans="1:4" ht="30" x14ac:dyDescent="0.25">
      <c r="A6" s="3" t="s">
        <v>82</v>
      </c>
      <c r="B6" s="3" t="s">
        <v>82</v>
      </c>
      <c r="C6" s="3" t="s">
        <v>83</v>
      </c>
      <c r="D6" s="3" t="s">
        <v>84</v>
      </c>
    </row>
    <row r="7" spans="1:4" x14ac:dyDescent="0.25">
      <c r="A7" s="3" t="e">
        <v>#VALUE!</v>
      </c>
      <c r="B7" s="3" t="s">
        <v>85</v>
      </c>
      <c r="C7" s="3" t="s">
        <v>86</v>
      </c>
      <c r="D7" s="3" t="s">
        <v>87</v>
      </c>
    </row>
    <row r="8" spans="1:4" x14ac:dyDescent="0.25">
      <c r="A8" s="3" t="e">
        <v>#DIV/0!</v>
      </c>
      <c r="B8" s="3" t="s">
        <v>88</v>
      </c>
      <c r="C8" s="3" t="s">
        <v>89</v>
      </c>
      <c r="D8" s="3" t="s">
        <v>90</v>
      </c>
    </row>
    <row r="9" spans="1:4" x14ac:dyDescent="0.25">
      <c r="A9" s="3" t="e">
        <v>#REF!</v>
      </c>
      <c r="B9" s="3" t="s">
        <v>91</v>
      </c>
      <c r="C9" s="3" t="s">
        <v>92</v>
      </c>
      <c r="D9" s="3" t="s">
        <v>93</v>
      </c>
    </row>
    <row r="10" spans="1:4" ht="30" x14ac:dyDescent="0.25">
      <c r="A10" s="3" t="e">
        <v>#NAME?</v>
      </c>
      <c r="B10" s="3" t="s">
        <v>94</v>
      </c>
      <c r="C10" s="3" t="s">
        <v>95</v>
      </c>
      <c r="D10" s="3" t="s">
        <v>96</v>
      </c>
    </row>
    <row r="11" spans="1:4" ht="30" x14ac:dyDescent="0.25">
      <c r="A11" s="3" t="e">
        <v>#NUM!</v>
      </c>
      <c r="B11" s="3" t="s">
        <v>97</v>
      </c>
      <c r="C11" s="3" t="s">
        <v>98</v>
      </c>
      <c r="D11" s="3" t="s">
        <v>99</v>
      </c>
    </row>
  </sheetData>
  <pageMargins left="0.75" right="0.75" top="1" bottom="1" header="0.5" footer="0.5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Ej1_NA</vt:lpstr>
      <vt:lpstr>Ej2_SPILL</vt:lpstr>
      <vt:lpstr>Ej3_CALC</vt:lpstr>
      <vt:lpstr>Ej4_VALUE</vt:lpstr>
      <vt:lpstr>Soluciones</vt:lpstr>
      <vt:lpstr>Guia_errores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ORTIZ</cp:lastModifiedBy>
  <dcterms:created xsi:type="dcterms:W3CDTF">2026-10-10T01:05:14Z</dcterms:created>
  <dcterms:modified xsi:type="dcterms:W3CDTF">2026-10-10T01:05:18Z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161717-2c60-4f33-889e-461dcad0e5da_Enabled">
    <vt:lpwstr>true</vt:lpwstr>
  </property>
  <property fmtid="{D5CDD505-2E9C-101B-9397-08002B2CF9AE}" pid="3" name="MSIP_Label_4b161717-2c60-4f33-889e-461dcad0e5da_SetDate">
    <vt:lpwstr>2026-10-10T01:05:18Z</vt:lpwstr>
  </property>
  <property fmtid="{D5CDD505-2E9C-101B-9397-08002B2CF9AE}" pid="4" name="MSIP_Label_4b161717-2c60-4f33-889e-461dcad0e5da_Method">
    <vt:lpwstr>Standard</vt:lpwstr>
  </property>
  <property fmtid="{D5CDD505-2E9C-101B-9397-08002B2CF9AE}" pid="5" name="MSIP_Label_4b161717-2c60-4f33-889e-461dcad0e5da_Name">
    <vt:lpwstr>Confidencial</vt:lpwstr>
  </property>
  <property fmtid="{D5CDD505-2E9C-101B-9397-08002B2CF9AE}" pid="6" name="MSIP_Label_4b161717-2c60-4f33-889e-461dcad0e5da_SiteId">
    <vt:lpwstr>d065e67d-8e26-4632-a114-1caaf9422f02</vt:lpwstr>
  </property>
  <property fmtid="{D5CDD505-2E9C-101B-9397-08002B2CF9AE}" pid="7" name="MSIP_Label_4b161717-2c60-4f33-889e-461dcad0e5da_ActionId">
    <vt:lpwstr>56cb0fb5-7dff-4630-91be-a2d638f5af33</vt:lpwstr>
  </property>
  <property fmtid="{D5CDD505-2E9C-101B-9397-08002B2CF9AE}" pid="8" name="MSIP_Label_4b161717-2c60-4f33-889e-461dcad0e5da_ContentBits">
    <vt:lpwstr>4</vt:lpwstr>
  </property>
  <property fmtid="{D5CDD505-2E9C-101B-9397-08002B2CF9AE}" pid="9" name="MSIP_Label_4b161717-2c60-4f33-889e-461dcad0e5da_Tag">
    <vt:lpwstr>10, 3, 0, 1</vt:lpwstr>
  </property>
</Properties>
</file>