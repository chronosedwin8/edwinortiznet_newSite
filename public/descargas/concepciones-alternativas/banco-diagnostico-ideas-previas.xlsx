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Preguntas" sheetId="2" state="visible" r:id="rId2"/>
    <sheet xmlns:r="http://schemas.openxmlformats.org/officeDocument/2006/relationships" name="Concepciones" sheetId="3" state="visible" r:id="rId3"/>
    <sheet xmlns:r="http://schemas.openxmlformats.org/officeDocument/2006/relationships" name="Respuestas" sheetId="4" state="visible" r:id="rId4"/>
    <sheet xmlns:r="http://schemas.openxmlformats.org/officeDocument/2006/relationships" name="Analisis" sheetId="5" state="visible" r:id="rId5"/>
    <sheet xmlns:r="http://schemas.openxmlformats.org/officeDocument/2006/relationships" name="Estudiant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B4B6B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9" fontId="0" fillId="0" borderId="0" pivotButton="0" quotePrefix="0" xfId="0"/>
    <xf numFmtId="0" fontId="2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3" borderId="0" pivotButton="0" quotePrefix="0" xfId="0"/>
    <xf numFmtId="0" fontId="3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56" customWidth="1" min="1" max="1"/>
    <col width="12" customWidth="1" min="2" max="2"/>
  </cols>
  <sheetData>
    <row r="1">
      <c r="A1" s="1" t="inlineStr">
        <is>
          <t>RESUMEN DEL DIAGNÓSTICO</t>
        </is>
      </c>
    </row>
    <row r="3">
      <c r="A3" t="inlineStr">
        <is>
          <t>Estudiantes</t>
        </is>
      </c>
      <c r="B3">
        <f>COUNTA(Respuestas!A5:A34)</f>
        <v/>
      </c>
    </row>
    <row r="4">
      <c r="A4" t="inlineStr">
        <is>
          <t>Respuestas correctas del grupo (%)</t>
        </is>
      </c>
      <c r="B4" s="2">
        <f>SUM(Estudiantes!B4:B33)/(B3*8)</f>
        <v/>
      </c>
    </row>
    <row r="5">
      <c r="A5" t="inlineStr">
        <is>
          <t>Respuestas basadas en una idea previa (%)</t>
        </is>
      </c>
      <c r="B5" s="2">
        <f>SUM(Estudiantes!C4:C33)/(B3*8)</f>
        <v/>
      </c>
    </row>
    <row r="6">
      <c r="A6" t="inlineStr">
        <is>
          <t>Preguntas en las que la idea previa supera a la correcta</t>
        </is>
      </c>
      <c r="B6">
        <f>COUNTIF(Analisis!J4:J11,"La idea previa supera*")</f>
        <v/>
      </c>
    </row>
    <row r="7">
      <c r="A7" t="inlineStr">
        <is>
          <t>Estudiantes con 5 o más respuestas con ideas previas</t>
        </is>
      </c>
      <c r="B7">
        <f>COUNTIF(Estudiantes!E4:E33,"Ideas previas muy arraigadas")</f>
        <v/>
      </c>
    </row>
    <row r="8">
      <c r="A8" t="inlineStr">
        <is>
          <t>Idea previa más frecuente (código)</t>
        </is>
      </c>
      <c r="B8">
        <f>INDEX(Analisis!I4:I11,MATCH(MAX(Analisis!H4:H11),Analisis!H4:H11,0))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cols>
    <col width="5" customWidth="1" min="1" max="1"/>
    <col width="20" customWidth="1" min="2" max="2"/>
    <col width="50" customWidth="1" min="3" max="3"/>
    <col width="40" customWidth="1" min="4" max="4"/>
    <col width="9" customWidth="1" min="5" max="5"/>
    <col width="40" customWidth="1" min="6" max="6"/>
    <col width="9" customWidth="1" min="7" max="7"/>
    <col width="36" customWidth="1" min="8" max="8"/>
    <col width="9" customWidth="1" min="9" max="9"/>
    <col width="36" customWidth="1" min="10" max="10"/>
    <col width="9" customWidth="1" min="11" max="11"/>
    <col width="14" customWidth="1" min="12" max="12"/>
    <col width="18" customWidth="1" min="13" max="13"/>
  </cols>
  <sheetData>
    <row r="1">
      <c r="A1" s="1" t="inlineStr">
        <is>
          <t>BANCO DE PREGUNTAS DIAGNÓSTICAS DE CIENCIAS (ejemplo: cada distractor representa una idea previa frecuente; la etiqueta indica cuál)</t>
        </is>
      </c>
    </row>
    <row r="3">
      <c r="A3" s="3" t="inlineStr">
        <is>
          <t>N.º</t>
        </is>
      </c>
      <c r="B3" s="3" t="inlineStr">
        <is>
          <t>Tema</t>
        </is>
      </c>
      <c r="C3" s="3" t="inlineStr">
        <is>
          <t>Pregunta</t>
        </is>
      </c>
      <c r="D3" s="3" t="inlineStr">
        <is>
          <t>Opción A</t>
        </is>
      </c>
      <c r="E3" s="3" t="inlineStr">
        <is>
          <t>Etiqueta A</t>
        </is>
      </c>
      <c r="F3" s="3" t="inlineStr">
        <is>
          <t>Opción B</t>
        </is>
      </c>
      <c r="G3" s="3" t="inlineStr">
        <is>
          <t>Etiqueta B</t>
        </is>
      </c>
      <c r="H3" s="3" t="inlineStr">
        <is>
          <t>Opción C</t>
        </is>
      </c>
      <c r="I3" s="3" t="inlineStr">
        <is>
          <t>Etiqueta C</t>
        </is>
      </c>
      <c r="J3" s="3" t="inlineStr">
        <is>
          <t>Opción D</t>
        </is>
      </c>
      <c r="K3" s="3" t="inlineStr">
        <is>
          <t>Etiqueta D</t>
        </is>
      </c>
      <c r="L3" s="3" t="inlineStr">
        <is>
          <t>Clave (calculada)</t>
        </is>
      </c>
      <c r="M3" s="3" t="inlineStr">
        <is>
          <t>Letra de la idea previa (calculada)</t>
        </is>
      </c>
    </row>
    <row r="4">
      <c r="A4" t="n">
        <v>1</v>
      </c>
      <c r="B4" t="inlineStr">
        <is>
          <t>Estaciones</t>
        </is>
      </c>
      <c r="C4" s="4" t="inlineStr">
        <is>
          <t>¿Por qué hay verano e invierno en la Tierra?</t>
        </is>
      </c>
      <c r="D4" s="4" t="inlineStr">
        <is>
          <t>La Tierra está más cerca del Sol en verano y más lejos en invierno</t>
        </is>
      </c>
      <c r="E4" s="5" t="inlineStr">
        <is>
          <t>C1</t>
        </is>
      </c>
      <c r="F4" s="4" t="inlineStr">
        <is>
          <t>La inclinación del eje terrestre cambia la inclinación de los rayos solares y la duración de los días</t>
        </is>
      </c>
      <c r="G4" s="5" t="inlineStr">
        <is>
          <t>OK</t>
        </is>
      </c>
      <c r="H4" s="4" t="inlineStr">
        <is>
          <t>La Luna tapa parte de la luz del Sol en invierno</t>
        </is>
      </c>
      <c r="I4" s="5" t="inlineStr"/>
      <c r="J4" s="4" t="inlineStr">
        <is>
          <t>Las nubes cambian con las estaciones y dejan pasar más o menos calor</t>
        </is>
      </c>
      <c r="K4" s="5" t="inlineStr"/>
      <c r="L4">
        <f>IF(E4="OK","A",IF(G4="OK","B",IF(I4="OK","C",IF(K4="OK","D",""))))</f>
        <v/>
      </c>
      <c r="M4">
        <f>IF(LEFT(E4,1)="C","A",IF(LEFT(G4,1)="C","B",IF(LEFT(I4,1)="C","C",IF(LEFT(K4,1)="C","D",""))))</f>
        <v/>
      </c>
    </row>
    <row r="5">
      <c r="A5" t="n">
        <v>2</v>
      </c>
      <c r="B5" t="inlineStr">
        <is>
          <t>Fases de la Luna</t>
        </is>
      </c>
      <c r="C5" s="4" t="inlineStr">
        <is>
          <t>¿Por qué vemos fases de la Luna?</t>
        </is>
      </c>
      <c r="D5" s="4" t="inlineStr">
        <is>
          <t>La sombra de la Tierra tapa una parte de la Luna</t>
        </is>
      </c>
      <c r="E5" s="5" t="inlineStr">
        <is>
          <t>C2</t>
        </is>
      </c>
      <c r="F5" s="4" t="inlineStr">
        <is>
          <t>Desde la Tierra vemos distintas partes de la mitad iluminada de la Luna</t>
        </is>
      </c>
      <c r="G5" s="5" t="inlineStr">
        <is>
          <t>OK</t>
        </is>
      </c>
      <c r="H5" s="4" t="inlineStr">
        <is>
          <t>Las nubes tapan parte de la Luna</t>
        </is>
      </c>
      <c r="I5" s="5" t="inlineStr"/>
      <c r="J5" s="4" t="inlineStr">
        <is>
          <t>La Luna cambia de forma durante el mes</t>
        </is>
      </c>
      <c r="K5" s="5" t="inlineStr"/>
      <c r="L5">
        <f>IF(E5="OK","A",IF(G5="OK","B",IF(I5="OK","C",IF(K5="OK","D",""))))</f>
        <v/>
      </c>
      <c r="M5">
        <f>IF(LEFT(E5,1)="C","A",IF(LEFT(G5,1)="C","B",IF(LEFT(I5,1)="C","C",IF(LEFT(K5,1)="C","D",""))))</f>
        <v/>
      </c>
    </row>
    <row r="6">
      <c r="A6" t="n">
        <v>3</v>
      </c>
      <c r="B6" t="inlineStr">
        <is>
          <t>Caída de objetos</t>
        </is>
      </c>
      <c r="C6" s="4" t="inlineStr">
        <is>
          <t>En un tubo del que se sacó el aire se sueltan a la vez una pluma y una piedra desde la misma altura. ¿Qué ocurre?</t>
        </is>
      </c>
      <c r="D6" s="4" t="inlineStr">
        <is>
          <t>La piedra llega primero porque es más pesada</t>
        </is>
      </c>
      <c r="E6" s="5" t="inlineStr">
        <is>
          <t>C3</t>
        </is>
      </c>
      <c r="F6" s="4" t="inlineStr">
        <is>
          <t>Llegan al mismo tiempo</t>
        </is>
      </c>
      <c r="G6" s="5" t="inlineStr">
        <is>
          <t>OK</t>
        </is>
      </c>
      <c r="H6" s="4" t="inlineStr">
        <is>
          <t>La pluma llega primero porque es más liviana</t>
        </is>
      </c>
      <c r="I6" s="5" t="inlineStr"/>
      <c r="J6" s="4" t="inlineStr">
        <is>
          <t>Depende del tamaño de cada objeto y no se puede saber</t>
        </is>
      </c>
      <c r="K6" s="5" t="inlineStr"/>
      <c r="L6">
        <f>IF(E6="OK","A",IF(G6="OK","B",IF(I6="OK","C",IF(K6="OK","D",""))))</f>
        <v/>
      </c>
      <c r="M6">
        <f>IF(LEFT(E6,1)="C","A",IF(LEFT(G6,1)="C","B",IF(LEFT(I6,1)="C","C",IF(LEFT(K6,1)="C","D",""))))</f>
        <v/>
      </c>
    </row>
    <row r="7">
      <c r="A7" t="n">
        <v>4</v>
      </c>
      <c r="B7" t="inlineStr">
        <is>
          <t>Circuito eléctrico</t>
        </is>
      </c>
      <c r="C7" s="4" t="inlineStr">
        <is>
          <t>En un circuito simple con una pila y un bombillo encendido, la corriente eléctrica...</t>
        </is>
      </c>
      <c r="D7" s="4" t="inlineStr">
        <is>
          <t>Se va gastando en el bombillo: vuelve a la pila menor que la que salió</t>
        </is>
      </c>
      <c r="E7" s="5" t="inlineStr">
        <is>
          <t>C4</t>
        </is>
      </c>
      <c r="F7" s="4" t="inlineStr">
        <is>
          <t>Es la misma en todos los puntos del circuito</t>
        </is>
      </c>
      <c r="G7" s="5" t="inlineStr">
        <is>
          <t>OK</t>
        </is>
      </c>
      <c r="H7" s="4" t="inlineStr">
        <is>
          <t>Sale solo por uno de los polos de la pila</t>
        </is>
      </c>
      <c r="I7" s="5" t="inlineStr"/>
      <c r="J7" s="4" t="inlineStr">
        <is>
          <t>Vuelve a la pila mayor que la que salió</t>
        </is>
      </c>
      <c r="K7" s="5" t="inlineStr"/>
      <c r="L7">
        <f>IF(E7="OK","A",IF(G7="OK","B",IF(I7="OK","C",IF(K7="OK","D",""))))</f>
        <v/>
      </c>
      <c r="M7">
        <f>IF(LEFT(E7,1)="C","A",IF(LEFT(G7,1)="C","B",IF(LEFT(I7,1)="C","C",IF(LEFT(K7,1)="C","D",""))))</f>
        <v/>
      </c>
    </row>
    <row r="8">
      <c r="A8" t="n">
        <v>5</v>
      </c>
      <c r="B8" t="inlineStr">
        <is>
          <t>Origen de la masa de una planta</t>
        </is>
      </c>
      <c r="C8" s="4" t="inlineStr">
        <is>
          <t>Un árbol crece y aumenta su masa. ¿De dónde viene la mayor parte de esa masa?</t>
        </is>
      </c>
      <c r="D8" s="4" t="inlineStr">
        <is>
          <t>Del suelo, que va perdiendo tierra</t>
        </is>
      </c>
      <c r="E8" s="5" t="inlineStr">
        <is>
          <t>C5</t>
        </is>
      </c>
      <c r="F8" s="4" t="inlineStr">
        <is>
          <t>Del dióxido de carbono del aire y del agua</t>
        </is>
      </c>
      <c r="G8" s="5" t="inlineStr">
        <is>
          <t>OK</t>
        </is>
      </c>
      <c r="H8" s="4" t="inlineStr">
        <is>
          <t>De la luz del Sol</t>
        </is>
      </c>
      <c r="I8" s="5" t="inlineStr"/>
      <c r="J8" s="4" t="inlineStr">
        <is>
          <t>De los abonos que se le agregan</t>
        </is>
      </c>
      <c r="K8" s="5" t="inlineStr"/>
      <c r="L8">
        <f>IF(E8="OK","A",IF(G8="OK","B",IF(I8="OK","C",IF(K8="OK","D",""))))</f>
        <v/>
      </c>
      <c r="M8">
        <f>IF(LEFT(E8,1)="C","A",IF(LEFT(G8,1)="C","B",IF(LEFT(I8,1)="C","C",IF(LEFT(K8,1)="C","D",""))))</f>
        <v/>
      </c>
    </row>
    <row r="9">
      <c r="A9" t="n">
        <v>6</v>
      </c>
      <c r="B9" t="inlineStr">
        <is>
          <t>Fuerza y movimiento</t>
        </is>
      </c>
      <c r="C9" s="4" t="inlineStr">
        <is>
          <t>Un carrito se mueve en línea recta a velocidad constante sobre una superficie sin fricción. Sobre él actúa...</t>
        </is>
      </c>
      <c r="D9" s="4" t="inlineStr">
        <is>
          <t>Una fuerza constante en la dirección del movimiento</t>
        </is>
      </c>
      <c r="E9" s="5" t="inlineStr">
        <is>
          <t>C6</t>
        </is>
      </c>
      <c r="F9" s="4" t="inlineStr">
        <is>
          <t>Ninguna fuerza neta</t>
        </is>
      </c>
      <c r="G9" s="5" t="inlineStr">
        <is>
          <t>OK</t>
        </is>
      </c>
      <c r="H9" s="4" t="inlineStr">
        <is>
          <t>Una fuerza que va disminuyendo</t>
        </is>
      </c>
      <c r="I9" s="5" t="inlineStr"/>
      <c r="J9" s="4" t="inlineStr">
        <is>
          <t>Una fuerza hacia atrás que lo frena poco a poco</t>
        </is>
      </c>
      <c r="K9" s="5" t="inlineStr"/>
      <c r="L9">
        <f>IF(E9="OK","A",IF(G9="OK","B",IF(I9="OK","C",IF(K9="OK","D",""))))</f>
        <v/>
      </c>
      <c r="M9">
        <f>IF(LEFT(E9,1)="C","A",IF(LEFT(G9,1)="C","B",IF(LEFT(I9,1)="C","C",IF(LEFT(K9,1)="C","D",""))))</f>
        <v/>
      </c>
    </row>
    <row r="10">
      <c r="A10" t="n">
        <v>7</v>
      </c>
      <c r="B10" t="inlineStr">
        <is>
          <t>Agua que hierve</t>
        </is>
      </c>
      <c r="C10" s="4" t="inlineStr">
        <is>
          <t>Cuando el agua hierve en una olla se forman burbujas. ¿Qué hay dentro de ellas?</t>
        </is>
      </c>
      <c r="D10" s="4" t="inlineStr">
        <is>
          <t>Aire</t>
        </is>
      </c>
      <c r="E10" s="5" t="inlineStr">
        <is>
          <t>C7</t>
        </is>
      </c>
      <c r="F10" s="4" t="inlineStr">
        <is>
          <t>Vapor de agua</t>
        </is>
      </c>
      <c r="G10" s="5" t="inlineStr">
        <is>
          <t>OK</t>
        </is>
      </c>
      <c r="H10" s="4" t="inlineStr">
        <is>
          <t>Oxígeno e hidrógeno separados</t>
        </is>
      </c>
      <c r="I10" s="5" t="inlineStr"/>
      <c r="J10" s="4" t="inlineStr">
        <is>
          <t>Nada: están vacías</t>
        </is>
      </c>
      <c r="K10" s="5" t="inlineStr"/>
      <c r="L10">
        <f>IF(E10="OK","A",IF(G10="OK","B",IF(I10="OK","C",IF(K10="OK","D",""))))</f>
        <v/>
      </c>
      <c r="M10">
        <f>IF(LEFT(E10,1)="C","A",IF(LEFT(G10,1)="C","B",IF(LEFT(I10,1)="C","C",IF(LEFT(K10,1)="C","D",""))))</f>
        <v/>
      </c>
    </row>
    <row r="11">
      <c r="A11" t="n">
        <v>8</v>
      </c>
      <c r="B11" t="inlineStr">
        <is>
          <t>Calor y temperatura</t>
        </is>
      </c>
      <c r="C11" s="4" t="inlineStr">
        <is>
          <t>Un trozo de metal y uno de madera llevan horas en la misma habitación. Al tocarlos, el metal se siente más frío porque...</t>
        </is>
      </c>
      <c r="D11" s="4" t="inlineStr">
        <is>
          <t>El metal tiene una temperatura menor que la madera</t>
        </is>
      </c>
      <c r="E11" s="5" t="inlineStr">
        <is>
          <t>C8</t>
        </is>
      </c>
      <c r="F11" s="4" t="inlineStr">
        <is>
          <t>El metal conduce el calor de la mano más rápido que la madera</t>
        </is>
      </c>
      <c r="G11" s="5" t="inlineStr">
        <is>
          <t>OK</t>
        </is>
      </c>
      <c r="H11" s="4" t="inlineStr">
        <is>
          <t>La madera produce calor</t>
        </is>
      </c>
      <c r="I11" s="5" t="inlineStr"/>
      <c r="J11" s="4" t="inlineStr">
        <is>
          <t>El metal absorbe el frío del ambiente</t>
        </is>
      </c>
      <c r="K11" s="5" t="inlineStr"/>
      <c r="L11">
        <f>IF(E11="OK","A",IF(G11="OK","B",IF(I11="OK","C",IF(K11="OK","D",""))))</f>
        <v/>
      </c>
      <c r="M11">
        <f>IF(LEFT(E11,1)="C","A",IF(LEFT(G11,1)="C","B",IF(LEFT(I11,1)="C","C",IF(LEFT(K11,1)="C","D",""))))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70" customWidth="1" min="2" max="2"/>
  </cols>
  <sheetData>
    <row r="1">
      <c r="A1" s="1" t="inlineStr">
        <is>
          <t>CATÁLOGO DE IDEAS PREVIAS (concepciones alternativas frecuentes en la literatura; verifica con tus estudiantes)</t>
        </is>
      </c>
    </row>
    <row r="3">
      <c r="A3" s="3" t="inlineStr">
        <is>
          <t>Código</t>
        </is>
      </c>
      <c r="B3" s="3" t="inlineStr">
        <is>
          <t>Idea previa</t>
        </is>
      </c>
    </row>
    <row r="4">
      <c r="A4" t="inlineStr">
        <is>
          <t>C1</t>
        </is>
      </c>
      <c r="B4" t="inlineStr">
        <is>
          <t>Las estaciones se deben a la distancia al Sol</t>
        </is>
      </c>
    </row>
    <row r="5">
      <c r="A5" t="inlineStr">
        <is>
          <t>C2</t>
        </is>
      </c>
      <c r="B5" t="inlineStr">
        <is>
          <t>Las fases de la Luna las produce la sombra de la Tierra</t>
        </is>
      </c>
    </row>
    <row r="6">
      <c r="A6" t="inlineStr">
        <is>
          <t>C3</t>
        </is>
      </c>
      <c r="B6" t="inlineStr">
        <is>
          <t>Los objetos más pesados caen más rápido</t>
        </is>
      </c>
    </row>
    <row r="7">
      <c r="A7" t="inlineStr">
        <is>
          <t>C4</t>
        </is>
      </c>
      <c r="B7" t="inlineStr">
        <is>
          <t>La corriente se gasta en el bombillo</t>
        </is>
      </c>
    </row>
    <row r="8">
      <c r="A8" t="inlineStr">
        <is>
          <t>C5</t>
        </is>
      </c>
      <c r="B8" t="inlineStr">
        <is>
          <t>Las plantas crecen con la tierra del suelo</t>
        </is>
      </c>
    </row>
    <row r="9">
      <c r="A9" t="inlineStr">
        <is>
          <t>C6</t>
        </is>
      </c>
      <c r="B9" t="inlineStr">
        <is>
          <t>Se necesita una fuerza para mantener el movimiento</t>
        </is>
      </c>
    </row>
    <row r="10">
      <c r="A10" t="inlineStr">
        <is>
          <t>C7</t>
        </is>
      </c>
      <c r="B10" t="inlineStr">
        <is>
          <t>Las burbujas del agua hirviendo son de aire</t>
        </is>
      </c>
    </row>
    <row r="11">
      <c r="A11" t="inlineStr">
        <is>
          <t>C8</t>
        </is>
      </c>
      <c r="B11" t="inlineStr">
        <is>
          <t>La sensación de frío indica la temperatura del objeto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</cols>
  <sheetData>
    <row r="1">
      <c r="A1" s="6" t="inlineStr">
        <is>
          <t>RESPUESTAS DEL GRUPO (ejemplo ficticio: 30 estudiantes, 8 preguntas)</t>
        </is>
      </c>
    </row>
    <row r="2">
      <c r="A2" s="7" t="inlineStr">
        <is>
          <t>Estudiante</t>
        </is>
      </c>
      <c r="B2" s="7" t="n">
        <v>1</v>
      </c>
      <c r="C2" s="7" t="n">
        <v>2</v>
      </c>
      <c r="D2" s="7" t="n">
        <v>3</v>
      </c>
      <c r="E2" s="7" t="n">
        <v>4</v>
      </c>
      <c r="F2" s="7" t="n">
        <v>5</v>
      </c>
      <c r="G2" s="7" t="n">
        <v>6</v>
      </c>
      <c r="H2" s="7" t="n">
        <v>7</v>
      </c>
      <c r="I2" s="7" t="n">
        <v>8</v>
      </c>
    </row>
    <row r="3">
      <c r="A3" t="inlineStr">
        <is>
          <t>Clave</t>
        </is>
      </c>
      <c r="B3">
        <f>Preguntas!L4</f>
        <v/>
      </c>
      <c r="C3">
        <f>Preguntas!L5</f>
        <v/>
      </c>
      <c r="D3">
        <f>Preguntas!L6</f>
        <v/>
      </c>
      <c r="E3">
        <f>Preguntas!L7</f>
        <v/>
      </c>
      <c r="F3">
        <f>Preguntas!L8</f>
        <v/>
      </c>
      <c r="G3">
        <f>Preguntas!L9</f>
        <v/>
      </c>
      <c r="H3">
        <f>Preguntas!L10</f>
        <v/>
      </c>
      <c r="I3">
        <f>Preguntas!L11</f>
        <v/>
      </c>
    </row>
    <row r="4">
      <c r="A4" t="inlineStr">
        <is>
          <t>Idea previa</t>
        </is>
      </c>
      <c r="B4">
        <f>Preguntas!M4</f>
        <v/>
      </c>
      <c r="C4">
        <f>Preguntas!M5</f>
        <v/>
      </c>
      <c r="D4">
        <f>Preguntas!M6</f>
        <v/>
      </c>
      <c r="E4">
        <f>Preguntas!M7</f>
        <v/>
      </c>
      <c r="F4">
        <f>Preguntas!M8</f>
        <v/>
      </c>
      <c r="G4">
        <f>Preguntas!M9</f>
        <v/>
      </c>
      <c r="H4">
        <f>Preguntas!M10</f>
        <v/>
      </c>
      <c r="I4">
        <f>Preguntas!M11</f>
        <v/>
      </c>
    </row>
    <row r="5">
      <c r="A5" t="inlineStr">
        <is>
          <t>E01</t>
        </is>
      </c>
      <c r="B5" s="5" t="inlineStr">
        <is>
          <t>A</t>
        </is>
      </c>
      <c r="C5" s="5" t="inlineStr">
        <is>
          <t>B</t>
        </is>
      </c>
      <c r="D5" s="5" t="inlineStr">
        <is>
          <t>A</t>
        </is>
      </c>
      <c r="E5" s="5" t="inlineStr">
        <is>
          <t>B</t>
        </is>
      </c>
      <c r="F5" s="5" t="inlineStr">
        <is>
          <t>A</t>
        </is>
      </c>
      <c r="G5" s="5" t="inlineStr">
        <is>
          <t>A</t>
        </is>
      </c>
      <c r="H5" s="5" t="inlineStr">
        <is>
          <t>B</t>
        </is>
      </c>
      <c r="I5" s="5" t="inlineStr">
        <is>
          <t>A</t>
        </is>
      </c>
    </row>
    <row r="6">
      <c r="A6" t="inlineStr">
        <is>
          <t>E02</t>
        </is>
      </c>
      <c r="B6" s="5" t="inlineStr">
        <is>
          <t>B</t>
        </is>
      </c>
      <c r="C6" s="5" t="inlineStr">
        <is>
          <t>A</t>
        </is>
      </c>
      <c r="D6" s="5" t="inlineStr">
        <is>
          <t>B</t>
        </is>
      </c>
      <c r="E6" s="5" t="inlineStr">
        <is>
          <t>B</t>
        </is>
      </c>
      <c r="F6" s="5" t="inlineStr">
        <is>
          <t>A</t>
        </is>
      </c>
      <c r="G6" s="5" t="inlineStr">
        <is>
          <t>C</t>
        </is>
      </c>
      <c r="H6" s="5" t="inlineStr">
        <is>
          <t>C</t>
        </is>
      </c>
      <c r="I6" s="5" t="inlineStr">
        <is>
          <t>A</t>
        </is>
      </c>
    </row>
    <row r="7">
      <c r="A7" t="inlineStr">
        <is>
          <t>E03</t>
        </is>
      </c>
      <c r="B7" s="5" t="inlineStr">
        <is>
          <t>A</t>
        </is>
      </c>
      <c r="C7" s="5" t="inlineStr">
        <is>
          <t>C</t>
        </is>
      </c>
      <c r="D7" s="5" t="inlineStr">
        <is>
          <t>A</t>
        </is>
      </c>
      <c r="E7" s="5" t="inlineStr">
        <is>
          <t>B</t>
        </is>
      </c>
      <c r="F7" s="5" t="inlineStr">
        <is>
          <t>A</t>
        </is>
      </c>
      <c r="G7" s="5" t="inlineStr">
        <is>
          <t>A</t>
        </is>
      </c>
      <c r="H7" s="5" t="inlineStr">
        <is>
          <t>A</t>
        </is>
      </c>
      <c r="I7" s="5" t="inlineStr">
        <is>
          <t>A</t>
        </is>
      </c>
    </row>
    <row r="8">
      <c r="A8" t="inlineStr">
        <is>
          <t>E04</t>
        </is>
      </c>
      <c r="B8" s="5" t="inlineStr">
        <is>
          <t>A</t>
        </is>
      </c>
      <c r="C8" s="5" t="inlineStr">
        <is>
          <t>B</t>
        </is>
      </c>
      <c r="D8" s="5" t="inlineStr">
        <is>
          <t>A</t>
        </is>
      </c>
      <c r="E8" s="5" t="inlineStr">
        <is>
          <t>B</t>
        </is>
      </c>
      <c r="F8" s="5" t="inlineStr">
        <is>
          <t>B</t>
        </is>
      </c>
      <c r="G8" s="5" t="inlineStr">
        <is>
          <t>A</t>
        </is>
      </c>
      <c r="H8" s="5" t="inlineStr">
        <is>
          <t>A</t>
        </is>
      </c>
      <c r="I8" s="5" t="inlineStr">
        <is>
          <t>A</t>
        </is>
      </c>
    </row>
    <row r="9">
      <c r="A9" t="inlineStr">
        <is>
          <t>E05</t>
        </is>
      </c>
      <c r="B9" s="5" t="inlineStr">
        <is>
          <t>A</t>
        </is>
      </c>
      <c r="C9" s="5" t="inlineStr">
        <is>
          <t>A</t>
        </is>
      </c>
      <c r="D9" s="5" t="inlineStr">
        <is>
          <t>A</t>
        </is>
      </c>
      <c r="E9" s="5" t="inlineStr">
        <is>
          <t>A</t>
        </is>
      </c>
      <c r="F9" s="5" t="inlineStr">
        <is>
          <t>D</t>
        </is>
      </c>
      <c r="G9" s="5" t="inlineStr">
        <is>
          <t>B</t>
        </is>
      </c>
      <c r="H9" s="5" t="inlineStr">
        <is>
          <t>A</t>
        </is>
      </c>
      <c r="I9" s="5" t="inlineStr">
        <is>
          <t>A</t>
        </is>
      </c>
    </row>
    <row r="10">
      <c r="A10" t="inlineStr">
        <is>
          <t>E06</t>
        </is>
      </c>
      <c r="B10" s="5" t="inlineStr">
        <is>
          <t>A</t>
        </is>
      </c>
      <c r="C10" s="5" t="inlineStr">
        <is>
          <t>A</t>
        </is>
      </c>
      <c r="D10" s="5" t="inlineStr">
        <is>
          <t>A</t>
        </is>
      </c>
      <c r="E10" s="5" t="inlineStr">
        <is>
          <t>D</t>
        </is>
      </c>
      <c r="F10" s="5" t="inlineStr">
        <is>
          <t>A</t>
        </is>
      </c>
      <c r="G10" s="5" t="inlineStr">
        <is>
          <t>C</t>
        </is>
      </c>
      <c r="H10" s="5" t="inlineStr">
        <is>
          <t>A</t>
        </is>
      </c>
      <c r="I10" s="5" t="inlineStr">
        <is>
          <t>B</t>
        </is>
      </c>
    </row>
    <row r="11">
      <c r="A11" t="inlineStr">
        <is>
          <t>E07</t>
        </is>
      </c>
      <c r="B11" s="5" t="inlineStr">
        <is>
          <t>A</t>
        </is>
      </c>
      <c r="C11" s="5" t="inlineStr">
        <is>
          <t>D</t>
        </is>
      </c>
      <c r="D11" s="5" t="inlineStr">
        <is>
          <t>B</t>
        </is>
      </c>
      <c r="E11" s="5" t="inlineStr">
        <is>
          <t>A</t>
        </is>
      </c>
      <c r="F11" s="5" t="inlineStr">
        <is>
          <t>A</t>
        </is>
      </c>
      <c r="G11" s="5" t="inlineStr">
        <is>
          <t>A</t>
        </is>
      </c>
      <c r="H11" s="5" t="inlineStr">
        <is>
          <t>D</t>
        </is>
      </c>
      <c r="I11" s="5" t="inlineStr">
        <is>
          <t>B</t>
        </is>
      </c>
    </row>
    <row r="12">
      <c r="A12" t="inlineStr">
        <is>
          <t>E08</t>
        </is>
      </c>
      <c r="B12" s="5" t="inlineStr">
        <is>
          <t>A</t>
        </is>
      </c>
      <c r="C12" s="5" t="inlineStr">
        <is>
          <t>A</t>
        </is>
      </c>
      <c r="D12" s="5" t="inlineStr">
        <is>
          <t>A</t>
        </is>
      </c>
      <c r="E12" s="5" t="inlineStr">
        <is>
          <t>B</t>
        </is>
      </c>
      <c r="F12" s="5" t="inlineStr">
        <is>
          <t>B</t>
        </is>
      </c>
      <c r="G12" s="5" t="inlineStr">
        <is>
          <t>B</t>
        </is>
      </c>
      <c r="H12" s="5" t="inlineStr">
        <is>
          <t>A</t>
        </is>
      </c>
      <c r="I12" s="5" t="inlineStr">
        <is>
          <t>B</t>
        </is>
      </c>
    </row>
    <row r="13">
      <c r="A13" t="inlineStr">
        <is>
          <t>E09</t>
        </is>
      </c>
      <c r="B13" s="5" t="inlineStr">
        <is>
          <t>A</t>
        </is>
      </c>
      <c r="C13" s="5" t="inlineStr">
        <is>
          <t>A</t>
        </is>
      </c>
      <c r="D13" s="5" t="inlineStr">
        <is>
          <t>A</t>
        </is>
      </c>
      <c r="E13" s="5" t="inlineStr">
        <is>
          <t>A</t>
        </is>
      </c>
      <c r="F13" s="5" t="inlineStr">
        <is>
          <t>A</t>
        </is>
      </c>
      <c r="G13" s="5" t="inlineStr">
        <is>
          <t>A</t>
        </is>
      </c>
      <c r="H13" s="5" t="inlineStr">
        <is>
          <t>D</t>
        </is>
      </c>
      <c r="I13" s="5" t="inlineStr">
        <is>
          <t>B</t>
        </is>
      </c>
    </row>
    <row r="14">
      <c r="A14" t="inlineStr">
        <is>
          <t>E10</t>
        </is>
      </c>
      <c r="B14" s="5" t="inlineStr">
        <is>
          <t>A</t>
        </is>
      </c>
      <c r="C14" s="5" t="inlineStr">
        <is>
          <t>B</t>
        </is>
      </c>
      <c r="D14" s="5" t="inlineStr">
        <is>
          <t>B</t>
        </is>
      </c>
      <c r="E14" s="5" t="inlineStr">
        <is>
          <t>B</t>
        </is>
      </c>
      <c r="F14" s="5" t="inlineStr">
        <is>
          <t>A</t>
        </is>
      </c>
      <c r="G14" s="5" t="inlineStr">
        <is>
          <t>B</t>
        </is>
      </c>
      <c r="H14" s="5" t="inlineStr">
        <is>
          <t>B</t>
        </is>
      </c>
      <c r="I14" s="5" t="inlineStr">
        <is>
          <t>A</t>
        </is>
      </c>
    </row>
    <row r="15">
      <c r="A15" t="inlineStr">
        <is>
          <t>E11</t>
        </is>
      </c>
      <c r="B15" s="5" t="inlineStr">
        <is>
          <t>C</t>
        </is>
      </c>
      <c r="C15" s="5" t="inlineStr">
        <is>
          <t>B</t>
        </is>
      </c>
      <c r="D15" s="5" t="inlineStr">
        <is>
          <t>A</t>
        </is>
      </c>
      <c r="E15" s="5" t="inlineStr">
        <is>
          <t>A</t>
        </is>
      </c>
      <c r="F15" s="5" t="inlineStr">
        <is>
          <t>B</t>
        </is>
      </c>
      <c r="G15" s="5" t="inlineStr">
        <is>
          <t>A</t>
        </is>
      </c>
      <c r="H15" s="5" t="inlineStr">
        <is>
          <t>A</t>
        </is>
      </c>
      <c r="I15" s="5" t="inlineStr">
        <is>
          <t>A</t>
        </is>
      </c>
    </row>
    <row r="16">
      <c r="A16" t="inlineStr">
        <is>
          <t>E12</t>
        </is>
      </c>
      <c r="B16" s="5" t="inlineStr">
        <is>
          <t>D</t>
        </is>
      </c>
      <c r="C16" s="5" t="inlineStr">
        <is>
          <t>C</t>
        </is>
      </c>
      <c r="D16" s="5" t="inlineStr">
        <is>
          <t>B</t>
        </is>
      </c>
      <c r="E16" s="5" t="inlineStr">
        <is>
          <t>B</t>
        </is>
      </c>
      <c r="F16" s="5" t="inlineStr">
        <is>
          <t>A</t>
        </is>
      </c>
      <c r="G16" s="5" t="inlineStr">
        <is>
          <t>B</t>
        </is>
      </c>
      <c r="H16" s="5" t="inlineStr">
        <is>
          <t>A</t>
        </is>
      </c>
      <c r="I16" s="5" t="inlineStr">
        <is>
          <t>B</t>
        </is>
      </c>
    </row>
    <row r="17">
      <c r="A17" t="inlineStr">
        <is>
          <t>E13</t>
        </is>
      </c>
      <c r="B17" s="5" t="inlineStr">
        <is>
          <t>A</t>
        </is>
      </c>
      <c r="C17" s="5" t="inlineStr">
        <is>
          <t>B</t>
        </is>
      </c>
      <c r="D17" s="5" t="inlineStr">
        <is>
          <t>A</t>
        </is>
      </c>
      <c r="E17" s="5" t="inlineStr">
        <is>
          <t>A</t>
        </is>
      </c>
      <c r="F17" s="5" t="inlineStr">
        <is>
          <t>A</t>
        </is>
      </c>
      <c r="G17" s="5" t="inlineStr">
        <is>
          <t>B</t>
        </is>
      </c>
      <c r="H17" s="5" t="inlineStr">
        <is>
          <t>A</t>
        </is>
      </c>
      <c r="I17" s="5" t="inlineStr">
        <is>
          <t>C</t>
        </is>
      </c>
    </row>
    <row r="18">
      <c r="A18" t="inlineStr">
        <is>
          <t>E14</t>
        </is>
      </c>
      <c r="B18" s="5" t="inlineStr">
        <is>
          <t>A</t>
        </is>
      </c>
      <c r="C18" s="5" t="inlineStr">
        <is>
          <t>D</t>
        </is>
      </c>
      <c r="D18" s="5" t="inlineStr">
        <is>
          <t>A</t>
        </is>
      </c>
      <c r="E18" s="5" t="inlineStr">
        <is>
          <t>A</t>
        </is>
      </c>
      <c r="F18" s="5" t="inlineStr">
        <is>
          <t>A</t>
        </is>
      </c>
      <c r="G18" s="5" t="inlineStr">
        <is>
          <t>A</t>
        </is>
      </c>
      <c r="H18" s="5" t="inlineStr">
        <is>
          <t>B</t>
        </is>
      </c>
      <c r="I18" s="5" t="inlineStr">
        <is>
          <t>D</t>
        </is>
      </c>
    </row>
    <row r="19">
      <c r="A19" t="inlineStr">
        <is>
          <t>E15</t>
        </is>
      </c>
      <c r="B19" s="5" t="inlineStr">
        <is>
          <t>B</t>
        </is>
      </c>
      <c r="C19" s="5" t="inlineStr">
        <is>
          <t>A</t>
        </is>
      </c>
      <c r="D19" s="5" t="inlineStr">
        <is>
          <t>B</t>
        </is>
      </c>
      <c r="E19" s="5" t="inlineStr">
        <is>
          <t>B</t>
        </is>
      </c>
      <c r="F19" s="5" t="inlineStr">
        <is>
          <t>B</t>
        </is>
      </c>
      <c r="G19" s="5" t="inlineStr">
        <is>
          <t>B</t>
        </is>
      </c>
      <c r="H19" s="5" t="inlineStr">
        <is>
          <t>B</t>
        </is>
      </c>
      <c r="I19" s="5" t="inlineStr">
        <is>
          <t>B</t>
        </is>
      </c>
    </row>
    <row r="20">
      <c r="A20" t="inlineStr">
        <is>
          <t>E16</t>
        </is>
      </c>
      <c r="B20" s="5" t="inlineStr">
        <is>
          <t>D</t>
        </is>
      </c>
      <c r="C20" s="5" t="inlineStr">
        <is>
          <t>B</t>
        </is>
      </c>
      <c r="D20" s="5" t="inlineStr">
        <is>
          <t>B</t>
        </is>
      </c>
      <c r="E20" s="5" t="inlineStr">
        <is>
          <t>A</t>
        </is>
      </c>
      <c r="F20" s="5" t="inlineStr">
        <is>
          <t>A</t>
        </is>
      </c>
      <c r="G20" s="5" t="inlineStr">
        <is>
          <t>B</t>
        </is>
      </c>
      <c r="H20" s="5" t="inlineStr">
        <is>
          <t>A</t>
        </is>
      </c>
      <c r="I20" s="5" t="inlineStr">
        <is>
          <t>D</t>
        </is>
      </c>
    </row>
    <row r="21">
      <c r="A21" t="inlineStr">
        <is>
          <t>E17</t>
        </is>
      </c>
      <c r="B21" s="5" t="inlineStr">
        <is>
          <t>A</t>
        </is>
      </c>
      <c r="C21" s="5" t="inlineStr">
        <is>
          <t>A</t>
        </is>
      </c>
      <c r="D21" s="5" t="inlineStr">
        <is>
          <t>B</t>
        </is>
      </c>
      <c r="E21" s="5" t="inlineStr">
        <is>
          <t>A</t>
        </is>
      </c>
      <c r="F21" s="5" t="inlineStr">
        <is>
          <t>A</t>
        </is>
      </c>
      <c r="G21" s="5" t="inlineStr">
        <is>
          <t>A</t>
        </is>
      </c>
      <c r="H21" s="5" t="inlineStr">
        <is>
          <t>A</t>
        </is>
      </c>
      <c r="I21" s="5" t="inlineStr">
        <is>
          <t>A</t>
        </is>
      </c>
    </row>
    <row r="22">
      <c r="A22" t="inlineStr">
        <is>
          <t>E18</t>
        </is>
      </c>
      <c r="B22" s="5" t="inlineStr">
        <is>
          <t>A</t>
        </is>
      </c>
      <c r="C22" s="5" t="inlineStr">
        <is>
          <t>D</t>
        </is>
      </c>
      <c r="D22" s="5" t="inlineStr">
        <is>
          <t>B</t>
        </is>
      </c>
      <c r="E22" s="5" t="inlineStr">
        <is>
          <t>A</t>
        </is>
      </c>
      <c r="F22" s="5" t="inlineStr">
        <is>
          <t>B</t>
        </is>
      </c>
      <c r="G22" s="5" t="inlineStr">
        <is>
          <t>A</t>
        </is>
      </c>
      <c r="H22" s="5" t="inlineStr">
        <is>
          <t>C</t>
        </is>
      </c>
      <c r="I22" s="5" t="inlineStr">
        <is>
          <t>A</t>
        </is>
      </c>
    </row>
    <row r="23">
      <c r="A23" t="inlineStr">
        <is>
          <t>E19</t>
        </is>
      </c>
      <c r="B23" s="5" t="inlineStr">
        <is>
          <t>A</t>
        </is>
      </c>
      <c r="C23" s="5" t="inlineStr">
        <is>
          <t>A</t>
        </is>
      </c>
      <c r="D23" s="5" t="inlineStr">
        <is>
          <t>B</t>
        </is>
      </c>
      <c r="E23" s="5" t="inlineStr">
        <is>
          <t>A</t>
        </is>
      </c>
      <c r="F23" s="5" t="inlineStr">
        <is>
          <t>A</t>
        </is>
      </c>
      <c r="G23" s="5" t="inlineStr">
        <is>
          <t>D</t>
        </is>
      </c>
      <c r="H23" s="5" t="inlineStr">
        <is>
          <t>A</t>
        </is>
      </c>
      <c r="I23" s="5" t="inlineStr">
        <is>
          <t>A</t>
        </is>
      </c>
    </row>
    <row r="24">
      <c r="A24" t="inlineStr">
        <is>
          <t>E20</t>
        </is>
      </c>
      <c r="B24" s="5" t="inlineStr">
        <is>
          <t>A</t>
        </is>
      </c>
      <c r="C24" s="5" t="inlineStr">
        <is>
          <t>A</t>
        </is>
      </c>
      <c r="D24" s="5" t="inlineStr">
        <is>
          <t>B</t>
        </is>
      </c>
      <c r="E24" s="5" t="inlineStr">
        <is>
          <t>A</t>
        </is>
      </c>
      <c r="F24" s="5" t="inlineStr">
        <is>
          <t>A</t>
        </is>
      </c>
      <c r="G24" s="5" t="inlineStr">
        <is>
          <t>C</t>
        </is>
      </c>
      <c r="H24" s="5" t="inlineStr">
        <is>
          <t>A</t>
        </is>
      </c>
      <c r="I24" s="5" t="inlineStr">
        <is>
          <t>B</t>
        </is>
      </c>
    </row>
    <row r="25">
      <c r="A25" t="inlineStr">
        <is>
          <t>E21</t>
        </is>
      </c>
      <c r="B25" s="5" t="inlineStr">
        <is>
          <t>B</t>
        </is>
      </c>
      <c r="C25" s="5" t="inlineStr">
        <is>
          <t>B</t>
        </is>
      </c>
      <c r="D25" s="5" t="inlineStr">
        <is>
          <t>B</t>
        </is>
      </c>
      <c r="E25" s="5" t="inlineStr">
        <is>
          <t>A</t>
        </is>
      </c>
      <c r="F25" s="5" t="inlineStr">
        <is>
          <t>A</t>
        </is>
      </c>
      <c r="G25" s="5" t="inlineStr">
        <is>
          <t>D</t>
        </is>
      </c>
      <c r="H25" s="5" t="inlineStr">
        <is>
          <t>A</t>
        </is>
      </c>
      <c r="I25" s="5" t="inlineStr">
        <is>
          <t>A</t>
        </is>
      </c>
    </row>
    <row r="26">
      <c r="A26" t="inlineStr">
        <is>
          <t>E22</t>
        </is>
      </c>
      <c r="B26" s="5" t="inlineStr">
        <is>
          <t>A</t>
        </is>
      </c>
      <c r="C26" s="5" t="inlineStr">
        <is>
          <t>C</t>
        </is>
      </c>
      <c r="D26" s="5" t="inlineStr">
        <is>
          <t>B</t>
        </is>
      </c>
      <c r="E26" s="5" t="inlineStr">
        <is>
          <t>B</t>
        </is>
      </c>
      <c r="F26" s="5" t="inlineStr">
        <is>
          <t>B</t>
        </is>
      </c>
      <c r="G26" s="5" t="inlineStr">
        <is>
          <t>B</t>
        </is>
      </c>
      <c r="H26" s="5" t="inlineStr">
        <is>
          <t>A</t>
        </is>
      </c>
      <c r="I26" s="5" t="inlineStr">
        <is>
          <t>C</t>
        </is>
      </c>
    </row>
    <row r="27">
      <c r="A27" t="inlineStr">
        <is>
          <t>E23</t>
        </is>
      </c>
      <c r="B27" s="5" t="inlineStr">
        <is>
          <t>A</t>
        </is>
      </c>
      <c r="C27" s="5" t="inlineStr">
        <is>
          <t>A</t>
        </is>
      </c>
      <c r="D27" s="5" t="inlineStr">
        <is>
          <t>A</t>
        </is>
      </c>
      <c r="E27" s="5" t="inlineStr">
        <is>
          <t>B</t>
        </is>
      </c>
      <c r="F27" s="5" t="inlineStr">
        <is>
          <t>A</t>
        </is>
      </c>
      <c r="G27" s="5" t="inlineStr">
        <is>
          <t>C</t>
        </is>
      </c>
      <c r="H27" s="5" t="inlineStr">
        <is>
          <t>A</t>
        </is>
      </c>
      <c r="I27" s="5" t="inlineStr">
        <is>
          <t>B</t>
        </is>
      </c>
    </row>
    <row r="28">
      <c r="A28" t="inlineStr">
        <is>
          <t>E24</t>
        </is>
      </c>
      <c r="B28" s="5" t="inlineStr">
        <is>
          <t>A</t>
        </is>
      </c>
      <c r="C28" s="5" t="inlineStr">
        <is>
          <t>A</t>
        </is>
      </c>
      <c r="D28" s="5" t="inlineStr">
        <is>
          <t>D</t>
        </is>
      </c>
      <c r="E28" s="5" t="inlineStr">
        <is>
          <t>A</t>
        </is>
      </c>
      <c r="F28" s="5" t="inlineStr">
        <is>
          <t>A</t>
        </is>
      </c>
      <c r="G28" s="5" t="inlineStr">
        <is>
          <t>B</t>
        </is>
      </c>
      <c r="H28" s="5" t="inlineStr">
        <is>
          <t>B</t>
        </is>
      </c>
      <c r="I28" s="5" t="inlineStr">
        <is>
          <t>C</t>
        </is>
      </c>
    </row>
    <row r="29">
      <c r="A29" t="inlineStr">
        <is>
          <t>E25</t>
        </is>
      </c>
      <c r="B29" s="5" t="inlineStr">
        <is>
          <t>B</t>
        </is>
      </c>
      <c r="C29" s="5" t="inlineStr">
        <is>
          <t>C</t>
        </is>
      </c>
      <c r="D29" s="5" t="inlineStr">
        <is>
          <t>A</t>
        </is>
      </c>
      <c r="E29" s="5" t="inlineStr">
        <is>
          <t>A</t>
        </is>
      </c>
      <c r="F29" s="5" t="inlineStr">
        <is>
          <t>A</t>
        </is>
      </c>
      <c r="G29" s="5" t="inlineStr">
        <is>
          <t>C</t>
        </is>
      </c>
      <c r="H29" s="5" t="inlineStr">
        <is>
          <t>A</t>
        </is>
      </c>
      <c r="I29" s="5" t="inlineStr">
        <is>
          <t>B</t>
        </is>
      </c>
    </row>
    <row r="30">
      <c r="A30" t="inlineStr">
        <is>
          <t>E26</t>
        </is>
      </c>
      <c r="B30" s="5" t="inlineStr">
        <is>
          <t>B</t>
        </is>
      </c>
      <c r="C30" s="5" t="inlineStr">
        <is>
          <t>C</t>
        </is>
      </c>
      <c r="D30" s="5" t="inlineStr">
        <is>
          <t>A</t>
        </is>
      </c>
      <c r="E30" s="5" t="inlineStr">
        <is>
          <t>D</t>
        </is>
      </c>
      <c r="F30" s="5" t="inlineStr">
        <is>
          <t>C</t>
        </is>
      </c>
      <c r="G30" s="5" t="inlineStr">
        <is>
          <t>C</t>
        </is>
      </c>
      <c r="H30" s="5" t="inlineStr">
        <is>
          <t>B</t>
        </is>
      </c>
      <c r="I30" s="5" t="inlineStr">
        <is>
          <t>B</t>
        </is>
      </c>
    </row>
    <row r="31">
      <c r="A31" t="inlineStr">
        <is>
          <t>E27</t>
        </is>
      </c>
      <c r="B31" s="5" t="inlineStr">
        <is>
          <t>A</t>
        </is>
      </c>
      <c r="C31" s="5" t="inlineStr">
        <is>
          <t>A</t>
        </is>
      </c>
      <c r="D31" s="5" t="inlineStr">
        <is>
          <t>A</t>
        </is>
      </c>
      <c r="E31" s="5" t="inlineStr">
        <is>
          <t>A</t>
        </is>
      </c>
      <c r="F31" s="5" t="inlineStr">
        <is>
          <t>C</t>
        </is>
      </c>
      <c r="G31" s="5" t="inlineStr">
        <is>
          <t>D</t>
        </is>
      </c>
      <c r="H31" s="5" t="inlineStr">
        <is>
          <t>D</t>
        </is>
      </c>
      <c r="I31" s="5" t="inlineStr">
        <is>
          <t>A</t>
        </is>
      </c>
    </row>
    <row r="32">
      <c r="A32" t="inlineStr">
        <is>
          <t>E28</t>
        </is>
      </c>
      <c r="B32" s="5" t="inlineStr">
        <is>
          <t>C</t>
        </is>
      </c>
      <c r="C32" s="5" t="inlineStr">
        <is>
          <t>A</t>
        </is>
      </c>
      <c r="D32" s="5" t="inlineStr">
        <is>
          <t>A</t>
        </is>
      </c>
      <c r="E32" s="5" t="inlineStr">
        <is>
          <t>B</t>
        </is>
      </c>
      <c r="F32" s="5" t="inlineStr">
        <is>
          <t>A</t>
        </is>
      </c>
      <c r="G32" s="5" t="inlineStr">
        <is>
          <t>B</t>
        </is>
      </c>
      <c r="H32" s="5" t="inlineStr">
        <is>
          <t>B</t>
        </is>
      </c>
      <c r="I32" s="5" t="inlineStr">
        <is>
          <t>A</t>
        </is>
      </c>
    </row>
    <row r="33">
      <c r="A33" t="inlineStr">
        <is>
          <t>E29</t>
        </is>
      </c>
      <c r="B33" s="5" t="inlineStr">
        <is>
          <t>A</t>
        </is>
      </c>
      <c r="C33" s="5" t="inlineStr">
        <is>
          <t>A</t>
        </is>
      </c>
      <c r="D33" s="5" t="inlineStr">
        <is>
          <t>A</t>
        </is>
      </c>
      <c r="E33" s="5" t="inlineStr">
        <is>
          <t>A</t>
        </is>
      </c>
      <c r="F33" s="5" t="inlineStr">
        <is>
          <t>A</t>
        </is>
      </c>
      <c r="G33" s="5" t="inlineStr">
        <is>
          <t>A</t>
        </is>
      </c>
      <c r="H33" s="5" t="inlineStr">
        <is>
          <t>A</t>
        </is>
      </c>
      <c r="I33" s="5" t="inlineStr">
        <is>
          <t>A</t>
        </is>
      </c>
    </row>
    <row r="34">
      <c r="A34" t="inlineStr">
        <is>
          <t>E30</t>
        </is>
      </c>
      <c r="B34" s="5" t="inlineStr">
        <is>
          <t>B</t>
        </is>
      </c>
      <c r="C34" s="5" t="inlineStr">
        <is>
          <t>A</t>
        </is>
      </c>
      <c r="D34" s="5" t="inlineStr">
        <is>
          <t>B</t>
        </is>
      </c>
      <c r="E34" s="5" t="inlineStr">
        <is>
          <t>A</t>
        </is>
      </c>
      <c r="F34" s="5" t="inlineStr">
        <is>
          <t>D</t>
        </is>
      </c>
      <c r="G34" s="5" t="inlineStr">
        <is>
          <t>A</t>
        </is>
      </c>
      <c r="H34" s="5" t="inlineStr">
        <is>
          <t>A</t>
        </is>
      </c>
      <c r="I34" s="5" t="inlineStr">
        <is>
          <t>D</t>
        </is>
      </c>
    </row>
  </sheetData>
  <dataValidations count="1">
    <dataValidation sqref="B5:I34" showDropDown="0" showInputMessage="0" showErrorMessage="0" allowBlank="0" type="list">
      <formula1>"A,B,C,D"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5" customWidth="1" min="1" max="1"/>
    <col width="28" customWidth="1" min="2" max="2"/>
    <col width="6" customWidth="1" min="3" max="3"/>
    <col width="6" customWidth="1" min="4" max="4"/>
    <col width="6" customWidth="1" min="5" max="5"/>
    <col width="6" customWidth="1" min="6" max="6"/>
    <col width="12" customWidth="1" min="7" max="7"/>
    <col width="14" customWidth="1" min="8" max="8"/>
    <col width="18" customWidth="1" min="9" max="9"/>
    <col width="46" customWidth="1" min="10" max="10"/>
  </cols>
  <sheetData>
    <row r="1">
      <c r="A1" s="1" t="inlineStr">
        <is>
          <t>ANÁLISIS POR PREGUNTA: CUÁNTOS ELIGIERON CADA OPCIÓN</t>
        </is>
      </c>
    </row>
    <row r="3" ht="40" customHeight="1">
      <c r="A3" s="3" t="inlineStr">
        <is>
          <t>N.º</t>
        </is>
      </c>
      <c r="B3" s="3" t="inlineStr">
        <is>
          <t>Tema</t>
        </is>
      </c>
      <c r="C3" s="3" t="inlineStr">
        <is>
          <t>A</t>
        </is>
      </c>
      <c r="D3" s="3" t="inlineStr">
        <is>
          <t>B</t>
        </is>
      </c>
      <c r="E3" s="3" t="inlineStr">
        <is>
          <t>C</t>
        </is>
      </c>
      <c r="F3" s="3" t="inlineStr">
        <is>
          <t>D</t>
        </is>
      </c>
      <c r="G3" s="3" t="inlineStr">
        <is>
          <t>% correcta</t>
        </is>
      </c>
      <c r="H3" s="3" t="inlineStr">
        <is>
          <t>% idea previa</t>
        </is>
      </c>
      <c r="I3" s="3" t="inlineStr">
        <is>
          <t>Idea previa dominante (código)</t>
        </is>
      </c>
      <c r="J3" s="3" t="inlineStr">
        <is>
          <t>Lectura</t>
        </is>
      </c>
    </row>
    <row r="4">
      <c r="A4" t="n">
        <v>1</v>
      </c>
      <c r="B4">
        <f>Preguntas!B4</f>
        <v/>
      </c>
      <c r="C4">
        <f>COUNTIF(Respuestas!$B$5:$B$34,"A")</f>
        <v/>
      </c>
      <c r="D4">
        <f>COUNTIF(Respuestas!$B$5:$B$34,"B")</f>
        <v/>
      </c>
      <c r="E4">
        <f>COUNTIF(Respuestas!$B$5:$B$34,"C")</f>
        <v/>
      </c>
      <c r="F4">
        <f>COUNTIF(Respuestas!$B$5:$B$34,"D")</f>
        <v/>
      </c>
      <c r="G4" s="2">
        <f>COUNTIF(Respuestas!$B$5:$B$34,Respuestas!B$3)/30</f>
        <v/>
      </c>
      <c r="H4" s="2">
        <f>IF(Respuestas!B$4="",0,COUNTIF(Respuestas!$B$5:$B$34,Respuestas!B$4)/30)</f>
        <v/>
      </c>
      <c r="I4">
        <f>IF(LEFT(Preguntas!E4,1)="C",Preguntas!E4,IF(LEFT(Preguntas!G4,1)="C",Preguntas!G4,IF(LEFT(Preguntas!I4,1)="C",Preguntas!I4,IF(LEFT(Preguntas!K4,1)="C",Preguntas!K4,""))))</f>
        <v/>
      </c>
      <c r="J4">
        <f>IF(H4&gt;G4,"La idea previa supera a la respuesta correcta",IF(H4&gt;=0.3,"La idea previa es frecuente","Sin concentración en una idea previa"))</f>
        <v/>
      </c>
    </row>
    <row r="5">
      <c r="A5" t="n">
        <v>2</v>
      </c>
      <c r="B5">
        <f>Preguntas!B5</f>
        <v/>
      </c>
      <c r="C5">
        <f>COUNTIF(Respuestas!$C$5:$C$34,"A")</f>
        <v/>
      </c>
      <c r="D5">
        <f>COUNTIF(Respuestas!$C$5:$C$34,"B")</f>
        <v/>
      </c>
      <c r="E5">
        <f>COUNTIF(Respuestas!$C$5:$C$34,"C")</f>
        <v/>
      </c>
      <c r="F5">
        <f>COUNTIF(Respuestas!$C$5:$C$34,"D")</f>
        <v/>
      </c>
      <c r="G5" s="2">
        <f>COUNTIF(Respuestas!$C$5:$C$34,Respuestas!C$3)/30</f>
        <v/>
      </c>
      <c r="H5" s="2">
        <f>IF(Respuestas!C$4="",0,COUNTIF(Respuestas!$C$5:$C$34,Respuestas!C$4)/30)</f>
        <v/>
      </c>
      <c r="I5">
        <f>IF(LEFT(Preguntas!E5,1)="C",Preguntas!E5,IF(LEFT(Preguntas!G5,1)="C",Preguntas!G5,IF(LEFT(Preguntas!I5,1)="C",Preguntas!I5,IF(LEFT(Preguntas!K5,1)="C",Preguntas!K5,""))))</f>
        <v/>
      </c>
      <c r="J5">
        <f>IF(H5&gt;G5,"La idea previa supera a la respuesta correcta",IF(H5&gt;=0.3,"La idea previa es frecuente","Sin concentración en una idea previa"))</f>
        <v/>
      </c>
    </row>
    <row r="6">
      <c r="A6" t="n">
        <v>3</v>
      </c>
      <c r="B6">
        <f>Preguntas!B6</f>
        <v/>
      </c>
      <c r="C6">
        <f>COUNTIF(Respuestas!$D$5:$D$34,"A")</f>
        <v/>
      </c>
      <c r="D6">
        <f>COUNTIF(Respuestas!$D$5:$D$34,"B")</f>
        <v/>
      </c>
      <c r="E6">
        <f>COUNTIF(Respuestas!$D$5:$D$34,"C")</f>
        <v/>
      </c>
      <c r="F6">
        <f>COUNTIF(Respuestas!$D$5:$D$34,"D")</f>
        <v/>
      </c>
      <c r="G6" s="2">
        <f>COUNTIF(Respuestas!$D$5:$D$34,Respuestas!D$3)/30</f>
        <v/>
      </c>
      <c r="H6" s="2">
        <f>IF(Respuestas!D$4="",0,COUNTIF(Respuestas!$D$5:$D$34,Respuestas!D$4)/30)</f>
        <v/>
      </c>
      <c r="I6">
        <f>IF(LEFT(Preguntas!E6,1)="C",Preguntas!E6,IF(LEFT(Preguntas!G6,1)="C",Preguntas!G6,IF(LEFT(Preguntas!I6,1)="C",Preguntas!I6,IF(LEFT(Preguntas!K6,1)="C",Preguntas!K6,""))))</f>
        <v/>
      </c>
      <c r="J6">
        <f>IF(H6&gt;G6,"La idea previa supera a la respuesta correcta",IF(H6&gt;=0.3,"La idea previa es frecuente","Sin concentración en una idea previa"))</f>
        <v/>
      </c>
    </row>
    <row r="7">
      <c r="A7" t="n">
        <v>4</v>
      </c>
      <c r="B7">
        <f>Preguntas!B7</f>
        <v/>
      </c>
      <c r="C7">
        <f>COUNTIF(Respuestas!$E$5:$E$34,"A")</f>
        <v/>
      </c>
      <c r="D7">
        <f>COUNTIF(Respuestas!$E$5:$E$34,"B")</f>
        <v/>
      </c>
      <c r="E7">
        <f>COUNTIF(Respuestas!$E$5:$E$34,"C")</f>
        <v/>
      </c>
      <c r="F7">
        <f>COUNTIF(Respuestas!$E$5:$E$34,"D")</f>
        <v/>
      </c>
      <c r="G7" s="2">
        <f>COUNTIF(Respuestas!$E$5:$E$34,Respuestas!E$3)/30</f>
        <v/>
      </c>
      <c r="H7" s="2">
        <f>IF(Respuestas!E$4="",0,COUNTIF(Respuestas!$E$5:$E$34,Respuestas!E$4)/30)</f>
        <v/>
      </c>
      <c r="I7">
        <f>IF(LEFT(Preguntas!E7,1)="C",Preguntas!E7,IF(LEFT(Preguntas!G7,1)="C",Preguntas!G7,IF(LEFT(Preguntas!I7,1)="C",Preguntas!I7,IF(LEFT(Preguntas!K7,1)="C",Preguntas!K7,""))))</f>
        <v/>
      </c>
      <c r="J7">
        <f>IF(H7&gt;G7,"La idea previa supera a la respuesta correcta",IF(H7&gt;=0.3,"La idea previa es frecuente","Sin concentración en una idea previa"))</f>
        <v/>
      </c>
    </row>
    <row r="8">
      <c r="A8" t="n">
        <v>5</v>
      </c>
      <c r="B8">
        <f>Preguntas!B8</f>
        <v/>
      </c>
      <c r="C8">
        <f>COUNTIF(Respuestas!$F$5:$F$34,"A")</f>
        <v/>
      </c>
      <c r="D8">
        <f>COUNTIF(Respuestas!$F$5:$F$34,"B")</f>
        <v/>
      </c>
      <c r="E8">
        <f>COUNTIF(Respuestas!$F$5:$F$34,"C")</f>
        <v/>
      </c>
      <c r="F8">
        <f>COUNTIF(Respuestas!$F$5:$F$34,"D")</f>
        <v/>
      </c>
      <c r="G8" s="2">
        <f>COUNTIF(Respuestas!$F$5:$F$34,Respuestas!F$3)/30</f>
        <v/>
      </c>
      <c r="H8" s="2">
        <f>IF(Respuestas!F$4="",0,COUNTIF(Respuestas!$F$5:$F$34,Respuestas!F$4)/30)</f>
        <v/>
      </c>
      <c r="I8">
        <f>IF(LEFT(Preguntas!E8,1)="C",Preguntas!E8,IF(LEFT(Preguntas!G8,1)="C",Preguntas!G8,IF(LEFT(Preguntas!I8,1)="C",Preguntas!I8,IF(LEFT(Preguntas!K8,1)="C",Preguntas!K8,""))))</f>
        <v/>
      </c>
      <c r="J8">
        <f>IF(H8&gt;G8,"La idea previa supera a la respuesta correcta",IF(H8&gt;=0.3,"La idea previa es frecuente","Sin concentración en una idea previa"))</f>
        <v/>
      </c>
    </row>
    <row r="9">
      <c r="A9" t="n">
        <v>6</v>
      </c>
      <c r="B9">
        <f>Preguntas!B9</f>
        <v/>
      </c>
      <c r="C9">
        <f>COUNTIF(Respuestas!$G$5:$G$34,"A")</f>
        <v/>
      </c>
      <c r="D9">
        <f>COUNTIF(Respuestas!$G$5:$G$34,"B")</f>
        <v/>
      </c>
      <c r="E9">
        <f>COUNTIF(Respuestas!$G$5:$G$34,"C")</f>
        <v/>
      </c>
      <c r="F9">
        <f>COUNTIF(Respuestas!$G$5:$G$34,"D")</f>
        <v/>
      </c>
      <c r="G9" s="2">
        <f>COUNTIF(Respuestas!$G$5:$G$34,Respuestas!G$3)/30</f>
        <v/>
      </c>
      <c r="H9" s="2">
        <f>IF(Respuestas!G$4="",0,COUNTIF(Respuestas!$G$5:$G$34,Respuestas!G$4)/30)</f>
        <v/>
      </c>
      <c r="I9">
        <f>IF(LEFT(Preguntas!E9,1)="C",Preguntas!E9,IF(LEFT(Preguntas!G9,1)="C",Preguntas!G9,IF(LEFT(Preguntas!I9,1)="C",Preguntas!I9,IF(LEFT(Preguntas!K9,1)="C",Preguntas!K9,""))))</f>
        <v/>
      </c>
      <c r="J9">
        <f>IF(H9&gt;G9,"La idea previa supera a la respuesta correcta",IF(H9&gt;=0.3,"La idea previa es frecuente","Sin concentración en una idea previa"))</f>
        <v/>
      </c>
    </row>
    <row r="10">
      <c r="A10" t="n">
        <v>7</v>
      </c>
      <c r="B10">
        <f>Preguntas!B10</f>
        <v/>
      </c>
      <c r="C10">
        <f>COUNTIF(Respuestas!$H$5:$H$34,"A")</f>
        <v/>
      </c>
      <c r="D10">
        <f>COUNTIF(Respuestas!$H$5:$H$34,"B")</f>
        <v/>
      </c>
      <c r="E10">
        <f>COUNTIF(Respuestas!$H$5:$H$34,"C")</f>
        <v/>
      </c>
      <c r="F10">
        <f>COUNTIF(Respuestas!$H$5:$H$34,"D")</f>
        <v/>
      </c>
      <c r="G10" s="2">
        <f>COUNTIF(Respuestas!$H$5:$H$34,Respuestas!H$3)/30</f>
        <v/>
      </c>
      <c r="H10" s="2">
        <f>IF(Respuestas!H$4="",0,COUNTIF(Respuestas!$H$5:$H$34,Respuestas!H$4)/30)</f>
        <v/>
      </c>
      <c r="I10">
        <f>IF(LEFT(Preguntas!E10,1)="C",Preguntas!E10,IF(LEFT(Preguntas!G10,1)="C",Preguntas!G10,IF(LEFT(Preguntas!I10,1)="C",Preguntas!I10,IF(LEFT(Preguntas!K10,1)="C",Preguntas!K10,""))))</f>
        <v/>
      </c>
      <c r="J10">
        <f>IF(H10&gt;G10,"La idea previa supera a la respuesta correcta",IF(H10&gt;=0.3,"La idea previa es frecuente","Sin concentración en una idea previa"))</f>
        <v/>
      </c>
    </row>
    <row r="11">
      <c r="A11" t="n">
        <v>8</v>
      </c>
      <c r="B11">
        <f>Preguntas!B11</f>
        <v/>
      </c>
      <c r="C11">
        <f>COUNTIF(Respuestas!$I$5:$I$34,"A")</f>
        <v/>
      </c>
      <c r="D11">
        <f>COUNTIF(Respuestas!$I$5:$I$34,"B")</f>
        <v/>
      </c>
      <c r="E11">
        <f>COUNTIF(Respuestas!$I$5:$I$34,"C")</f>
        <v/>
      </c>
      <c r="F11">
        <f>COUNTIF(Respuestas!$I$5:$I$34,"D")</f>
        <v/>
      </c>
      <c r="G11" s="2">
        <f>COUNTIF(Respuestas!$I$5:$I$34,Respuestas!I$3)/30</f>
        <v/>
      </c>
      <c r="H11" s="2">
        <f>IF(Respuestas!I$4="",0,COUNTIF(Respuestas!$I$5:$I$34,Respuestas!I$4)/30)</f>
        <v/>
      </c>
      <c r="I11">
        <f>IF(LEFT(Preguntas!E11,1)="C",Preguntas!E11,IF(LEFT(Preguntas!G11,1)="C",Preguntas!G11,IF(LEFT(Preguntas!I11,1)="C",Preguntas!I11,IF(LEFT(Preguntas!K11,1)="C",Preguntas!K11,""))))</f>
        <v/>
      </c>
      <c r="J11">
        <f>IF(H11&gt;G11,"La idea previa supera a la respuesta correcta",IF(H11&gt;=0.3,"La idea previa es frecuente","Sin concentración en una idea previa"))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18" customWidth="1" min="3" max="3"/>
    <col width="12" customWidth="1" min="4" max="4"/>
    <col width="30" customWidth="1" min="5" max="5"/>
  </cols>
  <sheetData>
    <row r="1">
      <c r="A1" s="1" t="inlineStr">
        <is>
          <t>PERFIL POR ESTUDIANTE</t>
        </is>
      </c>
    </row>
    <row r="3">
      <c r="A3" s="3" t="inlineStr">
        <is>
          <t>Estudiante</t>
        </is>
      </c>
      <c r="B3" s="3" t="inlineStr">
        <is>
          <t>Respuestas correctas</t>
        </is>
      </c>
      <c r="C3" s="3" t="inlineStr">
        <is>
          <t>Respuestas con una idea previa</t>
        </is>
      </c>
      <c r="D3" s="3" t="inlineStr">
        <is>
          <t>Otras respuestas</t>
        </is>
      </c>
      <c r="E3" s="3" t="inlineStr">
        <is>
          <t>Perfil</t>
        </is>
      </c>
    </row>
    <row r="4">
      <c r="A4">
        <f>Respuestas!A5</f>
        <v/>
      </c>
      <c r="B4">
        <f>SUMPRODUCT(--(Respuestas!$B5:$I5=Respuestas!$B$3:$I$3))</f>
        <v/>
      </c>
      <c r="C4">
        <f>SUMPRODUCT(--(Respuestas!$B5:$I5=Respuestas!$B$4:$I$4))</f>
        <v/>
      </c>
      <c r="D4">
        <f>8-B4-C4</f>
        <v/>
      </c>
      <c r="E4">
        <f>IF(C4&gt;=5,"Ideas previas muy arraigadas",IF(C4&gt;=3,"Varias ideas previas",IF(B4&gt;=5,"Comprensión sólida","Mixto")))</f>
        <v/>
      </c>
    </row>
    <row r="5">
      <c r="A5">
        <f>Respuestas!A6</f>
        <v/>
      </c>
      <c r="B5">
        <f>SUMPRODUCT(--(Respuestas!$B6:$I6=Respuestas!$B$3:$I$3))</f>
        <v/>
      </c>
      <c r="C5">
        <f>SUMPRODUCT(--(Respuestas!$B6:$I6=Respuestas!$B$4:$I$4))</f>
        <v/>
      </c>
      <c r="D5">
        <f>8-B5-C5</f>
        <v/>
      </c>
      <c r="E5">
        <f>IF(C5&gt;=5,"Ideas previas muy arraigadas",IF(C5&gt;=3,"Varias ideas previas",IF(B5&gt;=5,"Comprensión sólida","Mixto")))</f>
        <v/>
      </c>
    </row>
    <row r="6">
      <c r="A6">
        <f>Respuestas!A7</f>
        <v/>
      </c>
      <c r="B6">
        <f>SUMPRODUCT(--(Respuestas!$B7:$I7=Respuestas!$B$3:$I$3))</f>
        <v/>
      </c>
      <c r="C6">
        <f>SUMPRODUCT(--(Respuestas!$B7:$I7=Respuestas!$B$4:$I$4))</f>
        <v/>
      </c>
      <c r="D6">
        <f>8-B6-C6</f>
        <v/>
      </c>
      <c r="E6">
        <f>IF(C6&gt;=5,"Ideas previas muy arraigadas",IF(C6&gt;=3,"Varias ideas previas",IF(B6&gt;=5,"Comprensión sólida","Mixto")))</f>
        <v/>
      </c>
    </row>
    <row r="7">
      <c r="A7">
        <f>Respuestas!A8</f>
        <v/>
      </c>
      <c r="B7">
        <f>SUMPRODUCT(--(Respuestas!$B8:$I8=Respuestas!$B$3:$I$3))</f>
        <v/>
      </c>
      <c r="C7">
        <f>SUMPRODUCT(--(Respuestas!$B8:$I8=Respuestas!$B$4:$I$4))</f>
        <v/>
      </c>
      <c r="D7">
        <f>8-B7-C7</f>
        <v/>
      </c>
      <c r="E7">
        <f>IF(C7&gt;=5,"Ideas previas muy arraigadas",IF(C7&gt;=3,"Varias ideas previas",IF(B7&gt;=5,"Comprensión sólida","Mixto")))</f>
        <v/>
      </c>
    </row>
    <row r="8">
      <c r="A8">
        <f>Respuestas!A9</f>
        <v/>
      </c>
      <c r="B8">
        <f>SUMPRODUCT(--(Respuestas!$B9:$I9=Respuestas!$B$3:$I$3))</f>
        <v/>
      </c>
      <c r="C8">
        <f>SUMPRODUCT(--(Respuestas!$B9:$I9=Respuestas!$B$4:$I$4))</f>
        <v/>
      </c>
      <c r="D8">
        <f>8-B8-C8</f>
        <v/>
      </c>
      <c r="E8">
        <f>IF(C8&gt;=5,"Ideas previas muy arraigadas",IF(C8&gt;=3,"Varias ideas previas",IF(B8&gt;=5,"Comprensión sólida","Mixto")))</f>
        <v/>
      </c>
    </row>
    <row r="9">
      <c r="A9">
        <f>Respuestas!A10</f>
        <v/>
      </c>
      <c r="B9">
        <f>SUMPRODUCT(--(Respuestas!$B10:$I10=Respuestas!$B$3:$I$3))</f>
        <v/>
      </c>
      <c r="C9">
        <f>SUMPRODUCT(--(Respuestas!$B10:$I10=Respuestas!$B$4:$I$4))</f>
        <v/>
      </c>
      <c r="D9">
        <f>8-B9-C9</f>
        <v/>
      </c>
      <c r="E9">
        <f>IF(C9&gt;=5,"Ideas previas muy arraigadas",IF(C9&gt;=3,"Varias ideas previas",IF(B9&gt;=5,"Comprensión sólida","Mixto")))</f>
        <v/>
      </c>
    </row>
    <row r="10">
      <c r="A10">
        <f>Respuestas!A11</f>
        <v/>
      </c>
      <c r="B10">
        <f>SUMPRODUCT(--(Respuestas!$B11:$I11=Respuestas!$B$3:$I$3))</f>
        <v/>
      </c>
      <c r="C10">
        <f>SUMPRODUCT(--(Respuestas!$B11:$I11=Respuestas!$B$4:$I$4))</f>
        <v/>
      </c>
      <c r="D10">
        <f>8-B10-C10</f>
        <v/>
      </c>
      <c r="E10">
        <f>IF(C10&gt;=5,"Ideas previas muy arraigadas",IF(C10&gt;=3,"Varias ideas previas",IF(B10&gt;=5,"Comprensión sólida","Mixto")))</f>
        <v/>
      </c>
    </row>
    <row r="11">
      <c r="A11">
        <f>Respuestas!A12</f>
        <v/>
      </c>
      <c r="B11">
        <f>SUMPRODUCT(--(Respuestas!$B12:$I12=Respuestas!$B$3:$I$3))</f>
        <v/>
      </c>
      <c r="C11">
        <f>SUMPRODUCT(--(Respuestas!$B12:$I12=Respuestas!$B$4:$I$4))</f>
        <v/>
      </c>
      <c r="D11">
        <f>8-B11-C11</f>
        <v/>
      </c>
      <c r="E11">
        <f>IF(C11&gt;=5,"Ideas previas muy arraigadas",IF(C11&gt;=3,"Varias ideas previas",IF(B11&gt;=5,"Comprensión sólida","Mixto")))</f>
        <v/>
      </c>
    </row>
    <row r="12">
      <c r="A12">
        <f>Respuestas!A13</f>
        <v/>
      </c>
      <c r="B12">
        <f>SUMPRODUCT(--(Respuestas!$B13:$I13=Respuestas!$B$3:$I$3))</f>
        <v/>
      </c>
      <c r="C12">
        <f>SUMPRODUCT(--(Respuestas!$B13:$I13=Respuestas!$B$4:$I$4))</f>
        <v/>
      </c>
      <c r="D12">
        <f>8-B12-C12</f>
        <v/>
      </c>
      <c r="E12">
        <f>IF(C12&gt;=5,"Ideas previas muy arraigadas",IF(C12&gt;=3,"Varias ideas previas",IF(B12&gt;=5,"Comprensión sólida","Mixto")))</f>
        <v/>
      </c>
    </row>
    <row r="13">
      <c r="A13">
        <f>Respuestas!A14</f>
        <v/>
      </c>
      <c r="B13">
        <f>SUMPRODUCT(--(Respuestas!$B14:$I14=Respuestas!$B$3:$I$3))</f>
        <v/>
      </c>
      <c r="C13">
        <f>SUMPRODUCT(--(Respuestas!$B14:$I14=Respuestas!$B$4:$I$4))</f>
        <v/>
      </c>
      <c r="D13">
        <f>8-B13-C13</f>
        <v/>
      </c>
      <c r="E13">
        <f>IF(C13&gt;=5,"Ideas previas muy arraigadas",IF(C13&gt;=3,"Varias ideas previas",IF(B13&gt;=5,"Comprensión sólida","Mixto")))</f>
        <v/>
      </c>
    </row>
    <row r="14">
      <c r="A14">
        <f>Respuestas!A15</f>
        <v/>
      </c>
      <c r="B14">
        <f>SUMPRODUCT(--(Respuestas!$B15:$I15=Respuestas!$B$3:$I$3))</f>
        <v/>
      </c>
      <c r="C14">
        <f>SUMPRODUCT(--(Respuestas!$B15:$I15=Respuestas!$B$4:$I$4))</f>
        <v/>
      </c>
      <c r="D14">
        <f>8-B14-C14</f>
        <v/>
      </c>
      <c r="E14">
        <f>IF(C14&gt;=5,"Ideas previas muy arraigadas",IF(C14&gt;=3,"Varias ideas previas",IF(B14&gt;=5,"Comprensión sólida","Mixto")))</f>
        <v/>
      </c>
    </row>
    <row r="15">
      <c r="A15">
        <f>Respuestas!A16</f>
        <v/>
      </c>
      <c r="B15">
        <f>SUMPRODUCT(--(Respuestas!$B16:$I16=Respuestas!$B$3:$I$3))</f>
        <v/>
      </c>
      <c r="C15">
        <f>SUMPRODUCT(--(Respuestas!$B16:$I16=Respuestas!$B$4:$I$4))</f>
        <v/>
      </c>
      <c r="D15">
        <f>8-B15-C15</f>
        <v/>
      </c>
      <c r="E15">
        <f>IF(C15&gt;=5,"Ideas previas muy arraigadas",IF(C15&gt;=3,"Varias ideas previas",IF(B15&gt;=5,"Comprensión sólida","Mixto")))</f>
        <v/>
      </c>
    </row>
    <row r="16">
      <c r="A16">
        <f>Respuestas!A17</f>
        <v/>
      </c>
      <c r="B16">
        <f>SUMPRODUCT(--(Respuestas!$B17:$I17=Respuestas!$B$3:$I$3))</f>
        <v/>
      </c>
      <c r="C16">
        <f>SUMPRODUCT(--(Respuestas!$B17:$I17=Respuestas!$B$4:$I$4))</f>
        <v/>
      </c>
      <c r="D16">
        <f>8-B16-C16</f>
        <v/>
      </c>
      <c r="E16">
        <f>IF(C16&gt;=5,"Ideas previas muy arraigadas",IF(C16&gt;=3,"Varias ideas previas",IF(B16&gt;=5,"Comprensión sólida","Mixto")))</f>
        <v/>
      </c>
    </row>
    <row r="17">
      <c r="A17">
        <f>Respuestas!A18</f>
        <v/>
      </c>
      <c r="B17">
        <f>SUMPRODUCT(--(Respuestas!$B18:$I18=Respuestas!$B$3:$I$3))</f>
        <v/>
      </c>
      <c r="C17">
        <f>SUMPRODUCT(--(Respuestas!$B18:$I18=Respuestas!$B$4:$I$4))</f>
        <v/>
      </c>
      <c r="D17">
        <f>8-B17-C17</f>
        <v/>
      </c>
      <c r="E17">
        <f>IF(C17&gt;=5,"Ideas previas muy arraigadas",IF(C17&gt;=3,"Varias ideas previas",IF(B17&gt;=5,"Comprensión sólida","Mixto")))</f>
        <v/>
      </c>
    </row>
    <row r="18">
      <c r="A18">
        <f>Respuestas!A19</f>
        <v/>
      </c>
      <c r="B18">
        <f>SUMPRODUCT(--(Respuestas!$B19:$I19=Respuestas!$B$3:$I$3))</f>
        <v/>
      </c>
      <c r="C18">
        <f>SUMPRODUCT(--(Respuestas!$B19:$I19=Respuestas!$B$4:$I$4))</f>
        <v/>
      </c>
      <c r="D18">
        <f>8-B18-C18</f>
        <v/>
      </c>
      <c r="E18">
        <f>IF(C18&gt;=5,"Ideas previas muy arraigadas",IF(C18&gt;=3,"Varias ideas previas",IF(B18&gt;=5,"Comprensión sólida","Mixto")))</f>
        <v/>
      </c>
    </row>
    <row r="19">
      <c r="A19">
        <f>Respuestas!A20</f>
        <v/>
      </c>
      <c r="B19">
        <f>SUMPRODUCT(--(Respuestas!$B20:$I20=Respuestas!$B$3:$I$3))</f>
        <v/>
      </c>
      <c r="C19">
        <f>SUMPRODUCT(--(Respuestas!$B20:$I20=Respuestas!$B$4:$I$4))</f>
        <v/>
      </c>
      <c r="D19">
        <f>8-B19-C19</f>
        <v/>
      </c>
      <c r="E19">
        <f>IF(C19&gt;=5,"Ideas previas muy arraigadas",IF(C19&gt;=3,"Varias ideas previas",IF(B19&gt;=5,"Comprensión sólida","Mixto")))</f>
        <v/>
      </c>
    </row>
    <row r="20">
      <c r="A20">
        <f>Respuestas!A21</f>
        <v/>
      </c>
      <c r="B20">
        <f>SUMPRODUCT(--(Respuestas!$B21:$I21=Respuestas!$B$3:$I$3))</f>
        <v/>
      </c>
      <c r="C20">
        <f>SUMPRODUCT(--(Respuestas!$B21:$I21=Respuestas!$B$4:$I$4))</f>
        <v/>
      </c>
      <c r="D20">
        <f>8-B20-C20</f>
        <v/>
      </c>
      <c r="E20">
        <f>IF(C20&gt;=5,"Ideas previas muy arraigadas",IF(C20&gt;=3,"Varias ideas previas",IF(B20&gt;=5,"Comprensión sólida","Mixto")))</f>
        <v/>
      </c>
    </row>
    <row r="21">
      <c r="A21">
        <f>Respuestas!A22</f>
        <v/>
      </c>
      <c r="B21">
        <f>SUMPRODUCT(--(Respuestas!$B22:$I22=Respuestas!$B$3:$I$3))</f>
        <v/>
      </c>
      <c r="C21">
        <f>SUMPRODUCT(--(Respuestas!$B22:$I22=Respuestas!$B$4:$I$4))</f>
        <v/>
      </c>
      <c r="D21">
        <f>8-B21-C21</f>
        <v/>
      </c>
      <c r="E21">
        <f>IF(C21&gt;=5,"Ideas previas muy arraigadas",IF(C21&gt;=3,"Varias ideas previas",IF(B21&gt;=5,"Comprensión sólida","Mixto")))</f>
        <v/>
      </c>
    </row>
    <row r="22">
      <c r="A22">
        <f>Respuestas!A23</f>
        <v/>
      </c>
      <c r="B22">
        <f>SUMPRODUCT(--(Respuestas!$B23:$I23=Respuestas!$B$3:$I$3))</f>
        <v/>
      </c>
      <c r="C22">
        <f>SUMPRODUCT(--(Respuestas!$B23:$I23=Respuestas!$B$4:$I$4))</f>
        <v/>
      </c>
      <c r="D22">
        <f>8-B22-C22</f>
        <v/>
      </c>
      <c r="E22">
        <f>IF(C22&gt;=5,"Ideas previas muy arraigadas",IF(C22&gt;=3,"Varias ideas previas",IF(B22&gt;=5,"Comprensión sólida","Mixto")))</f>
        <v/>
      </c>
    </row>
    <row r="23">
      <c r="A23">
        <f>Respuestas!A24</f>
        <v/>
      </c>
      <c r="B23">
        <f>SUMPRODUCT(--(Respuestas!$B24:$I24=Respuestas!$B$3:$I$3))</f>
        <v/>
      </c>
      <c r="C23">
        <f>SUMPRODUCT(--(Respuestas!$B24:$I24=Respuestas!$B$4:$I$4))</f>
        <v/>
      </c>
      <c r="D23">
        <f>8-B23-C23</f>
        <v/>
      </c>
      <c r="E23">
        <f>IF(C23&gt;=5,"Ideas previas muy arraigadas",IF(C23&gt;=3,"Varias ideas previas",IF(B23&gt;=5,"Comprensión sólida","Mixto")))</f>
        <v/>
      </c>
    </row>
    <row r="24">
      <c r="A24">
        <f>Respuestas!A25</f>
        <v/>
      </c>
      <c r="B24">
        <f>SUMPRODUCT(--(Respuestas!$B25:$I25=Respuestas!$B$3:$I$3))</f>
        <v/>
      </c>
      <c r="C24">
        <f>SUMPRODUCT(--(Respuestas!$B25:$I25=Respuestas!$B$4:$I$4))</f>
        <v/>
      </c>
      <c r="D24">
        <f>8-B24-C24</f>
        <v/>
      </c>
      <c r="E24">
        <f>IF(C24&gt;=5,"Ideas previas muy arraigadas",IF(C24&gt;=3,"Varias ideas previas",IF(B24&gt;=5,"Comprensión sólida","Mixto")))</f>
        <v/>
      </c>
    </row>
    <row r="25">
      <c r="A25">
        <f>Respuestas!A26</f>
        <v/>
      </c>
      <c r="B25">
        <f>SUMPRODUCT(--(Respuestas!$B26:$I26=Respuestas!$B$3:$I$3))</f>
        <v/>
      </c>
      <c r="C25">
        <f>SUMPRODUCT(--(Respuestas!$B26:$I26=Respuestas!$B$4:$I$4))</f>
        <v/>
      </c>
      <c r="D25">
        <f>8-B25-C25</f>
        <v/>
      </c>
      <c r="E25">
        <f>IF(C25&gt;=5,"Ideas previas muy arraigadas",IF(C25&gt;=3,"Varias ideas previas",IF(B25&gt;=5,"Comprensión sólida","Mixto")))</f>
        <v/>
      </c>
    </row>
    <row r="26">
      <c r="A26">
        <f>Respuestas!A27</f>
        <v/>
      </c>
      <c r="B26">
        <f>SUMPRODUCT(--(Respuestas!$B27:$I27=Respuestas!$B$3:$I$3))</f>
        <v/>
      </c>
      <c r="C26">
        <f>SUMPRODUCT(--(Respuestas!$B27:$I27=Respuestas!$B$4:$I$4))</f>
        <v/>
      </c>
      <c r="D26">
        <f>8-B26-C26</f>
        <v/>
      </c>
      <c r="E26">
        <f>IF(C26&gt;=5,"Ideas previas muy arraigadas",IF(C26&gt;=3,"Varias ideas previas",IF(B26&gt;=5,"Comprensión sólida","Mixto")))</f>
        <v/>
      </c>
    </row>
    <row r="27">
      <c r="A27">
        <f>Respuestas!A28</f>
        <v/>
      </c>
      <c r="B27">
        <f>SUMPRODUCT(--(Respuestas!$B28:$I28=Respuestas!$B$3:$I$3))</f>
        <v/>
      </c>
      <c r="C27">
        <f>SUMPRODUCT(--(Respuestas!$B28:$I28=Respuestas!$B$4:$I$4))</f>
        <v/>
      </c>
      <c r="D27">
        <f>8-B27-C27</f>
        <v/>
      </c>
      <c r="E27">
        <f>IF(C27&gt;=5,"Ideas previas muy arraigadas",IF(C27&gt;=3,"Varias ideas previas",IF(B27&gt;=5,"Comprensión sólida","Mixto")))</f>
        <v/>
      </c>
    </row>
    <row r="28">
      <c r="A28">
        <f>Respuestas!A29</f>
        <v/>
      </c>
      <c r="B28">
        <f>SUMPRODUCT(--(Respuestas!$B29:$I29=Respuestas!$B$3:$I$3))</f>
        <v/>
      </c>
      <c r="C28">
        <f>SUMPRODUCT(--(Respuestas!$B29:$I29=Respuestas!$B$4:$I$4))</f>
        <v/>
      </c>
      <c r="D28">
        <f>8-B28-C28</f>
        <v/>
      </c>
      <c r="E28">
        <f>IF(C28&gt;=5,"Ideas previas muy arraigadas",IF(C28&gt;=3,"Varias ideas previas",IF(B28&gt;=5,"Comprensión sólida","Mixto")))</f>
        <v/>
      </c>
    </row>
    <row r="29">
      <c r="A29">
        <f>Respuestas!A30</f>
        <v/>
      </c>
      <c r="B29">
        <f>SUMPRODUCT(--(Respuestas!$B30:$I30=Respuestas!$B$3:$I$3))</f>
        <v/>
      </c>
      <c r="C29">
        <f>SUMPRODUCT(--(Respuestas!$B30:$I30=Respuestas!$B$4:$I$4))</f>
        <v/>
      </c>
      <c r="D29">
        <f>8-B29-C29</f>
        <v/>
      </c>
      <c r="E29">
        <f>IF(C29&gt;=5,"Ideas previas muy arraigadas",IF(C29&gt;=3,"Varias ideas previas",IF(B29&gt;=5,"Comprensión sólida","Mixto")))</f>
        <v/>
      </c>
    </row>
    <row r="30">
      <c r="A30">
        <f>Respuestas!A31</f>
        <v/>
      </c>
      <c r="B30">
        <f>SUMPRODUCT(--(Respuestas!$B31:$I31=Respuestas!$B$3:$I$3))</f>
        <v/>
      </c>
      <c r="C30">
        <f>SUMPRODUCT(--(Respuestas!$B31:$I31=Respuestas!$B$4:$I$4))</f>
        <v/>
      </c>
      <c r="D30">
        <f>8-B30-C30</f>
        <v/>
      </c>
      <c r="E30">
        <f>IF(C30&gt;=5,"Ideas previas muy arraigadas",IF(C30&gt;=3,"Varias ideas previas",IF(B30&gt;=5,"Comprensión sólida","Mixto")))</f>
        <v/>
      </c>
    </row>
    <row r="31">
      <c r="A31">
        <f>Respuestas!A32</f>
        <v/>
      </c>
      <c r="B31">
        <f>SUMPRODUCT(--(Respuestas!$B32:$I32=Respuestas!$B$3:$I$3))</f>
        <v/>
      </c>
      <c r="C31">
        <f>SUMPRODUCT(--(Respuestas!$B32:$I32=Respuestas!$B$4:$I$4))</f>
        <v/>
      </c>
      <c r="D31">
        <f>8-B31-C31</f>
        <v/>
      </c>
      <c r="E31">
        <f>IF(C31&gt;=5,"Ideas previas muy arraigadas",IF(C31&gt;=3,"Varias ideas previas",IF(B31&gt;=5,"Comprensión sólida","Mixto")))</f>
        <v/>
      </c>
    </row>
    <row r="32">
      <c r="A32">
        <f>Respuestas!A33</f>
        <v/>
      </c>
      <c r="B32">
        <f>SUMPRODUCT(--(Respuestas!$B33:$I33=Respuestas!$B$3:$I$3))</f>
        <v/>
      </c>
      <c r="C32">
        <f>SUMPRODUCT(--(Respuestas!$B33:$I33=Respuestas!$B$4:$I$4))</f>
        <v/>
      </c>
      <c r="D32">
        <f>8-B32-C32</f>
        <v/>
      </c>
      <c r="E32">
        <f>IF(C32&gt;=5,"Ideas previas muy arraigadas",IF(C32&gt;=3,"Varias ideas previas",IF(B32&gt;=5,"Comprensión sólida","Mixto")))</f>
        <v/>
      </c>
    </row>
    <row r="33">
      <c r="A33">
        <f>Respuestas!A34</f>
        <v/>
      </c>
      <c r="B33">
        <f>SUMPRODUCT(--(Respuestas!$B34:$I34=Respuestas!$B$3:$I$3))</f>
        <v/>
      </c>
      <c r="C33">
        <f>SUMPRODUCT(--(Respuestas!$B34:$I34=Respuestas!$B$4:$I$4))</f>
        <v/>
      </c>
      <c r="D33">
        <f>8-B33-C33</f>
        <v/>
      </c>
      <c r="E33">
        <f>IF(C33&gt;=5,"Ideas previas muy arraigadas",IF(C33&gt;=3,"Varias ideas previas",IF(B33&gt;=5,"Comprensión sólida","Mixto")))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2026-10-10T14:25:07Z</dcterms:created>
  <dcterms:modified xmlns:dcterms="http://purl.org/dc/terms/" xmlns:xsi="http://www.w3.org/2001/XMLSchema-instance" xsi:type="dcterms:W3CDTF">2026-10-10T14:25:07Z</dcterms:modified>
</cp:coreProperties>
</file>