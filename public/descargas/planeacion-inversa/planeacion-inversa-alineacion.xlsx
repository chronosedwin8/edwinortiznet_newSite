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pa1_Resultados" sheetId="1" state="visible" r:id="rId1"/>
    <sheet xmlns:r="http://schemas.openxmlformats.org/officeDocument/2006/relationships" name="Etapa2_Evidencias" sheetId="2" state="visible" r:id="rId2"/>
    <sheet xmlns:r="http://schemas.openxmlformats.org/officeDocument/2006/relationships" name="Etapa3_Actividades" sheetId="3" state="visible" r:id="rId3"/>
    <sheet xmlns:r="http://schemas.openxmlformats.org/officeDocument/2006/relationships" name="Aline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CFCE7"/>
          <bgColor rgb="00DCFCE7"/>
        </patternFill>
      </fill>
    </dxf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70" customWidth="1" min="2" max="2"/>
    <col width="44" customWidth="1" min="3" max="3"/>
  </cols>
  <sheetData>
    <row r="1">
      <c r="A1" s="1" t="inlineStr">
        <is>
          <t>ETAPA 1: RESULTADOS DESEADOS (ejemplo: unidad de proporcionalidad, grado 7)</t>
        </is>
      </c>
    </row>
    <row r="2">
      <c r="A2" t="inlineStr">
        <is>
          <t>Escribe qué debe comprender y poder hacer el estudiante al final. Enlaza cada resultado con tu referente (estándar, DBA, malla o el SIEE de tu colegio).</t>
        </is>
      </c>
    </row>
    <row r="4">
      <c r="A4" s="2" t="inlineStr">
        <is>
          <t>Código</t>
        </is>
      </c>
      <c r="B4" s="2" t="inlineStr">
        <is>
          <t>Resultado deseado (qué comprende o puede hacer)</t>
        </is>
      </c>
      <c r="C4" s="2" t="inlineStr">
        <is>
          <t>Referente curricular (estándar, DBA, malla)</t>
        </is>
      </c>
    </row>
    <row r="5">
      <c r="A5" t="inlineStr">
        <is>
          <t>O1</t>
        </is>
      </c>
      <c r="B5" s="3" t="inlineStr">
        <is>
          <t>Reconoce razones y proporciones en situaciones cotidianas</t>
        </is>
      </c>
      <c r="C5" s="3" t="inlineStr">
        <is>
          <t>(escribe el referente)</t>
        </is>
      </c>
    </row>
    <row r="6">
      <c r="A6" t="inlineStr">
        <is>
          <t>O2</t>
        </is>
      </c>
      <c r="B6" s="3" t="inlineStr">
        <is>
          <t>Resuelve problemas de proporcionalidad directa e inversa</t>
        </is>
      </c>
      <c r="C6" s="3" t="inlineStr">
        <is>
          <t>(escribe el referente)</t>
        </is>
      </c>
    </row>
    <row r="7">
      <c r="A7" t="inlineStr">
        <is>
          <t>O3</t>
        </is>
      </c>
      <c r="B7" s="3" t="inlineStr">
        <is>
          <t>Interpreta gráficas y tablas de proporcionalidad</t>
        </is>
      </c>
      <c r="C7" s="3" t="inlineStr">
        <is>
          <t>(escribe el referente)</t>
        </is>
      </c>
    </row>
    <row r="8">
      <c r="A8" t="inlineStr">
        <is>
          <t>O4</t>
        </is>
      </c>
      <c r="B8" s="3" t="inlineStr">
        <is>
          <t>Justifica sus procedimientos con argumentos</t>
        </is>
      </c>
      <c r="C8" s="3" t="inlineStr">
        <is>
          <t>(escribe el referente)</t>
        </is>
      </c>
    </row>
    <row r="9">
      <c r="A9" t="inlineStr">
        <is>
          <t>O5</t>
        </is>
      </c>
      <c r="B9" s="3" t="inlineStr">
        <is>
          <t>Usa porcentajes para decidir en contextos de consumo</t>
        </is>
      </c>
      <c r="C9" s="3" t="inlineStr">
        <is>
          <t>(escribe el referente)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22" customWidth="1" min="8" max="8"/>
  </cols>
  <sheetData>
    <row r="1">
      <c r="A1" s="1" t="inlineStr">
        <is>
          <t>ETAPA 2: EVIDENCIAS ACEPTABLES (marca con 1 qué resultado evidencia cada producto o prueba)</t>
        </is>
      </c>
    </row>
    <row r="3">
      <c r="A3" s="2" t="inlineStr">
        <is>
          <t>Código</t>
        </is>
      </c>
      <c r="B3" s="2" t="inlineStr">
        <is>
          <t>Evidencia (qué haré para saber si aprendieron)</t>
        </is>
      </c>
      <c r="C3" s="2" t="inlineStr">
        <is>
          <t>O1</t>
        </is>
      </c>
      <c r="D3" s="2" t="inlineStr">
        <is>
          <t>O2</t>
        </is>
      </c>
      <c r="E3" s="2" t="inlineStr">
        <is>
          <t>O3</t>
        </is>
      </c>
      <c r="F3" s="2" t="inlineStr">
        <is>
          <t>O4</t>
        </is>
      </c>
      <c r="G3" s="2" t="inlineStr">
        <is>
          <t>O5</t>
        </is>
      </c>
      <c r="H3" s="2" t="inlineStr">
        <is>
          <t>Resultados que cubre</t>
        </is>
      </c>
    </row>
    <row r="4">
      <c r="A4" t="inlineStr">
        <is>
          <t>E1</t>
        </is>
      </c>
      <c r="B4" s="3" t="inlineStr">
        <is>
          <t>Prueba corta de razones y problemas</t>
        </is>
      </c>
      <c r="C4" s="3" t="n">
        <v>1</v>
      </c>
      <c r="D4" s="3" t="n">
        <v>1</v>
      </c>
      <c r="E4" s="3" t="n">
        <v>0</v>
      </c>
      <c r="F4" s="3" t="n">
        <v>0</v>
      </c>
      <c r="G4" s="3" t="n">
        <v>0</v>
      </c>
      <c r="H4">
        <f>IF(B4="","",SUM(C4:G4))</f>
        <v/>
      </c>
    </row>
    <row r="5">
      <c r="A5" t="inlineStr">
        <is>
          <t>E2</t>
        </is>
      </c>
      <c r="B5" s="3" t="inlineStr">
        <is>
          <t>Informe de compra comparativa con justificación</t>
        </is>
      </c>
      <c r="C5" s="3" t="n">
        <v>0</v>
      </c>
      <c r="D5" s="3" t="n">
        <v>1</v>
      </c>
      <c r="E5" s="3" t="n">
        <v>0</v>
      </c>
      <c r="F5" s="3" t="n">
        <v>1</v>
      </c>
      <c r="G5" s="3" t="n">
        <v>1</v>
      </c>
      <c r="H5">
        <f>IF(B5="","",SUM(C5:G5))</f>
        <v/>
      </c>
    </row>
    <row r="6">
      <c r="A6" t="inlineStr">
        <is>
          <t>E3</t>
        </is>
      </c>
      <c r="B6" s="3" t="inlineStr">
        <is>
          <t>Cuaderno de problemas resueltos</t>
        </is>
      </c>
      <c r="C6" s="3" t="n">
        <v>1</v>
      </c>
      <c r="D6" s="3" t="n">
        <v>1</v>
      </c>
      <c r="E6" s="3" t="n">
        <v>0</v>
      </c>
      <c r="F6" s="3" t="n">
        <v>0</v>
      </c>
      <c r="G6" s="3" t="n">
        <v>0</v>
      </c>
      <c r="H6">
        <f>IF(B6="","",SUM(C6:G6))</f>
        <v/>
      </c>
    </row>
    <row r="7">
      <c r="A7" t="inlineStr">
        <is>
          <t>E4</t>
        </is>
      </c>
      <c r="B7" s="3" t="inlineStr">
        <is>
          <t>Autoevaluación escrita del razonamiento</t>
        </is>
      </c>
      <c r="C7" s="3" t="n">
        <v>0</v>
      </c>
      <c r="D7" s="3" t="n">
        <v>0</v>
      </c>
      <c r="E7" s="3" t="n">
        <v>0</v>
      </c>
      <c r="F7" s="3" t="n">
        <v>1</v>
      </c>
      <c r="G7" s="3" t="n">
        <v>0</v>
      </c>
      <c r="H7">
        <f>IF(B7="","",SUM(C7:G7))</f>
        <v/>
      </c>
    </row>
    <row r="8">
      <c r="A8" t="inlineStr">
        <is>
          <t>E5</t>
        </is>
      </c>
      <c r="B8" s="3" t="n"/>
      <c r="C8" s="3" t="n"/>
      <c r="D8" s="3" t="n"/>
      <c r="E8" s="3" t="n"/>
      <c r="F8" s="3" t="n"/>
      <c r="G8" s="3" t="n"/>
      <c r="H8">
        <f>IF(B8="","",SUM(C8:G8))</f>
        <v/>
      </c>
    </row>
    <row r="9">
      <c r="A9" t="inlineStr">
        <is>
          <t>E6</t>
        </is>
      </c>
      <c r="B9" s="3" t="n"/>
      <c r="C9" s="3" t="n"/>
      <c r="D9" s="3" t="n"/>
      <c r="E9" s="3" t="n"/>
      <c r="F9" s="3" t="n"/>
      <c r="G9" s="3" t="n"/>
      <c r="H9">
        <f>IF(B9="","",SUM(C9:G9))</f>
        <v/>
      </c>
    </row>
    <row r="10">
      <c r="A10" t="inlineStr">
        <is>
          <t>E7</t>
        </is>
      </c>
      <c r="B10" s="3" t="n"/>
      <c r="C10" s="3" t="n"/>
      <c r="D10" s="3" t="n"/>
      <c r="E10" s="3" t="n"/>
      <c r="F10" s="3" t="n"/>
      <c r="G10" s="3" t="n"/>
      <c r="H10">
        <f>IF(B10="","",SUM(C10:G10))</f>
        <v/>
      </c>
    </row>
    <row r="11">
      <c r="A11" t="inlineStr">
        <is>
          <t>E8</t>
        </is>
      </c>
      <c r="B11" s="3" t="n"/>
      <c r="C11" s="3" t="n"/>
      <c r="D11" s="3" t="n"/>
      <c r="E11" s="3" t="n"/>
      <c r="F11" s="3" t="n"/>
      <c r="G11" s="3" t="n"/>
      <c r="H11">
        <f>IF(B11="","",SUM(C11:G11))</f>
        <v/>
      </c>
    </row>
  </sheetData>
  <dataValidations count="1">
    <dataValidation sqref="C4:G15" showDropDown="0" showInputMessage="0" showErrorMessage="0" allowBlank="0" type="whole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22" customWidth="1" min="8" max="8"/>
  </cols>
  <sheetData>
    <row r="1">
      <c r="A1" s="1" t="inlineStr">
        <is>
          <t>ETAPA 3: EXPERIENCIAS DE APRENDIZAJE (marca con 1 qué resultado desarrolla cada actividad)</t>
        </is>
      </c>
    </row>
    <row r="3">
      <c r="A3" s="2" t="inlineStr">
        <is>
          <t>Código</t>
        </is>
      </c>
      <c r="B3" s="2" t="inlineStr">
        <is>
          <t>Actividad</t>
        </is>
      </c>
      <c r="C3" s="2" t="inlineStr">
        <is>
          <t>O1</t>
        </is>
      </c>
      <c r="D3" s="2" t="inlineStr">
        <is>
          <t>O2</t>
        </is>
      </c>
      <c r="E3" s="2" t="inlineStr">
        <is>
          <t>O3</t>
        </is>
      </c>
      <c r="F3" s="2" t="inlineStr">
        <is>
          <t>O4</t>
        </is>
      </c>
      <c r="G3" s="2" t="inlineStr">
        <is>
          <t>O5</t>
        </is>
      </c>
      <c r="H3" s="2" t="inlineStr">
        <is>
          <t>Resultados que desarrolla</t>
        </is>
      </c>
    </row>
    <row r="4">
      <c r="A4" t="inlineStr">
        <is>
          <t>A1</t>
        </is>
      </c>
      <c r="B4" s="3" t="inlineStr">
        <is>
          <t>Exploración con recetas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>
        <f>IF(B4="","",SUM(C4:G4))</f>
        <v/>
      </c>
    </row>
    <row r="5">
      <c r="A5" t="inlineStr">
        <is>
          <t>A2</t>
        </is>
      </c>
      <c r="B5" s="3" t="inlineStr">
        <is>
          <t>Taller de regla de tres</t>
        </is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>
        <f>IF(B5="","",SUM(C5:G5))</f>
        <v/>
      </c>
    </row>
    <row r="6">
      <c r="A6" t="inlineStr">
        <is>
          <t>A3</t>
        </is>
      </c>
      <c r="B6" s="3" t="inlineStr">
        <is>
          <t>Juego de mercado</t>
        </is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1</v>
      </c>
      <c r="H6">
        <f>IF(B6="","",SUM(C6:G6))</f>
        <v/>
      </c>
    </row>
    <row r="7">
      <c r="A7" t="inlineStr">
        <is>
          <t>A4</t>
        </is>
      </c>
      <c r="B7" s="3" t="inlineStr">
        <is>
          <t>Gráficas con datos del colegio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>
        <f>IF(B7="","",SUM(C7:G7))</f>
        <v/>
      </c>
    </row>
    <row r="8">
      <c r="A8" t="inlineStr">
        <is>
          <t>A5</t>
        </is>
      </c>
      <c r="B8" s="3" t="inlineStr">
        <is>
          <t>Resolución de problemas en parejas</t>
        </is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>
        <f>IF(B8="","",SUM(C8:G8))</f>
        <v/>
      </c>
    </row>
    <row r="9">
      <c r="A9" t="inlineStr">
        <is>
          <t>A6</t>
        </is>
      </c>
      <c r="B9" s="3" t="inlineStr">
        <is>
          <t>Visita a la tienda escolar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</v>
      </c>
      <c r="H9">
        <f>IF(B9="","",SUM(C9:G9))</f>
        <v/>
      </c>
    </row>
    <row r="10">
      <c r="A10" t="inlineStr">
        <is>
          <t>A7</t>
        </is>
      </c>
      <c r="B10" s="3" t="inlineStr">
        <is>
          <t>Video de cierre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>
        <f>IF(B10="","",SUM(C10:G10))</f>
        <v/>
      </c>
    </row>
    <row r="11">
      <c r="A11" t="inlineStr">
        <is>
          <t>A8</t>
        </is>
      </c>
      <c r="B11" s="3" t="inlineStr">
        <is>
          <t>Repaso general</t>
        </is>
      </c>
      <c r="C11" s="3" t="n">
        <v>1</v>
      </c>
      <c r="D11" s="3" t="n">
        <v>1</v>
      </c>
      <c r="E11" s="3" t="n">
        <v>0</v>
      </c>
      <c r="F11" s="3" t="n">
        <v>0</v>
      </c>
      <c r="G11" s="3" t="n">
        <v>0</v>
      </c>
      <c r="H11">
        <f>IF(B11="","",SUM(C11:G11))</f>
        <v/>
      </c>
    </row>
    <row r="12">
      <c r="A12" t="inlineStr">
        <is>
          <t>A9</t>
        </is>
      </c>
      <c r="B12" s="3" t="n"/>
      <c r="C12" s="3" t="n"/>
      <c r="D12" s="3" t="n"/>
      <c r="E12" s="3" t="n"/>
      <c r="F12" s="3" t="n"/>
      <c r="G12" s="3" t="n"/>
      <c r="H12">
        <f>IF(B12="","",SUM(C12:G12))</f>
        <v/>
      </c>
    </row>
    <row r="13">
      <c r="A13" t="inlineStr">
        <is>
          <t>A10</t>
        </is>
      </c>
      <c r="B13" s="3" t="n"/>
      <c r="C13" s="3" t="n"/>
      <c r="D13" s="3" t="n"/>
      <c r="E13" s="3" t="n"/>
      <c r="F13" s="3" t="n"/>
      <c r="G13" s="3" t="n"/>
      <c r="H13">
        <f>IF(B13="","",SUM(C13:G13))</f>
        <v/>
      </c>
    </row>
    <row r="14">
      <c r="A14" t="inlineStr">
        <is>
          <t>A11</t>
        </is>
      </c>
      <c r="B14" s="3" t="n"/>
      <c r="C14" s="3" t="n"/>
      <c r="D14" s="3" t="n"/>
      <c r="E14" s="3" t="n"/>
      <c r="F14" s="3" t="n"/>
      <c r="G14" s="3" t="n"/>
      <c r="H14">
        <f>IF(B14="","",SUM(C14:G14))</f>
        <v/>
      </c>
    </row>
    <row r="15">
      <c r="A15" t="inlineStr">
        <is>
          <t>A12</t>
        </is>
      </c>
      <c r="B15" s="3" t="n"/>
      <c r="C15" s="3" t="n"/>
      <c r="D15" s="3" t="n"/>
      <c r="E15" s="3" t="n"/>
      <c r="F15" s="3" t="n"/>
      <c r="G15" s="3" t="n"/>
      <c r="H15">
        <f>IF(B15="","",SUM(C15:G15))</f>
        <v/>
      </c>
    </row>
  </sheetData>
  <dataValidations count="1">
    <dataValidation sqref="C4:G15" showDropDown="0" showInputMessage="0" showErrorMessage="0" allowBlank="0" type="whole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REVISIÓN DE ALINEACIÓN: ¿lo que enseño y lo que evalúo apuntan a los mismos resultados?</t>
        </is>
      </c>
    </row>
    <row r="3">
      <c r="A3" s="2" t="inlineStr">
        <is>
          <t>Resultado</t>
        </is>
      </c>
      <c r="B3" s="2" t="inlineStr">
        <is>
          <t>Descripción</t>
        </is>
      </c>
      <c r="C3" s="2" t="inlineStr">
        <is>
          <t>Evidencias</t>
        </is>
      </c>
      <c r="D3" s="2" t="inlineStr">
        <is>
          <t>Actividades</t>
        </is>
      </c>
      <c r="E3" s="2" t="inlineStr">
        <is>
          <t>Diagnóstico</t>
        </is>
      </c>
    </row>
    <row r="4">
      <c r="A4" t="inlineStr">
        <is>
          <t>O1</t>
        </is>
      </c>
      <c r="B4">
        <f>Etapa1_Resultados!B5</f>
        <v/>
      </c>
      <c r="C4">
        <f>SUM(Etapa2_Evidencias!C4:C15)</f>
        <v/>
      </c>
      <c r="D4">
        <f>SUM(Etapa3_Actividades!C4:C15)</f>
        <v/>
      </c>
      <c r="E4">
        <f>IF(AND(C4=0,D4=0),"Sin evidencia ni actividad",IF(C4=0,"Enseñas lo que no evalúas",IF(D4=0,"Evalúas lo que no enseñas","Alineado")))</f>
        <v/>
      </c>
    </row>
    <row r="5">
      <c r="A5" t="inlineStr">
        <is>
          <t>O2</t>
        </is>
      </c>
      <c r="B5">
        <f>Etapa1_Resultados!B6</f>
        <v/>
      </c>
      <c r="C5">
        <f>SUM(Etapa2_Evidencias!D4:D15)</f>
        <v/>
      </c>
      <c r="D5">
        <f>SUM(Etapa3_Actividades!D4:D15)</f>
        <v/>
      </c>
      <c r="E5">
        <f>IF(AND(C5=0,D5=0),"Sin evidencia ni actividad",IF(C5=0,"Enseñas lo que no evalúas",IF(D5=0,"Evalúas lo que no enseñas","Alineado")))</f>
        <v/>
      </c>
    </row>
    <row r="6">
      <c r="A6" t="inlineStr">
        <is>
          <t>O3</t>
        </is>
      </c>
      <c r="B6">
        <f>Etapa1_Resultados!B7</f>
        <v/>
      </c>
      <c r="C6">
        <f>SUM(Etapa2_Evidencias!E4:E15)</f>
        <v/>
      </c>
      <c r="D6">
        <f>SUM(Etapa3_Actividades!E4:E15)</f>
        <v/>
      </c>
      <c r="E6">
        <f>IF(AND(C6=0,D6=0),"Sin evidencia ni actividad",IF(C6=0,"Enseñas lo que no evalúas",IF(D6=0,"Evalúas lo que no enseñas","Alineado")))</f>
        <v/>
      </c>
    </row>
    <row r="7">
      <c r="A7" t="inlineStr">
        <is>
          <t>O4</t>
        </is>
      </c>
      <c r="B7">
        <f>Etapa1_Resultados!B8</f>
        <v/>
      </c>
      <c r="C7">
        <f>SUM(Etapa2_Evidencias!F4:F15)</f>
        <v/>
      </c>
      <c r="D7">
        <f>SUM(Etapa3_Actividades!F4:F15)</f>
        <v/>
      </c>
      <c r="E7">
        <f>IF(AND(C7=0,D7=0),"Sin evidencia ni actividad",IF(C7=0,"Enseñas lo que no evalúas",IF(D7=0,"Evalúas lo que no enseñas","Alineado")))</f>
        <v/>
      </c>
    </row>
    <row r="8">
      <c r="A8" t="inlineStr">
        <is>
          <t>O5</t>
        </is>
      </c>
      <c r="B8">
        <f>Etapa1_Resultados!B9</f>
        <v/>
      </c>
      <c r="C8">
        <f>SUM(Etapa2_Evidencias!G4:G15)</f>
        <v/>
      </c>
      <c r="D8">
        <f>SUM(Etapa3_Actividades!G4:G15)</f>
        <v/>
      </c>
      <c r="E8">
        <f>IF(AND(C8=0,D8=0),"Sin evidencia ni actividad",IF(C8=0,"Enseñas lo que no evalúas",IF(D8=0,"Evalúas lo que no enseñas","Alineado")))</f>
        <v/>
      </c>
    </row>
    <row r="10">
      <c r="A10" t="inlineStr">
        <is>
          <t>Resultados alineados</t>
        </is>
      </c>
      <c r="C10">
        <f>COUNTIF(E4:E8,"Alineado")&amp;" de "&amp;COUNTA(A4:A8)</f>
        <v/>
      </c>
    </row>
    <row r="11">
      <c r="A11" t="inlineStr">
        <is>
          <t>Actividades sin ningún resultado (huérfanas)</t>
        </is>
      </c>
      <c r="C11">
        <f>COUNTIFS(Etapa3_Actividades!B4:B15,"&lt;&gt;",Etapa3_Actividades!H4:H15,0)</f>
        <v/>
      </c>
    </row>
    <row r="12">
      <c r="A12" t="inlineStr">
        <is>
          <t>Evidencias sin ningún resultado (huérfanas)</t>
        </is>
      </c>
      <c r="C12">
        <f>COUNTIFS(Etapa2_Evidencias!B4:B15,"&lt;&gt;",Etapa2_Evidencias!H4:H15,0)</f>
        <v/>
      </c>
    </row>
    <row r="14">
      <c r="A14" t="inlineStr">
        <is>
          <t>Una actividad "huérfana" puede ser valiosa (motivación, convivencia), pero debe ser una decisión consciente, no un hábito.</t>
        </is>
      </c>
    </row>
  </sheetData>
  <conditionalFormatting sqref="E4:E8">
    <cfRule type="cellIs" priority="1" operator="equal" dxfId="0">
      <formula>"Alineado"</formula>
    </cfRule>
    <cfRule type="expression" priority="2" dxfId="1">
      <formula>E4&lt;&gt;"Alineado"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2026-10-10T13:27:52Z</dcterms:created>
  <dcterms:modified xmlns:dcterms="http://purl.org/dc/terms/" xmlns:xsi="http://www.w3.org/2001/XMLSchema-instance" xsi:type="dcterms:W3CDTF">2026-10-10T13:27:52Z</dcterms:modified>
</cp:coreProperties>
</file>